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27BA9B4B-129D-4D73-BC7D-BECCF5BB0010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61" i="1" l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G213" i="1"/>
  <c r="C213" i="1"/>
  <c r="A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<sst xmlns="http://schemas.openxmlformats.org/spreadsheetml/2006/main" count="1342" uniqueCount="323">
  <si>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</si>
  <si>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</si>
  <si>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</si>
  <si>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</si>
  <si>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</si>
  <si>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</si>
  <si>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</si>
  <si>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</si>
  <si>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</si>
  <si>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</si>
  <si>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</si>
  <si>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</si>
  <si>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</si>
  <si>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</si>
  <si>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</si>
  <si>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</si>
  <si>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</si>
  <si>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</si>
  <si>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</si>
  <si>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</si>
  <si>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</si>
  <si>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</si>
  <si>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</si>
  <si>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</si>
  <si>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</si>
  <si>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</si>
  <si>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</si>
  <si>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</si>
  <si>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</si>
  <si>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</si>
  <si>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</si>
  <si>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</si>
  <si>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</si>
  <si>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</si>
  <si>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</si>
  <si>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</si>
  <si>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</si>
  <si>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</si>
  <si>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</si>
  <si>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</si>
  <si>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</si>
  <si>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</si>
  <si>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</si>
  <si>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</si>
  <si>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</si>
  <si>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</si>
  <si>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</si>
  <si>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</si>
  <si>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</si>
  <si>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</si>
  <si>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</si>
  <si>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</si>
  <si>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</si>
  <si>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</si>
  <si>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</si>
  <si>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</si>
  <si>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</si>
  <si>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</si>
  <si>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</si>
  <si>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</si>
  <si>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</si>
  <si>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</si>
  <si>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</si>
  <si>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</si>
  <si>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</si>
  <si>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</si>
  <si>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</si>
  <si>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</si>
  <si>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</si>
  <si>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</si>
  <si>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</si>
  <si>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</si>
  <si>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</si>
  <si>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</si>
  <si>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</si>
  <si>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</si>
  <si>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</si>
  <si>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</si>
  <si>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</si>
  <si>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</si>
  <si>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</si>
  <si>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</si>
  <si>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</si>
  <si>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</si>
  <si>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</si>
  <si>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</si>
  <si>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</si>
  <si>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</si>
  <si>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</si>
  <si>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</si>
  <si>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</si>
  <si>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</si>
  <si>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</si>
  <si>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</si>
  <si>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</si>
  <si>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</si>
  <si>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</si>
  <si>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</si>
  <si>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</si>
  <si>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</si>
  <si>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</si>
  <si>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</si>
  <si>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</si>
  <si>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</si>
  <si>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</si>
  <si>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</si>
  <si>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</si>
  <si>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</si>
  <si>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</si>
  <si>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</si>
  <si>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</si>
  <si>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</si>
  <si>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</si>
  <si>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</si>
  <si>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</si>
  <si>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</si>
  <si>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</si>
  <si>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</si>
  <si>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</si>
  <si>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</si>
  <si>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</si>
  <si>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</si>
  <si>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</si>
  <si>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</si>
  <si>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</si>
  <si>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</si>
  <si>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</si>
  <si>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</si>
  <si>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</si>
  <si>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</si>
  <si>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</si>
  <si>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</si>
  <si>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</si>
  <si>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</si>
  <si>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</si>
  <si>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</si>
  <si>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</si>
  <si>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</si>
  <si>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</si>
  <si>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</si>
  <si>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</si>
  <si>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</si>
  <si>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</si>
  <si>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</si>
  <si>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</si>
  <si>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</si>
  <si>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</si>
  <si>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</si>
  <si>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</si>
  <si>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</si>
  <si>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</si>
  <si>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</si>
  <si>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</si>
  <si>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</si>
  <si>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</si>
  <si>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</si>
  <si>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</si>
  <si>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</si>
  <si>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</si>
  <si>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</si>
  <si>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</si>
  <si>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</si>
  <si>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</si>
  <si>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</si>
  <si>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</si>
  <si>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</si>
  <si>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</si>
  <si>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</si>
  <si>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</si>
  <si>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</si>
  <si>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</si>
  <si>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</si>
  <si>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</si>
  <si>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</si>
  <si>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</si>
  <si>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</si>
  <si>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</si>
  <si>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</si>
  <si>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</si>
  <si>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</si>
  <si>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</si>
  <si>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</si>
  <si>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</si>
  <si>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</si>
  <si>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</si>
  <si>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</si>
  <si>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</si>
  <si>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</si>
  <si>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</si>
  <si>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</si>
  <si>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</si>
  <si>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</si>
  <si>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</si>
  <si>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</si>
  <si>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</si>
  <si>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</si>
  <si>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</si>
  <si>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</si>
  <si>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</si>
  <si>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</si>
  <si>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</si>
  <si>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</si>
  <si>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</si>
  <si>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</si>
  <si>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</si>
  <si>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</si>
  <si>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</si>
  <si>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</si>
  <si>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</si>
  <si>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</si>
  <si>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</si>
  <si>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</si>
  <si>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</si>
  <si>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</si>
  <si>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</si>
  <si>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</si>
  <si>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</si>
  <si>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</si>
  <si>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</si>
  <si>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</si>
  <si>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</si>
  <si>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</si>
  <si>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</si>
  <si>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</si>
  <si>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</si>
  <si>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</si>
  <si>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</si>
  <si>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</si>
  <si>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</si>
  <si>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</si>
  <si>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</si>
  <si>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</si>
  <si>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</si>
  <si>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</si>
  <si>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</si>
  <si>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</si>
  <si>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</si>
  <si>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</si>
  <si>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</si>
  <si>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</si>
  <si>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</si>
  <si>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</si>
  <si>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</si>
  <si>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</si>
  <si>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</si>
  <si>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</si>
  <si>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</si>
  <si>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</si>
  <si>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</si>
  <si>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</si>
  <si>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</si>
  <si>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</si>
  <si>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</si>
  <si>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</si>
  <si>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</si>
  <si>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</si>
  <si>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</si>
  <si>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</si>
  <si>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</si>
  <si>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</si>
  <si>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</si>
  <si>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</si>
  <si>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</si>
  <si>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FINANCIERO ENANDES</t>
  </si>
  <si>
    <t>Locación</t>
  </si>
  <si>
    <t>TRASLADO PERSONAL - PASAJES
AEREOS NACIONAL (MTA)</t>
  </si>
  <si>
    <t>VIATICOS (MTA)</t>
  </si>
  <si>
    <t>REPOSICION DRONE</t>
  </si>
  <si>
    <t>26.32.9 99</t>
  </si>
  <si>
    <t xml:space="preserve">SERVICIO DE COORDINACION Y SISTEMATIZACIÓN DE INFORMACIÓN PARA EL SEB 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</si>
  <si>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</si>
  <si>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</si>
  <si>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</si>
  <si>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</si>
  <si>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</si>
  <si>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</si>
  <si>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</si>
  <si>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</si>
  <si>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</si>
  <si>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</si>
  <si>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</si>
  <si>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</si>
  <si>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</si>
  <si>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</si>
  <si>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</si>
  <si>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</si>
  <si>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</si>
  <si>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</si>
  <si>
    <t>SERVICIO DE COMUNICADOR POTCAST</t>
  </si>
  <si>
    <t>ASISTENCIA TECNICA EN METEOROLOGIA PARA LA DZ11</t>
  </si>
  <si>
    <t>D.T. DA</t>
  </si>
  <si>
    <t>ASISTENCIA TECNICA EN METEOROLOGIA PARA LA DZ4</t>
  </si>
  <si>
    <t>ASISTENCIA TECNICA EN COMUNICACIONES PARA LA DZ4</t>
  </si>
  <si>
    <t>ASISTENCIA TECNICA EN COMUNICACIONES PARA LA DZ7</t>
  </si>
  <si>
    <t>ASISTENCIA TECNICA EN COMUNICACIONES PARA LA DZ5 (CONTINUIDAD)</t>
  </si>
  <si>
    <t>ASISTENCIA TECNICA EN COMUNICACIONES PARA LA DZ6</t>
  </si>
  <si>
    <t>ASISTENCIA TECNICA EN COMUNICACIONES PARA LA DZ13</t>
  </si>
  <si>
    <t>Servicio de locación para comunicación, difusión y divulgación de información relacionada con eventos severos relacionados a El Niño en el contexto del cambio climático</t>
  </si>
  <si>
    <t>01 comunicador DMCA</t>
  </si>
  <si>
    <t>TRASLADO PERSONAL - PASAJES
AEREOS NACIONAL D.A. FEN</t>
  </si>
  <si>
    <t>VIATICOS D.A. FEN</t>
  </si>
  <si>
    <t>SERVICIO ESPECIALIZADO EN ANÁLISIS AMBIENTAL</t>
  </si>
  <si>
    <t>SERVICIO DE ASISTENCIA TECNICA EN METEOROLOGIA PARA ELABORACION DE INFORMES Y DOCUMENTOS EN EL CONTEXTO DE EL NIÑO 2026</t>
  </si>
  <si>
    <t>TRASLADO PERSONAL - PASAJES
AEREOS NACIONAL (PUCALLPA)</t>
  </si>
  <si>
    <t>VIATICOS (PUCALLPA)</t>
  </si>
  <si>
    <t>Servicio de locación en asistencia propuesta de mecanismos financieros y presupuesto para los SC - MNSC</t>
  </si>
  <si>
    <t>Servicio de locación en facilitación y sistematización de talleres sectoriales MSNC</t>
  </si>
  <si>
    <t>Servicio especializado en coordinación técnica SST-SEB MNSC</t>
  </si>
  <si>
    <t>Servicio de locación de asistencia técnica para estudios socioeconómicos de servicios climáticos</t>
  </si>
  <si>
    <t>Servicio de locación de asistencia técnica en meteorología para el fortalecimiento operativo ISPI e investigacion</t>
  </si>
  <si>
    <t>Servicio de locación para elaboración de informes y reportes tecnicos para los sectores en el marco de la emergencia de El Niño Costero</t>
  </si>
  <si>
    <t>Servicio de locación para sistematización de información y requerimientos sectoriales en el marco de la emergencia de El Niño Costero (DASHBOARD)</t>
  </si>
  <si>
    <t>Servicio de locación para la elaboracion del documento tecnico del estado del clima del Peru</t>
  </si>
  <si>
    <t>Servicio de asistencia tecnica en meteorologia elaboracion de informes con las DZ 13 Puno</t>
  </si>
  <si>
    <t>Servicio de locación en meteorología para el apoyo en pronóstico y vigilancia ante eventos extremos 1</t>
  </si>
  <si>
    <t>Servicio de locación en meteorología para el apoyo en pronóstico y vigilancia ante eventos extremos 2</t>
  </si>
  <si>
    <t>Servicio de locación en meteorología para la mejora y validacion de productos satelitales</t>
  </si>
  <si>
    <t>Servicio de locación en meteorología para la la interpretación operativa y mejora de productos de muy corto y inmediato plazo con integracion de informacion del radar en Piura</t>
  </si>
  <si>
    <t>Servicio de locación en meteorología para la interpretación operativa y mejora de productos de muy corto y inmediato plazo con integracion de informacion del radar en Ica</t>
  </si>
  <si>
    <t>Servicio de locación en meteorología para el apoyo en pronóstico y vigilancia ante eventos extremos (COEN) 1</t>
  </si>
  <si>
    <t>Servicio de locación en meteorología para el apoyo en pronóstico y vigilancia ante eventos extremos (COEN) 2</t>
  </si>
  <si>
    <t>Servicio especializado para la coordinacion y ejecucion de proyectos</t>
  </si>
  <si>
    <t>SERVICIO SE SISTEMATIZACION MNSC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</si>
</sst>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  <fill>
      <patternFill patternType="solid">
        <fgColor rgb="FFB6D7A8"/>
        <bgColor rgb="FFB6D7A8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7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49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center" vertical="center" wrapText="1"/>
    </xf>
    <xf numFmtId="1" fontId="7" fillId="9" borderId="5" xfId="0" applyNumberFormat="1" applyFont="1" applyFill="1" applyBorder="1" applyAlignment="1">
      <alignment horizontal="center" vertical="center" wrapText="1"/>
    </xf>
    <xf numFmtId="49" fontId="7" fillId="9" borderId="5" xfId="0" applyNumberFormat="1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49" fontId="6" fillId="10" borderId="5" xfId="0" applyNumberFormat="1" applyFont="1" applyFill="1" applyBorder="1" applyAlignment="1">
      <alignment horizontal="center" vertical="center" wrapText="1"/>
    </xf>
    <xf numFmtId="1" fontId="6" fillId="10" borderId="5" xfId="0" applyNumberFormat="1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49" fontId="6" fillId="11" borderId="5" xfId="0" applyNumberFormat="1" applyFont="1" applyFill="1" applyBorder="1" applyAlignment="1">
      <alignment horizontal="center" vertical="center" wrapText="1"/>
    </xf>
    <xf numFmtId="1" fontId="6" fillId="11" borderId="5" xfId="0" applyNumberFormat="1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49" fontId="6" fillId="12" borderId="5" xfId="0" applyNumberFormat="1" applyFont="1" applyFill="1" applyBorder="1" applyAlignment="1">
      <alignment horizontal="center" vertical="center" wrapText="1"/>
    </xf>
    <xf numFmtId="1" fontId="6" fillId="12" borderId="5" xfId="0" applyNumberFormat="1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49" fontId="6" fillId="13" borderId="5" xfId="0" applyNumberFormat="1" applyFont="1" applyFill="1" applyBorder="1" applyAlignment="1">
      <alignment horizontal="center" vertical="center" wrapText="1"/>
    </xf>
    <xf numFmtId="1" fontId="6" fillId="13" borderId="5" xfId="0" applyNumberFormat="1" applyFont="1" applyFill="1" applyBorder="1" applyAlignment="1">
      <alignment horizontal="center" vertical="center"/>
    </xf>
    <xf numFmtId="1" fontId="7" fillId="13" borderId="5" xfId="0" applyNumberFormat="1" applyFont="1" applyFill="1" applyBorder="1" applyAlignment="1">
      <alignment horizontal="center" vertical="center" wrapText="1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 wrapText="1"/>
    </xf>
    <xf numFmtId="4" fontId="7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 wrapText="1"/>
    </xf>
    <xf numFmtId="3" fontId="7" fillId="14" borderId="5" xfId="0" applyNumberFormat="1" applyFont="1" applyFill="1" applyBorder="1" applyAlignment="1">
      <alignment horizontal="center" vertical="center"/>
    </xf>
    <xf numFmtId="1" fontId="7" fillId="14" borderId="5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4" fontId="8" fillId="3" borderId="4" xfId="1" applyNumberFormat="1" applyFont="1" applyFill="1" applyBorder="1" applyAlignment="1">
      <alignment horizontal="center" vertical="center"/>
    </xf>
    <xf numFmtId="4" fontId="6" fillId="9" borderId="5" xfId="0" applyNumberFormat="1" applyFont="1" applyFill="1" applyBorder="1" applyAlignment="1">
      <alignment horizontal="center" vertical="center"/>
    </xf>
    <xf numFmtId="4" fontId="8" fillId="3" borderId="7" xfId="1" applyNumberFormat="1" applyFont="1" applyFill="1" applyBorder="1" applyAlignment="1">
      <alignment horizontal="center" vertical="center"/>
    </xf>
    <xf numFmtId="0" fontId="6" fillId="15" borderId="5" xfId="0" applyFont="1" applyFill="1" applyBorder="1" applyAlignment="1">
      <alignment horizontal="center" vertical="center" wrapText="1"/>
    </xf>
    <xf numFmtId="49" fontId="6" fillId="15" borderId="5" xfId="0" applyNumberFormat="1" applyFont="1" applyFill="1" applyBorder="1" applyAlignment="1">
      <alignment horizontal="center" vertical="center" wrapText="1"/>
    </xf>
    <xf numFmtId="1" fontId="6" fillId="15" borderId="5" xfId="0" applyNumberFormat="1" applyFont="1" applyFill="1" applyBorder="1" applyAlignment="1">
      <alignment horizontal="center" vertical="center" wrapText="1"/>
    </xf>
    <xf numFmtId="1" fontId="6" fillId="15" borderId="5" xfId="0" applyNumberFormat="1" applyFont="1" applyFill="1" applyBorder="1" applyAlignment="1">
      <alignment horizontal="center" vertical="center"/>
    </xf>
    <xf numFmtId="4" fontId="6" fillId="15" borderId="5" xfId="0" applyNumberFormat="1" applyFont="1" applyFill="1" applyBorder="1" applyAlignment="1">
      <alignment horizontal="center" vertical="center"/>
    </xf>
    <xf numFmtId="1" fontId="6" fillId="13" borderId="5" xfId="0" applyNumberFormat="1" applyFont="1" applyFill="1" applyBorder="1" applyAlignment="1">
      <alignment horizontal="center" vertical="center" wrapText="1"/>
    </xf>
    <xf numFmtId="4" fontId="6" fillId="13" borderId="5" xfId="0" applyNumberFormat="1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C6F14A-FA62-4209-9749-73204B59034B}" name="Programacion" displayName="Programacion" ref="A1:AS261" totalsRowShown="0" headerRowDxfId="47" dataDxfId="46" tableBorderDxfId="45" headerRowCellStyle="Moneda" dataCellStyle="Moneda">
  <autoFilter ref="A1:AS261" xr:uid="{83E85E16-CFD5-437D-8602-E07360029470}"/>
  <tableColumns count="45">
    <tableColumn id="1" xr3:uid="{5E788629-D285-4132-8AA7-E3DA7053F03E}" name="CENTRO COSTO" dataDxfId="44"/>
    <tableColumn id="2" xr3:uid="{060FE213-E789-4572-BCBF-EA01EDCF999B}" name="NOMBRE DEL SERVICIO/BIEN A REQUERIR" dataDxfId="43"/>
    <tableColumn id="3" xr3:uid="{8C969A67-AA0E-42AE-9572-D1E3DA2C0B52}" name="RUBRO" dataDxfId="42"/>
    <tableColumn id="4" xr3:uid="{1436C323-B54A-4C7B-8E8A-094819C21B2D}" name="FUENTE DE FINANCIAMIENTO" dataDxfId="41"/>
    <tableColumn id="5" xr3:uid="{10FC15F9-C5AF-4911-9E75-8A8AFAE6855B}" name="META" dataDxfId="40"/>
    <tableColumn id="6" xr3:uid="{84250A74-7600-4CAF-BE3E-6A36A5E93EC8}" name="GENÉRICA DE GASTO" dataDxfId="39" dataCellStyle="Moneda"/>
    <tableColumn id="7" xr3:uid="{FB330816-CFD9-4612-A72F-A72D7396CC0E}" name="CLASIFICADOR" dataDxfId="38"/>
    <tableColumn id="8" xr3:uid="{B86865EF-2BAE-4548-9242-84578A7D483B}" name="ENERO" dataDxfId="37" dataCellStyle="Moneda"/>
    <tableColumn id="21" xr3:uid="{DA5B2B52-AEE0-4997-B2D7-0A701B5F6A61}" name="DEVENGADO ENERO" dataDxfId="36" dataCellStyle="Moneda"/>
    <tableColumn id="9" xr3:uid="{3B77D2A9-6C54-4EE0-9D72-AE893978F0A7}" name="FEBRERO" dataDxfId="35" dataCellStyle="Moneda"/>
    <tableColumn id="22" xr3:uid="{9F9395C8-0CD1-4085-9F71-16DA6838AC23}" name="DEVENGADO FEBRERO" dataDxfId="34" dataCellStyle="Moneda"/>
    <tableColumn id="10" xr3:uid="{9E351719-44B8-4415-810A-B16D178A75F3}" name="MARZO" dataDxfId="33" dataCellStyle="Moneda"/>
    <tableColumn id="23" xr3:uid="{20C0B9F7-9A9C-491A-B3AC-72E07A20F716}" name="DEVENGADO MARZO" dataDxfId="32" dataCellStyle="Moneda"/>
    <tableColumn id="11" xr3:uid="{FC849ACD-DE5E-44E6-A050-809DB2D7BEA0}" name="ABRIL" dataDxfId="31" dataCellStyle="Moneda"/>
    <tableColumn id="24" xr3:uid="{26BDA45A-576B-4153-81D5-6C72A86A2A8D}" name="DEVENGADO ABRIL" dataDxfId="30" dataCellStyle="Moneda"/>
    <tableColumn id="12" xr3:uid="{3C4723AF-2839-4C5D-A5E7-25F5C7C34937}" name="MAYO" dataDxfId="29" dataCellStyle="Moneda"/>
    <tableColumn id="25" xr3:uid="{87D405D2-DFFD-45CD-9212-E2C63FD8BBA0}" name="DEVENGADO MAYO" dataDxfId="28" dataCellStyle="Moneda"/>
    <tableColumn id="13" xr3:uid="{3DC29C7B-2524-4494-889D-F8B1597B3ACE}" name="JUNIO" dataDxfId="27" dataCellStyle="Moneda"/>
    <tableColumn id="26" xr3:uid="{5EB0C050-ECE4-44AB-AA8A-7DC57E4C8F2B}" name="DEVENGADO JUNIO" dataDxfId="26" dataCellStyle="Moneda"/>
    <tableColumn id="14" xr3:uid="{04EB33E7-1B82-4D02-9FD3-4FC2522944FD}" name="JULIO" dataDxfId="25" dataCellStyle="Moneda"/>
    <tableColumn id="27" xr3:uid="{8360EF6A-B24A-426D-A624-A774EEF02D7A}" name="DEVENGADO JULIO" dataDxfId="24" dataCellStyle="Moneda"/>
    <tableColumn id="15" xr3:uid="{F73301FA-4CA0-45B0-A91E-4855446841A0}" name="AGOSTO" dataDxfId="23" dataCellStyle="Moneda"/>
    <tableColumn id="28" xr3:uid="{65AC7833-E16E-4D49-BBA7-C52804DD8674}" name="DEVENGADO AGOSTO" dataDxfId="22" dataCellStyle="Moneda"/>
    <tableColumn id="16" xr3:uid="{0511CE12-842D-4BCB-9174-7017E79F4CB4}" name="SEPTIEMBRE" dataDxfId="21" dataCellStyle="Moneda"/>
    <tableColumn id="29" xr3:uid="{3B1B3F8C-C851-40DA-8F3F-140645C052D1}" name="DEVENGADO SEPTIEMBRE" dataDxfId="20" dataCellStyle="Moneda"/>
    <tableColumn id="17" xr3:uid="{6967473B-FC9D-4DA4-AE59-ECE840F84B79}" name="OCTUBRE" dataDxfId="19" dataCellStyle="Moneda"/>
    <tableColumn id="30" xr3:uid="{A175681D-EBB5-4ADE-8CB1-964CD5A4CBD6}" name="DEVENGADO OCTUBRE" dataDxfId="18" dataCellStyle="Moneda"/>
    <tableColumn id="18" xr3:uid="{FEDBAD95-F435-42CD-AED2-990E1F6D19D4}" name="NOVIEMBRE" dataDxfId="17" dataCellStyle="Moneda"/>
    <tableColumn id="32" xr3:uid="{CF5BD187-D3A1-4650-96CB-FC1594C578A3}" name="DEVENGADO NOVIEMBRE" dataDxfId="16" dataCellStyle="Moneda"/>
    <tableColumn id="19" xr3:uid="{463BB049-EB3E-461B-895C-C459C8CAE3B8}" name="DICIEMBRE" dataDxfId="15" dataCellStyle="Moneda"/>
    <tableColumn id="33" xr3:uid="{0348C87F-2422-4ECD-AFB6-C85DD3CAB0B1}" name="DEVENGADO DICIEMBRE" dataDxfId="14" dataCellStyle="Moneda"/>
    <tableColumn id="20" xr3:uid="{B4705C38-CC59-4798-9C9F-EAF8DD06CBC5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E253F35A-6D0E-4B68-AB93-0710A3C30885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4A9A28D3-C965-499B-AF1A-689B7AAD0BC4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6607CA5E-950B-4E3E-97C2-C8810ECE065A}" name="SEGUNDO TRIMESTRE" dataDxfId="10" dataCellStyle="Moneda">
      <calculatedColumnFormula>Programacion[[#This Row],[ABRIL]]+Programacion[[#This Row],[MAYO]]+Programacion[[#This Row],[JUNIO]]</calculatedColumnFormula>
    </tableColumn>
    <tableColumn id="44" xr3:uid="{94D1EB01-A78A-4D5E-8876-D845B6BF80C0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30E211BB-1D4D-4A7D-B553-FACFA9D228C1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CFB217B3-6422-418A-BEE4-B1C14AC4C277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ED9F8A55-72E1-4CC3-AB1B-65E3E929681C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EE2BB5B6-08D8-4BC3-B997-D2C6F4BEF8C0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6D94E7C9-B364-4557-8BE3-4F020811F429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60E1F280-6B17-407C-BBAD-7DFDC3F9FC74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9A96F84F-4FD6-4118-A547-0AE70F3E53F5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2ECF6AC8-C105-4D50-9A86-AF5A47CEB398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7A8E5138-6DB6-454F-A47B-8B2A2107F251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61"/>
  <sheetViews>
    <sheetView tabSelected="1" topLeftCell="A197" zoomScale="85" zoomScaleNormal="85" workbookViewId="0">
      <selection activeCell="F206" sqref="F20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16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16"/>
    </row>
    <row r="4" spans="1:46" ht="30" x14ac:dyDescent="0.25">
      <c r="A4" s="11" t="s">
        <v>45</v>
      </c>
      <c r="B4" s="12" t="s">
        <v>231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51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>
        <v>400</v>
      </c>
      <c r="S4" s="17">
        <v>400</v>
      </c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400</v>
      </c>
      <c r="AJ4" s="19">
        <f>Programacion[[#This Row],[DEVENGADO ABRIL]]+Programacion[[#This Row],[DEVENGADO MAYO]]+Programacion[[#This Row],[DEVENGADO JUNIO]]</f>
        <v>400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0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400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116"/>
    </row>
    <row r="5" spans="1:46" x14ac:dyDescent="0.25">
      <c r="A5" s="11" t="s">
        <v>45</v>
      </c>
      <c r="B5" s="12" t="s">
        <v>84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85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>
        <v>200</v>
      </c>
      <c r="S5" s="33">
        <v>200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33">
        <f>Programacion[[#This Row],[ENERO]]+Programacion[[#This Row],[FEBRERO]]+Programacion[[#This Row],[MARZO]]</f>
        <v>0</v>
      </c>
      <c r="AH5" s="33">
        <f>Programacion[[#This Row],[DEVENGADO ENERO]]+Programacion[[#This Row],[DEVENGADO FEBRERO]]+Programacion[[#This Row],[DEVENGADO MARZO]]</f>
        <v>0</v>
      </c>
      <c r="AI5" s="33">
        <f>Programacion[[#This Row],[ABRIL]]+Programacion[[#This Row],[MAYO]]+Programacion[[#This Row],[JUNIO]]</f>
        <v>200</v>
      </c>
      <c r="AJ5" s="33">
        <f>Programacion[[#This Row],[DEVENGADO ABRIL]]+Programacion[[#This Row],[DEVENGADO MAYO]]+Programacion[[#This Row],[DEVENGADO JUNIO]]</f>
        <v>200</v>
      </c>
      <c r="AK5" s="33">
        <f>Programacion[[#This Row],[JULIO]]+Programacion[[#This Row],[AGOSTO]]+Programacion[[#This Row],[SEPTIEMBRE]]</f>
        <v>0</v>
      </c>
      <c r="AL5" s="33">
        <f>Programacion[[#This Row],[DEVENGADO JULIO]]+Programacion[[#This Row],[DEVENGADO AGOSTO]]+Programacion[[#This Row],[DEVENGADO SEPTIEMBRE]]</f>
        <v>0</v>
      </c>
      <c r="AM5" s="33">
        <f>Programacion[[#This Row],[OCTUBRE]]+Programacion[[#This Row],[NOVIEMBRE]]+Programacion[[#This Row],[DICIEMBRE]]</f>
        <v>0</v>
      </c>
      <c r="AN5" s="21">
        <f>Programacion[[#This Row],[DEVENGADO OCTUBRE]]+Programacion[[#This Row],[DEVENGADO NOVIEMBRE]]+Programacion[[#This Row],[DEVENGADO DICIEMBRE]]</f>
        <v>0</v>
      </c>
      <c r="AO5" s="21">
        <f>Programacion[[#This Row],[ENERO]]+Programacion[[#This Row],[FEBRERO]]+Programacion[[#This Row],[MARZO]]+Programacion[[#This Row],[ABRIL]]+Programacion[[#This Row],[MAYO]]+Programacion[[#This Row],[JUNIO]]</f>
        <v>200</v>
      </c>
      <c r="AP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116"/>
    </row>
    <row r="6" spans="1:46" x14ac:dyDescent="0.25">
      <c r="A6" s="11" t="s">
        <v>45</v>
      </c>
      <c r="B6" s="12" t="s">
        <v>239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51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>
        <v>200</v>
      </c>
      <c r="U6" s="33">
        <v>100</v>
      </c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0</v>
      </c>
      <c r="AJ6" s="33">
        <f>Programacion[[#This Row],[DEVENGADO ABRIL]]+Programacion[[#This Row],[DEVENGADO MAYO]]+Programacion[[#This Row],[DEVENGADO JUNIO]]</f>
        <v>0</v>
      </c>
      <c r="AK6" s="33">
        <f>Programacion[[#This Row],[JULIO]]+Programacion[[#This Row],[AGOSTO]]+Programacion[[#This Row],[SEPTIEMBRE]]</f>
        <v>200</v>
      </c>
      <c r="AL6" s="33">
        <f>Programacion[[#This Row],[DEVENGADO JULIO]]+Programacion[[#This Row],[DEVENGADO AGOSTO]]+Programacion[[#This Row],[DEVENGADO SEPTIEMBRE]]</f>
        <v>100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116"/>
    </row>
    <row r="7" spans="1:46" ht="30" x14ac:dyDescent="0.25">
      <c r="A7" s="11" t="s">
        <v>45</v>
      </c>
      <c r="B7" s="12" t="s">
        <v>244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49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>
        <v>800</v>
      </c>
      <c r="U7" s="33">
        <v>800</v>
      </c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33">
        <f>Programacion[[#This Row],[ENERO]]+Programacion[[#This Row],[FEBRERO]]+Programacion[[#This Row],[MARZO]]</f>
        <v>0</v>
      </c>
      <c r="AH7" s="33">
        <f>Programacion[[#This Row],[DEVENGADO ENERO]]+Programacion[[#This Row],[DEVENGADO FEBRERO]]+Programacion[[#This Row],[DEVENGADO MARZO]]</f>
        <v>0</v>
      </c>
      <c r="AI7" s="33">
        <f>Programacion[[#This Row],[ABRIL]]+Programacion[[#This Row],[MAYO]]+Programacion[[#This Row],[JUNIO]]</f>
        <v>0</v>
      </c>
      <c r="AJ7" s="33">
        <f>Programacion[[#This Row],[DEVENGADO ABRIL]]+Programacion[[#This Row],[DEVENGADO MAYO]]+Programacion[[#This Row],[DEVENGADO JUNIO]]</f>
        <v>0</v>
      </c>
      <c r="AK7" s="33">
        <f>Programacion[[#This Row],[JULIO]]+Programacion[[#This Row],[AGOSTO]]+Programacion[[#This Row],[SEPTIEMBRE]]</f>
        <v>800</v>
      </c>
      <c r="AL7" s="33">
        <f>Programacion[[#This Row],[DEVENGADO JULIO]]+Programacion[[#This Row],[DEVENGADO AGOSTO]]+Programacion[[#This Row],[DEVENGADO SEPTIEMBRE]]</f>
        <v>800</v>
      </c>
      <c r="AM7" s="33">
        <f>Programacion[[#This Row],[OCTUBRE]]+Programacion[[#This Row],[NOVIEMBRE]]+Programacion[[#This Row],[DICIEMBRE]]</f>
        <v>0</v>
      </c>
      <c r="AN7" s="21">
        <f>Programacion[[#This Row],[DEVENGADO OCTUBRE]]+Programacion[[#This Row],[DEVENGADO NOVIEMBRE]]+Programacion[[#This Row],[DEVENGADO DICIEMBRE]]</f>
        <v>0</v>
      </c>
      <c r="AO7" s="21">
        <f>Programacion[[#This Row],[ENERO]]+Programacion[[#This Row],[FEBRERO]]+Programacion[[#This Row],[MARZO]]+Programacion[[#This Row],[ABRIL]]+Programacion[[#This Row],[MAYO]]+Programacion[[#This Row],[JUNIO]]</f>
        <v>0</v>
      </c>
      <c r="AP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116"/>
    </row>
    <row r="8" spans="1:46" x14ac:dyDescent="0.25">
      <c r="A8" s="11" t="s">
        <v>45</v>
      </c>
      <c r="B8" s="12" t="s">
        <v>50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540</v>
      </c>
      <c r="U8" s="33">
        <v>509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540</v>
      </c>
      <c r="AL8" s="33">
        <f>Programacion[[#This Row],[DEVENGADO JULIO]]+Programacion[[#This Row],[DEVENGADO AGOSTO]]+Programacion[[#This Row],[DEVENGADO SEPTIEMBRE]]</f>
        <v>509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116"/>
    </row>
    <row r="9" spans="1:46" ht="30" x14ac:dyDescent="0.25">
      <c r="A9" s="11" t="s">
        <v>45</v>
      </c>
      <c r="B9" s="12" t="s">
        <v>52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17"/>
      <c r="I9" s="17"/>
      <c r="J9" s="17"/>
      <c r="K9" s="17"/>
      <c r="L9" s="17"/>
      <c r="M9" s="17"/>
      <c r="N9" s="17"/>
      <c r="O9" s="17"/>
      <c r="P9" s="17">
        <v>1600</v>
      </c>
      <c r="Q9" s="17">
        <v>1882.26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9" s="17">
        <f>Programacion[[#This Row],[ENERO]]+Programacion[[#This Row],[FEBRERO]]+Programacion[[#This Row],[MARZO]]</f>
        <v>0</v>
      </c>
      <c r="AH9" s="17">
        <f>Programacion[[#This Row],[DEVENGADO ENERO]]+Programacion[[#This Row],[DEVENGADO FEBRERO]]+Programacion[[#This Row],[DEVENGADO MARZO]]</f>
        <v>0</v>
      </c>
      <c r="AI9" s="17">
        <f>Programacion[[#This Row],[ABRIL]]+Programacion[[#This Row],[MAYO]]+Programacion[[#This Row],[JUNIO]]</f>
        <v>1600</v>
      </c>
      <c r="AJ9" s="17">
        <f>Programacion[[#This Row],[DEVENGADO ABRIL]]+Programacion[[#This Row],[DEVENGADO MAYO]]+Programacion[[#This Row],[DEVENGADO JUNIO]]</f>
        <v>1882.26</v>
      </c>
      <c r="AK9" s="17">
        <f>Programacion[[#This Row],[JULIO]]+Programacion[[#This Row],[AGOSTO]]+Programacion[[#This Row],[SEPTIEMBRE]]</f>
        <v>0</v>
      </c>
      <c r="AL9" s="17">
        <f>Programacion[[#This Row],[DEVENGADO JULIO]]+Programacion[[#This Row],[DEVENGADO AGOSTO]]+Programacion[[#This Row],[DEVENGADO SEPTIEMBRE]]</f>
        <v>0</v>
      </c>
      <c r="AM9" s="17">
        <f>Programacion[[#This Row],[OCTUBRE]]+Programacion[[#This Row],[NOVIEMBRE]]+Programacion[[#This Row],[DICIEMBRE]]</f>
        <v>0</v>
      </c>
      <c r="AN9" s="17">
        <f>Programacion[[#This Row],[DEVENGADO OCTUBRE]]+Programacion[[#This Row],[DEVENGADO NOVIEMBRE]]+Programacion[[#This Row],[DEVENGADO DICIEMBRE]]</f>
        <v>0</v>
      </c>
      <c r="AO9" s="17">
        <f>Programacion[[#This Row],[ENERO]]+Programacion[[#This Row],[FEBRERO]]+Programacion[[#This Row],[MARZO]]+Programacion[[#This Row],[ABRIL]]+Programacion[[#This Row],[MAYO]]+Programacion[[#This Row],[JUNIO]]</f>
        <v>1600</v>
      </c>
      <c r="AP9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9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9" s="116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17"/>
      <c r="I10" s="17"/>
      <c r="J10" s="17"/>
      <c r="K10" s="17"/>
      <c r="L10" s="17"/>
      <c r="M10" s="17"/>
      <c r="N10" s="17"/>
      <c r="O10" s="17"/>
      <c r="P10" s="17">
        <v>1080</v>
      </c>
      <c r="Q10" s="17">
        <v>1080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0" s="17">
        <f>Programacion[[#This Row],[ENERO]]+Programacion[[#This Row],[FEBRERO]]+Programacion[[#This Row],[MARZO]]</f>
        <v>0</v>
      </c>
      <c r="AH10" s="17">
        <f>Programacion[[#This Row],[DEVENGADO ENERO]]+Programacion[[#This Row],[DEVENGADO FEBRERO]]+Programacion[[#This Row],[DEVENGADO MARZO]]</f>
        <v>0</v>
      </c>
      <c r="AI10" s="17">
        <f>Programacion[[#This Row],[ABRIL]]+Programacion[[#This Row],[MAYO]]+Programacion[[#This Row],[JUNIO]]</f>
        <v>1080</v>
      </c>
      <c r="AJ10" s="17">
        <f>Programacion[[#This Row],[DEVENGADO ABRIL]]+Programacion[[#This Row],[DEVENGADO MAYO]]+Programacion[[#This Row],[DEVENGADO JUNIO]]</f>
        <v>1080</v>
      </c>
      <c r="AK10" s="17">
        <f>Programacion[[#This Row],[JULIO]]+Programacion[[#This Row],[AGOSTO]]+Programacion[[#This Row],[SEPTIEMBRE]]</f>
        <v>0</v>
      </c>
      <c r="AL10" s="17">
        <f>Programacion[[#This Row],[DEVENGADO JULIO]]+Programacion[[#This Row],[DEVENGADO AGOSTO]]+Programacion[[#This Row],[DEVENGADO SEPTIEMBRE]]</f>
        <v>0</v>
      </c>
      <c r="AM10" s="17">
        <f>Programacion[[#This Row],[OCTUBRE]]+Programacion[[#This Row],[NOVIEMBRE]]+Programacion[[#This Row],[DICIEMBRE]]</f>
        <v>0</v>
      </c>
      <c r="AN10" s="17">
        <f>Programacion[[#This Row],[DEVENGADO OCTUBRE]]+Programacion[[#This Row],[DEVENGADO NOVIEMBRE]]+Programacion[[#This Row],[DEVENGADO DICIEMBRE]]</f>
        <v>0</v>
      </c>
      <c r="AO10" s="17">
        <f>Programacion[[#This Row],[ENERO]]+Programacion[[#This Row],[FEBRERO]]+Programacion[[#This Row],[MARZO]]+Programacion[[#This Row],[ABRIL]]+Programacion[[#This Row],[MAYO]]+Programacion[[#This Row],[JUNIO]]</f>
        <v>1080</v>
      </c>
      <c r="AP10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0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0" s="116"/>
    </row>
    <row r="11" spans="1:46" x14ac:dyDescent="0.25">
      <c r="A11" s="118" t="s">
        <v>45</v>
      </c>
      <c r="B11" s="118" t="s">
        <v>50</v>
      </c>
      <c r="C11" s="118" t="s">
        <v>246</v>
      </c>
      <c r="D11" s="119" t="s">
        <v>48</v>
      </c>
      <c r="E11" s="120">
        <v>39</v>
      </c>
      <c r="F11" s="120">
        <v>23</v>
      </c>
      <c r="G11" s="119" t="s">
        <v>51</v>
      </c>
      <c r="H11" s="33"/>
      <c r="I11" s="33"/>
      <c r="J11" s="33"/>
      <c r="K11" s="33"/>
      <c r="L11" s="33">
        <v>1140</v>
      </c>
      <c r="M11" s="33">
        <v>1140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11" s="33">
        <f>Programacion[[#This Row],[ENERO]]+Programacion[[#This Row],[FEBRERO]]+Programacion[[#This Row],[MARZO]]</f>
        <v>1140</v>
      </c>
      <c r="AH11" s="33">
        <f>Programacion[[#This Row],[DEVENGADO ENERO]]+Programacion[[#This Row],[DEVENGADO FEBRERO]]+Programacion[[#This Row],[DEVENGADO MARZO]]</f>
        <v>1140</v>
      </c>
      <c r="AI11" s="33">
        <f>Programacion[[#This Row],[ABRIL]]+Programacion[[#This Row],[MAYO]]+Programacion[[#This Row],[JUNIO]]</f>
        <v>0</v>
      </c>
      <c r="AJ11" s="33">
        <f>Programacion[[#This Row],[DEVENGADO ABRIL]]+Programacion[[#This Row],[DEVENGADO MAYO]]+Programacion[[#This Row],[DEVENGADO JUNIO]]</f>
        <v>0</v>
      </c>
      <c r="AK11" s="33">
        <f>Programacion[[#This Row],[JULIO]]+Programacion[[#This Row],[AGOSTO]]+Programacion[[#This Row],[SEPTIEMBRE]]</f>
        <v>0</v>
      </c>
      <c r="AL11" s="33">
        <f>Programacion[[#This Row],[DEVENGADO JULIO]]+Programacion[[#This Row],[DEVENGADO AGOSTO]]+Programacion[[#This Row],[DEVENGADO SEPTIEMBRE]]</f>
        <v>0</v>
      </c>
      <c r="AM11" s="33">
        <f>Programacion[[#This Row],[OCTUBRE]]+Programacion[[#This Row],[NOVIEMBRE]]+Programacion[[#This Row],[DICIEMBRE]]</f>
        <v>0</v>
      </c>
      <c r="AN11" s="21">
        <f>Programacion[[#This Row],[DEVENGADO OCTUBRE]]+Programacion[[#This Row],[DEVENGADO NOVIEMBRE]]+Programacion[[#This Row],[DEVENGADO DICIEMBRE]]</f>
        <v>0</v>
      </c>
      <c r="AO11" s="21">
        <f>Programacion[[#This Row],[ENERO]]+Programacion[[#This Row],[FEBRERO]]+Programacion[[#This Row],[MARZO]]+Programacion[[#This Row],[ABRIL]]+Programacion[[#This Row],[MAYO]]+Programacion[[#This Row],[JUNIO]]</f>
        <v>1140</v>
      </c>
      <c r="AP1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1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11" s="116"/>
    </row>
    <row r="12" spans="1:46" ht="30" x14ac:dyDescent="0.25">
      <c r="A12" s="11" t="s">
        <v>45</v>
      </c>
      <c r="B12" s="12" t="s">
        <v>53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49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>
        <v>2096.16</v>
      </c>
      <c r="X12" s="17">
        <v>2400</v>
      </c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0</v>
      </c>
      <c r="AJ12" s="17">
        <f>Programacion[[#This Row],[DEVENGADO ABRIL]]+Programacion[[#This Row],[DEVENGADO MAYO]]+Programacion[[#This Row],[DEVENGADO JUNIO]]</f>
        <v>0</v>
      </c>
      <c r="AK12" s="17">
        <f>Programacion[[#This Row],[JULIO]]+Programacion[[#This Row],[AGOSTO]]+Programacion[[#This Row],[SEPTIEMBRE]]</f>
        <v>2400</v>
      </c>
      <c r="AL12" s="17">
        <f>Programacion[[#This Row],[DEVENGADO JULIO]]+Programacion[[#This Row],[DEVENGADO AGOSTO]]+Programacion[[#This Row],[DEVENGADO SEPTIEMBRE]]</f>
        <v>2096.16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T12" s="116"/>
    </row>
    <row r="13" spans="1:46" x14ac:dyDescent="0.25">
      <c r="A13" s="11" t="s">
        <v>45</v>
      </c>
      <c r="B13" s="12" t="s">
        <v>50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51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>
        <v>1620</v>
      </c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1620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16"/>
    </row>
    <row r="14" spans="1:46" ht="30" x14ac:dyDescent="0.25">
      <c r="A14" s="11" t="s">
        <v>45</v>
      </c>
      <c r="B14" s="12" t="s">
        <v>54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49</v>
      </c>
      <c r="H14" s="17"/>
      <c r="I14" s="17"/>
      <c r="J14" s="17"/>
      <c r="K14" s="17"/>
      <c r="L14" s="17"/>
      <c r="M14" s="17"/>
      <c r="N14" s="17"/>
      <c r="O14" s="17"/>
      <c r="P14" s="17">
        <v>1600</v>
      </c>
      <c r="Q14" s="17">
        <v>2247.67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1600</v>
      </c>
      <c r="AJ14" s="17">
        <f>Programacion[[#This Row],[DEVENGADO ABRIL]]+Programacion[[#This Row],[DEVENGADO MAYO]]+Programacion[[#This Row],[DEVENGADO JUNIO]]</f>
        <v>2247.67</v>
      </c>
      <c r="AK14" s="17">
        <f>Programacion[[#This Row],[JULIO]]+Programacion[[#This Row],[AGOSTO]]+Programacion[[#This Row],[SEPTIEMBRE]]</f>
        <v>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1600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116"/>
    </row>
    <row r="15" spans="1:46" x14ac:dyDescent="0.25">
      <c r="A15" s="11" t="s">
        <v>45</v>
      </c>
      <c r="B15" s="12" t="s">
        <v>50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51</v>
      </c>
      <c r="H15" s="17"/>
      <c r="I15" s="17"/>
      <c r="J15" s="17"/>
      <c r="K15" s="17"/>
      <c r="L15" s="17"/>
      <c r="M15" s="17"/>
      <c r="N15" s="17"/>
      <c r="O15" s="17"/>
      <c r="P15" s="17">
        <v>1080</v>
      </c>
      <c r="Q15" s="17">
        <v>1080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1080</v>
      </c>
      <c r="AJ15" s="17">
        <f>Programacion[[#This Row],[DEVENGADO ABRIL]]+Programacion[[#This Row],[DEVENGADO MAYO]]+Programacion[[#This Row],[DEVENGADO JUNIO]]</f>
        <v>1080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1080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116"/>
    </row>
    <row r="16" spans="1:46" ht="30" x14ac:dyDescent="0.25">
      <c r="A16" s="118" t="s">
        <v>45</v>
      </c>
      <c r="B16" s="121" t="s">
        <v>247</v>
      </c>
      <c r="C16" s="118" t="s">
        <v>248</v>
      </c>
      <c r="D16" s="119" t="s">
        <v>48</v>
      </c>
      <c r="E16" s="120">
        <v>39</v>
      </c>
      <c r="F16" s="120">
        <v>23</v>
      </c>
      <c r="G16" s="119" t="s">
        <v>49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>
        <v>2400</v>
      </c>
      <c r="W16" s="33">
        <v>2400</v>
      </c>
      <c r="X16" s="33"/>
      <c r="Y16" s="33"/>
      <c r="Z16" s="33"/>
      <c r="AA16" s="33"/>
      <c r="AB16" s="33"/>
      <c r="AC16" s="33"/>
      <c r="AD16" s="33"/>
      <c r="AE16" s="33"/>
      <c r="AF1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33">
        <f>Programacion[[#This Row],[ENERO]]+Programacion[[#This Row],[FEBRERO]]+Programacion[[#This Row],[MARZO]]</f>
        <v>0</v>
      </c>
      <c r="AH16" s="33">
        <f>Programacion[[#This Row],[DEVENGADO ENERO]]+Programacion[[#This Row],[DEVENGADO FEBRERO]]+Programacion[[#This Row],[DEVENGADO MARZO]]</f>
        <v>0</v>
      </c>
      <c r="AI16" s="33">
        <f>Programacion[[#This Row],[ABRIL]]+Programacion[[#This Row],[MAYO]]+Programacion[[#This Row],[JUNIO]]</f>
        <v>0</v>
      </c>
      <c r="AJ16" s="33">
        <f>Programacion[[#This Row],[DEVENGADO ABRIL]]+Programacion[[#This Row],[DEVENGADO MAYO]]+Programacion[[#This Row],[DEVENGADO JUNIO]]</f>
        <v>0</v>
      </c>
      <c r="AK16" s="33">
        <f>Programacion[[#This Row],[JULIO]]+Programacion[[#This Row],[AGOSTO]]+Programacion[[#This Row],[SEPTIEMBRE]]</f>
        <v>2400</v>
      </c>
      <c r="AL16" s="33">
        <f>Programacion[[#This Row],[DEVENGADO JULIO]]+Programacion[[#This Row],[DEVENGADO AGOSTO]]+Programacion[[#This Row],[DEVENGADO SEPTIEMBRE]]</f>
        <v>2400</v>
      </c>
      <c r="AM16" s="33">
        <f>Programacion[[#This Row],[OCTUBRE]]+Programacion[[#This Row],[NOVIEMBRE]]+Programacion[[#This Row],[DICIEMBRE]]</f>
        <v>0</v>
      </c>
      <c r="AN16" s="21">
        <f>Programacion[[#This Row],[DEVENGADO OCTUBRE]]+Programacion[[#This Row],[DEVENGADO NOVIEMBRE]]+Programacion[[#This Row],[DEVENGADO DICIEMBRE]]</f>
        <v>0</v>
      </c>
      <c r="AO16" s="21">
        <f>Programacion[[#This Row],[ENERO]]+Programacion[[#This Row],[FEBRERO]]+Programacion[[#This Row],[MARZO]]+Programacion[[#This Row],[ABRIL]]+Programacion[[#This Row],[MAYO]]+Programacion[[#This Row],[JUNIO]]</f>
        <v>0</v>
      </c>
      <c r="AP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116"/>
    </row>
    <row r="17" spans="1:46" x14ac:dyDescent="0.25">
      <c r="A17" s="118" t="s">
        <v>45</v>
      </c>
      <c r="B17" s="121" t="s">
        <v>50</v>
      </c>
      <c r="C17" s="118" t="s">
        <v>246</v>
      </c>
      <c r="D17" s="119" t="s">
        <v>48</v>
      </c>
      <c r="E17" s="120">
        <v>39</v>
      </c>
      <c r="F17" s="120">
        <v>23</v>
      </c>
      <c r="G17" s="119" t="s">
        <v>51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>
        <v>1620</v>
      </c>
      <c r="W17" s="33">
        <v>1620</v>
      </c>
      <c r="X17" s="33"/>
      <c r="Y17" s="33"/>
      <c r="Z17" s="33"/>
      <c r="AA17" s="33"/>
      <c r="AB17" s="33"/>
      <c r="AC17" s="33"/>
      <c r="AD17" s="33"/>
      <c r="AE17" s="33"/>
      <c r="AF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33">
        <f>Programacion[[#This Row],[ENERO]]+Programacion[[#This Row],[FEBRERO]]+Programacion[[#This Row],[MARZO]]</f>
        <v>0</v>
      </c>
      <c r="AH17" s="33">
        <f>Programacion[[#This Row],[DEVENGADO ENERO]]+Programacion[[#This Row],[DEVENGADO FEBRERO]]+Programacion[[#This Row],[DEVENGADO MARZO]]</f>
        <v>0</v>
      </c>
      <c r="AI17" s="33">
        <f>Programacion[[#This Row],[ABRIL]]+Programacion[[#This Row],[MAYO]]+Programacion[[#This Row],[JUNIO]]</f>
        <v>0</v>
      </c>
      <c r="AJ17" s="33">
        <f>Programacion[[#This Row],[DEVENGADO ABRIL]]+Programacion[[#This Row],[DEVENGADO MAYO]]+Programacion[[#This Row],[DEVENGADO JUNIO]]</f>
        <v>0</v>
      </c>
      <c r="AK17" s="33">
        <f>Programacion[[#This Row],[JULIO]]+Programacion[[#This Row],[AGOSTO]]+Programacion[[#This Row],[SEPTIEMBRE]]</f>
        <v>1620</v>
      </c>
      <c r="AL17" s="33">
        <f>Programacion[[#This Row],[DEVENGADO JULIO]]+Programacion[[#This Row],[DEVENGADO AGOSTO]]+Programacion[[#This Row],[DEVENGADO SEPTIEMBRE]]</f>
        <v>1620</v>
      </c>
      <c r="AM17" s="33">
        <f>Programacion[[#This Row],[OCTUBRE]]+Programacion[[#This Row],[NOVIEMBRE]]+Programacion[[#This Row],[DICIEMBRE]]</f>
        <v>0</v>
      </c>
      <c r="AN17" s="21">
        <f>Programacion[[#This Row],[DEVENGADO OCTUBRE]]+Programacion[[#This Row],[DEVENGADO NOVIEMBRE]]+Programacion[[#This Row],[DEVENGADO DICIEMBRE]]</f>
        <v>0</v>
      </c>
      <c r="AO17" s="21">
        <f>Programacion[[#This Row],[ENERO]]+Programacion[[#This Row],[FEBRERO]]+Programacion[[#This Row],[MARZO]]+Programacion[[#This Row],[ABRIL]]+Programacion[[#This Row],[MAYO]]+Programacion[[#This Row],[JUNIO]]</f>
        <v>0</v>
      </c>
      <c r="AP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2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116"/>
    </row>
    <row r="18" spans="1:46" ht="30" x14ac:dyDescent="0.25">
      <c r="A18" s="118" t="s">
        <v>45</v>
      </c>
      <c r="B18" s="118" t="s">
        <v>249</v>
      </c>
      <c r="C18" s="118" t="s">
        <v>84</v>
      </c>
      <c r="D18" s="119" t="s">
        <v>48</v>
      </c>
      <c r="E18" s="120">
        <v>39</v>
      </c>
      <c r="F18" s="120">
        <v>23</v>
      </c>
      <c r="G18" s="119" t="s">
        <v>85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>
        <v>940</v>
      </c>
      <c r="Y18" s="33">
        <v>900</v>
      </c>
      <c r="Z18" s="33"/>
      <c r="AA18" s="33"/>
      <c r="AB18" s="33"/>
      <c r="AC18" s="33"/>
      <c r="AD18" s="33"/>
      <c r="AE18" s="33"/>
      <c r="AF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33">
        <f>Programacion[[#This Row],[ENERO]]+Programacion[[#This Row],[FEBRERO]]+Programacion[[#This Row],[MARZO]]</f>
        <v>0</v>
      </c>
      <c r="AH18" s="33">
        <f>Programacion[[#This Row],[DEVENGADO ENERO]]+Programacion[[#This Row],[DEVENGADO FEBRERO]]+Programacion[[#This Row],[DEVENGADO MARZO]]</f>
        <v>0</v>
      </c>
      <c r="AI18" s="33">
        <f>Programacion[[#This Row],[ABRIL]]+Programacion[[#This Row],[MAYO]]+Programacion[[#This Row],[JUNIO]]</f>
        <v>0</v>
      </c>
      <c r="AJ18" s="33">
        <f>Programacion[[#This Row],[DEVENGADO ABRIL]]+Programacion[[#This Row],[DEVENGADO MAYO]]+Programacion[[#This Row],[DEVENGADO JUNIO]]</f>
        <v>0</v>
      </c>
      <c r="AK18" s="33">
        <f>Programacion[[#This Row],[JULIO]]+Programacion[[#This Row],[AGOSTO]]+Programacion[[#This Row],[SEPTIEMBRE]]</f>
        <v>940</v>
      </c>
      <c r="AL18" s="33">
        <f>Programacion[[#This Row],[DEVENGADO JULIO]]+Programacion[[#This Row],[DEVENGADO AGOSTO]]+Programacion[[#This Row],[DEVENGADO SEPTIEMBRE]]</f>
        <v>900</v>
      </c>
      <c r="AM18" s="33">
        <f>Programacion[[#This Row],[OCTUBRE]]+Programacion[[#This Row],[NOVIEMBRE]]+Programacion[[#This Row],[DICIEMBRE]]</f>
        <v>0</v>
      </c>
      <c r="AN18" s="21">
        <f>Programacion[[#This Row],[DEVENGADO OCTUBRE]]+Programacion[[#This Row],[DEVENGADO NOVIEMBRE]]+Programacion[[#This Row],[DEVENGADO DICIEMBRE]]</f>
        <v>0</v>
      </c>
      <c r="AO18" s="21">
        <f>Programacion[[#This Row],[ENERO]]+Programacion[[#This Row],[FEBRERO]]+Programacion[[#This Row],[MARZO]]+Programacion[[#This Row],[ABRIL]]+Programacion[[#This Row],[MAYO]]+Programacion[[#This Row],[JUNIO]]</f>
        <v>0</v>
      </c>
      <c r="AP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21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8" s="116"/>
    </row>
    <row r="19" spans="1:46" ht="30" x14ac:dyDescent="0.25">
      <c r="A19" s="118" t="s">
        <v>45</v>
      </c>
      <c r="B19" s="121" t="s">
        <v>250</v>
      </c>
      <c r="C19" s="118" t="s">
        <v>248</v>
      </c>
      <c r="D19" s="119" t="s">
        <v>48</v>
      </c>
      <c r="E19" s="120">
        <v>39</v>
      </c>
      <c r="F19" s="120">
        <v>23</v>
      </c>
      <c r="G19" s="119" t="s">
        <v>49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>
        <v>2400</v>
      </c>
      <c r="Y19" s="33"/>
      <c r="Z19" s="33"/>
      <c r="AA19" s="33"/>
      <c r="AB19" s="33"/>
      <c r="AC19" s="33"/>
      <c r="AD19" s="33"/>
      <c r="AE19" s="33"/>
      <c r="AF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33">
        <f>Programacion[[#This Row],[ENERO]]+Programacion[[#This Row],[FEBRERO]]+Programacion[[#This Row],[MARZO]]</f>
        <v>0</v>
      </c>
      <c r="AH19" s="33">
        <f>Programacion[[#This Row],[DEVENGADO ENERO]]+Programacion[[#This Row],[DEVENGADO FEBRERO]]+Programacion[[#This Row],[DEVENGADO MARZO]]</f>
        <v>0</v>
      </c>
      <c r="AI19" s="33">
        <f>Programacion[[#This Row],[ABRIL]]+Programacion[[#This Row],[MAYO]]+Programacion[[#This Row],[JUNIO]]</f>
        <v>0</v>
      </c>
      <c r="AJ19" s="33">
        <f>Programacion[[#This Row],[DEVENGADO ABRIL]]+Programacion[[#This Row],[DEVENGADO MAYO]]+Programacion[[#This Row],[DEVENGADO JUNIO]]</f>
        <v>0</v>
      </c>
      <c r="AK19" s="33">
        <f>Programacion[[#This Row],[JULIO]]+Programacion[[#This Row],[AGOSTO]]+Programacion[[#This Row],[SEPTIEMBRE]]</f>
        <v>2400</v>
      </c>
      <c r="AL19" s="33">
        <f>Programacion[[#This Row],[DEVENGADO JULIO]]+Programacion[[#This Row],[DEVENGADO AGOSTO]]+Programacion[[#This Row],[DEVENGADO SEPTIEMBRE]]</f>
        <v>0</v>
      </c>
      <c r="AM19" s="33">
        <f>Programacion[[#This Row],[OCTUBRE]]+Programacion[[#This Row],[NOVIEMBRE]]+Programacion[[#This Row],[DICIEMBRE]]</f>
        <v>0</v>
      </c>
      <c r="AN19" s="21">
        <f>Programacion[[#This Row],[DEVENGADO OCTUBRE]]+Programacion[[#This Row],[DEVENGADO NOVIEMBRE]]+Programacion[[#This Row],[DEVENGADO DICIEMBRE]]</f>
        <v>0</v>
      </c>
      <c r="AO19" s="21">
        <f>Programacion[[#This Row],[ENERO]]+Programacion[[#This Row],[FEBRERO]]+Programacion[[#This Row],[MARZO]]+Programacion[[#This Row],[ABRIL]]+Programacion[[#This Row],[MAYO]]+Programacion[[#This Row],[JUNIO]]</f>
        <v>0</v>
      </c>
      <c r="AP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" s="116"/>
    </row>
    <row r="20" spans="1:46" x14ac:dyDescent="0.25">
      <c r="A20" s="118" t="s">
        <v>45</v>
      </c>
      <c r="B20" s="121" t="s">
        <v>50</v>
      </c>
      <c r="C20" s="118" t="s">
        <v>246</v>
      </c>
      <c r="D20" s="119" t="s">
        <v>48</v>
      </c>
      <c r="E20" s="120">
        <v>39</v>
      </c>
      <c r="F20" s="120">
        <v>23</v>
      </c>
      <c r="G20" s="119" t="s">
        <v>51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>
        <v>2220</v>
      </c>
      <c r="Y20" s="33"/>
      <c r="Z20" s="33"/>
      <c r="AA20" s="33"/>
      <c r="AB20" s="33"/>
      <c r="AC20" s="33"/>
      <c r="AD20" s="33"/>
      <c r="AE20" s="33"/>
      <c r="AF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</v>
      </c>
      <c r="AG20" s="33">
        <f>Programacion[[#This Row],[ENERO]]+Programacion[[#This Row],[FEBRERO]]+Programacion[[#This Row],[MARZO]]</f>
        <v>0</v>
      </c>
      <c r="AH20" s="33">
        <f>Programacion[[#This Row],[DEVENGADO ENERO]]+Programacion[[#This Row],[DEVENGADO FEBRERO]]+Programacion[[#This Row],[DEVENGADO MARZO]]</f>
        <v>0</v>
      </c>
      <c r="AI20" s="33">
        <f>Programacion[[#This Row],[ABRIL]]+Programacion[[#This Row],[MAYO]]+Programacion[[#This Row],[JUNIO]]</f>
        <v>0</v>
      </c>
      <c r="AJ20" s="33">
        <f>Programacion[[#This Row],[DEVENGADO ABRIL]]+Programacion[[#This Row],[DEVENGADO MAYO]]+Programacion[[#This Row],[DEVENGADO JUNIO]]</f>
        <v>0</v>
      </c>
      <c r="AK20" s="33">
        <f>Programacion[[#This Row],[JULIO]]+Programacion[[#This Row],[AGOSTO]]+Programacion[[#This Row],[SEPTIEMBRE]]</f>
        <v>2220</v>
      </c>
      <c r="AL20" s="33">
        <f>Programacion[[#This Row],[DEVENGADO JULIO]]+Programacion[[#This Row],[DEVENGADO AGOSTO]]+Programacion[[#This Row],[DEVENGADO SEPTIEMBRE]]</f>
        <v>0</v>
      </c>
      <c r="AM20" s="33">
        <f>Programacion[[#This Row],[OCTUBRE]]+Programacion[[#This Row],[NOVIEMBRE]]+Programacion[[#This Row],[DICIEMBRE]]</f>
        <v>0</v>
      </c>
      <c r="AN20" s="21">
        <f>Programacion[[#This Row],[DEVENGADO OCTUBRE]]+Programacion[[#This Row],[DEVENGADO NOVIEMBRE]]+Programacion[[#This Row],[DEVENGADO DICIEMBRE]]</f>
        <v>0</v>
      </c>
      <c r="AO20" s="21">
        <f>Programacion[[#This Row],[ENERO]]+Programacion[[#This Row],[FEBRERO]]+Programacion[[#This Row],[MARZO]]+Programacion[[#This Row],[ABRIL]]+Programacion[[#This Row],[MAYO]]+Programacion[[#This Row],[JUNIO]]</f>
        <v>0</v>
      </c>
      <c r="AP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1">
        <f>Programacion[[#This Row],[JULIO]]+Programacion[[#This Row],[AGOSTO]]+Programacion[[#This Row],[SEPTIEMBRE]]+Programacion[[#This Row],[OCTUBRE]]+Programacion[[#This Row],[NOVIEMBRE]]+Programacion[[#This Row],[DICIEMBRE]]</f>
        <v>2220</v>
      </c>
      <c r="AR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" s="116"/>
    </row>
    <row r="21" spans="1:46" ht="30" x14ac:dyDescent="0.25">
      <c r="A21" s="118" t="s">
        <v>45</v>
      </c>
      <c r="B21" s="121" t="s">
        <v>251</v>
      </c>
      <c r="C21" s="118" t="s">
        <v>248</v>
      </c>
      <c r="D21" s="119" t="s">
        <v>48</v>
      </c>
      <c r="E21" s="120">
        <v>39</v>
      </c>
      <c r="F21" s="120">
        <v>23</v>
      </c>
      <c r="G21" s="119" t="s">
        <v>49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>
        <v>13000</v>
      </c>
      <c r="AA21" s="33"/>
      <c r="AB21" s="33"/>
      <c r="AC21" s="33"/>
      <c r="AD21" s="33"/>
      <c r="AE21" s="33"/>
      <c r="AF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1" s="33">
        <f>Programacion[[#This Row],[ENERO]]+Programacion[[#This Row],[FEBRERO]]+Programacion[[#This Row],[MARZO]]</f>
        <v>0</v>
      </c>
      <c r="AH21" s="33">
        <f>Programacion[[#This Row],[DEVENGADO ENERO]]+Programacion[[#This Row],[DEVENGADO FEBRERO]]+Programacion[[#This Row],[DEVENGADO MARZO]]</f>
        <v>0</v>
      </c>
      <c r="AI21" s="33">
        <f>Programacion[[#This Row],[ABRIL]]+Programacion[[#This Row],[MAYO]]+Programacion[[#This Row],[JUNIO]]</f>
        <v>0</v>
      </c>
      <c r="AJ21" s="33">
        <f>Programacion[[#This Row],[DEVENGADO ABRIL]]+Programacion[[#This Row],[DEVENGADO MAYO]]+Programacion[[#This Row],[DEVENGADO JUNIO]]</f>
        <v>0</v>
      </c>
      <c r="AK21" s="33">
        <f>Programacion[[#This Row],[JULIO]]+Programacion[[#This Row],[AGOSTO]]+Programacion[[#This Row],[SEPTIEMBRE]]</f>
        <v>0</v>
      </c>
      <c r="AL21" s="33">
        <f>Programacion[[#This Row],[DEVENGADO JULIO]]+Programacion[[#This Row],[DEVENGADO AGOSTO]]+Programacion[[#This Row],[DEVENGADO SEPTIEMBRE]]</f>
        <v>0</v>
      </c>
      <c r="AM21" s="33">
        <f>Programacion[[#This Row],[OCTUBRE]]+Programacion[[#This Row],[NOVIEMBRE]]+Programacion[[#This Row],[DICIEMBRE]]</f>
        <v>13000</v>
      </c>
      <c r="AN21" s="21">
        <f>Programacion[[#This Row],[DEVENGADO OCTUBRE]]+Programacion[[#This Row],[DEVENGADO NOVIEMBRE]]+Programacion[[#This Row],[DEVENGADO DICIEMBRE]]</f>
        <v>0</v>
      </c>
      <c r="AO21" s="21">
        <f>Programacion[[#This Row],[ENERO]]+Programacion[[#This Row],[FEBRERO]]+Programacion[[#This Row],[MARZO]]+Programacion[[#This Row],[ABRIL]]+Programacion[[#This Row],[MAYO]]+Programacion[[#This Row],[JUNIO]]</f>
        <v>0</v>
      </c>
      <c r="AP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21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" s="116"/>
    </row>
    <row r="22" spans="1:46" x14ac:dyDescent="0.25">
      <c r="A22" s="118" t="s">
        <v>45</v>
      </c>
      <c r="B22" s="121" t="s">
        <v>50</v>
      </c>
      <c r="C22" s="118" t="s">
        <v>246</v>
      </c>
      <c r="D22" s="119" t="s">
        <v>48</v>
      </c>
      <c r="E22" s="120">
        <v>39</v>
      </c>
      <c r="F22" s="120">
        <v>23</v>
      </c>
      <c r="G22" s="119" t="s">
        <v>51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>
        <v>7020</v>
      </c>
      <c r="AA22" s="33"/>
      <c r="AB22" s="33"/>
      <c r="AC22" s="33"/>
      <c r="AD22" s="33"/>
      <c r="AE22" s="33"/>
      <c r="AF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2" s="33">
        <f>Programacion[[#This Row],[ENERO]]+Programacion[[#This Row],[FEBRERO]]+Programacion[[#This Row],[MARZO]]</f>
        <v>0</v>
      </c>
      <c r="AH22" s="33">
        <f>Programacion[[#This Row],[DEVENGADO ENERO]]+Programacion[[#This Row],[DEVENGADO FEBRERO]]+Programacion[[#This Row],[DEVENGADO MARZO]]</f>
        <v>0</v>
      </c>
      <c r="AI22" s="33">
        <f>Programacion[[#This Row],[ABRIL]]+Programacion[[#This Row],[MAYO]]+Programacion[[#This Row],[JUNIO]]</f>
        <v>0</v>
      </c>
      <c r="AJ22" s="33">
        <f>Programacion[[#This Row],[DEVENGADO ABRIL]]+Programacion[[#This Row],[DEVENGADO MAYO]]+Programacion[[#This Row],[DEVENGADO JUNIO]]</f>
        <v>0</v>
      </c>
      <c r="AK22" s="33">
        <f>Programacion[[#This Row],[JULIO]]+Programacion[[#This Row],[AGOSTO]]+Programacion[[#This Row],[SEPTIEMBRE]]</f>
        <v>0</v>
      </c>
      <c r="AL22" s="33">
        <f>Programacion[[#This Row],[DEVENGADO JULIO]]+Programacion[[#This Row],[DEVENGADO AGOSTO]]+Programacion[[#This Row],[DEVENGADO SEPTIEMBRE]]</f>
        <v>0</v>
      </c>
      <c r="AM22" s="33">
        <f>Programacion[[#This Row],[OCTUBRE]]+Programacion[[#This Row],[NOVIEMBRE]]+Programacion[[#This Row],[DICIEMBRE]]</f>
        <v>7020</v>
      </c>
      <c r="AN22" s="21">
        <f>Programacion[[#This Row],[DEVENGADO OCTUBRE]]+Programacion[[#This Row],[DEVENGADO NOVIEMBRE]]+Programacion[[#This Row],[DEVENGADO DICIEMBRE]]</f>
        <v>0</v>
      </c>
      <c r="AO22" s="21">
        <f>Programacion[[#This Row],[ENERO]]+Programacion[[#This Row],[FEBRERO]]+Programacion[[#This Row],[MARZO]]+Programacion[[#This Row],[ABRIL]]+Programacion[[#This Row],[MAYO]]+Programacion[[#This Row],[JUNIO]]</f>
        <v>0</v>
      </c>
      <c r="AP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1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" s="116"/>
    </row>
    <row r="23" spans="1:46" ht="30" x14ac:dyDescent="0.25">
      <c r="A23" s="11" t="s">
        <v>45</v>
      </c>
      <c r="B23" s="12" t="s">
        <v>55</v>
      </c>
      <c r="C23" s="13" t="s">
        <v>56</v>
      </c>
      <c r="D23" s="14" t="s">
        <v>48</v>
      </c>
      <c r="E23" s="15">
        <v>39</v>
      </c>
      <c r="F23" s="16">
        <v>2.2999999999999998</v>
      </c>
      <c r="G23" s="14" t="s">
        <v>57</v>
      </c>
      <c r="H23" s="17"/>
      <c r="I23" s="17"/>
      <c r="J23" s="17">
        <v>5000</v>
      </c>
      <c r="K23" s="17">
        <v>5000</v>
      </c>
      <c r="L23" s="17">
        <v>5000</v>
      </c>
      <c r="M23" s="17">
        <v>5000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" s="19">
        <f>Programacion[[#This Row],[ENERO]]+Programacion[[#This Row],[FEBRERO]]+Programacion[[#This Row],[MARZO]]</f>
        <v>10000</v>
      </c>
      <c r="AH23" s="19">
        <f>Programacion[[#This Row],[DEVENGADO ENERO]]+Programacion[[#This Row],[DEVENGADO FEBRERO]]+Programacion[[#This Row],[DEVENGADO MARZO]]</f>
        <v>10000</v>
      </c>
      <c r="AI23" s="19">
        <f>Programacion[[#This Row],[ABRIL]]+Programacion[[#This Row],[MAYO]]+Programacion[[#This Row],[JUNIO]]</f>
        <v>0</v>
      </c>
      <c r="AJ23" s="19">
        <f>Programacion[[#This Row],[DEVENGADO ABRIL]]+Programacion[[#This Row],[DEVENGADO MAYO]]+Programacion[[#This Row],[DEVENGADO JUNIO]]</f>
        <v>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10000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" s="116"/>
    </row>
    <row r="24" spans="1:46" ht="30" x14ac:dyDescent="0.25">
      <c r="A24" s="11" t="s">
        <v>45</v>
      </c>
      <c r="B24" s="12" t="s">
        <v>55</v>
      </c>
      <c r="C24" s="13" t="s">
        <v>56</v>
      </c>
      <c r="D24" s="14" t="s">
        <v>48</v>
      </c>
      <c r="E24" s="15">
        <v>3</v>
      </c>
      <c r="F24" s="16">
        <v>2.2999999999999998</v>
      </c>
      <c r="G24" s="14" t="s">
        <v>57</v>
      </c>
      <c r="H24" s="17"/>
      <c r="I24" s="17"/>
      <c r="J24" s="17"/>
      <c r="K24" s="17"/>
      <c r="L24" s="17"/>
      <c r="M24" s="17"/>
      <c r="N24" s="17">
        <v>5000</v>
      </c>
      <c r="O24" s="17">
        <v>5000</v>
      </c>
      <c r="P24" s="17">
        <v>5000</v>
      </c>
      <c r="Q24" s="17">
        <v>5000</v>
      </c>
      <c r="R24" s="17">
        <v>10000</v>
      </c>
      <c r="S24" s="17">
        <v>10000</v>
      </c>
      <c r="T24" s="17">
        <v>5000</v>
      </c>
      <c r="U24" s="17">
        <v>5000</v>
      </c>
      <c r="V24" s="17">
        <v>5000</v>
      </c>
      <c r="W24" s="17">
        <v>5000</v>
      </c>
      <c r="X24" s="17">
        <v>5000</v>
      </c>
      <c r="Y24" s="17"/>
      <c r="Z24" s="17">
        <v>5000</v>
      </c>
      <c r="AA24" s="17"/>
      <c r="AB24" s="17"/>
      <c r="AC24" s="17"/>
      <c r="AD24" s="17"/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20000</v>
      </c>
      <c r="AJ24" s="19">
        <f>Programacion[[#This Row],[DEVENGADO ABRIL]]+Programacion[[#This Row],[DEVENGADO MAYO]]+Programacion[[#This Row],[DEVENGADO JUNIO]]</f>
        <v>20000</v>
      </c>
      <c r="AK24" s="19">
        <f>Programacion[[#This Row],[JULIO]]+Programacion[[#This Row],[AGOSTO]]+Programacion[[#This Row],[SEPTIEMBRE]]</f>
        <v>15000</v>
      </c>
      <c r="AL24" s="19">
        <f>Programacion[[#This Row],[DEVENGADO JULIO]]+Programacion[[#This Row],[DEVENGADO AGOSTO]]+Programacion[[#This Row],[DEVENGADO SEPTIEMBRE]]</f>
        <v>10000</v>
      </c>
      <c r="AM24" s="19">
        <f>Programacion[[#This Row],[OCTUBRE]]+Programacion[[#This Row],[NOVIEMBRE]]+Programacion[[#This Row],[DICIEMBRE]]</f>
        <v>5000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20000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24" s="116"/>
    </row>
    <row r="25" spans="1:46" x14ac:dyDescent="0.25">
      <c r="A25" s="11" t="s">
        <v>45</v>
      </c>
      <c r="B25" s="12" t="s">
        <v>58</v>
      </c>
      <c r="C25" s="13" t="s">
        <v>56</v>
      </c>
      <c r="D25" s="14" t="s">
        <v>48</v>
      </c>
      <c r="E25" s="15">
        <v>39</v>
      </c>
      <c r="F25" s="16">
        <v>2.2999999999999998</v>
      </c>
      <c r="G25" s="14" t="s">
        <v>57</v>
      </c>
      <c r="H25" s="17"/>
      <c r="I25" s="17"/>
      <c r="J25" s="17">
        <v>5760</v>
      </c>
      <c r="K25" s="17">
        <v>5760</v>
      </c>
      <c r="L25" s="17">
        <v>5760</v>
      </c>
      <c r="M25" s="17">
        <v>5760</v>
      </c>
      <c r="N25" s="17">
        <v>5760</v>
      </c>
      <c r="O25" s="17">
        <v>5760</v>
      </c>
      <c r="P25" s="17">
        <v>12240</v>
      </c>
      <c r="Q25" s="17">
        <v>12240</v>
      </c>
      <c r="R25" s="17">
        <v>6480</v>
      </c>
      <c r="S25" s="17">
        <v>6480</v>
      </c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5" s="19">
        <f>Programacion[[#This Row],[ENERO]]+Programacion[[#This Row],[FEBRERO]]+Programacion[[#This Row],[MARZO]]</f>
        <v>11520</v>
      </c>
      <c r="AH25" s="19">
        <f>Programacion[[#This Row],[DEVENGADO ENERO]]+Programacion[[#This Row],[DEVENGADO FEBRERO]]+Programacion[[#This Row],[DEVENGADO MARZO]]</f>
        <v>11520</v>
      </c>
      <c r="AI25" s="19">
        <f>Programacion[[#This Row],[ABRIL]]+Programacion[[#This Row],[MAYO]]+Programacion[[#This Row],[JUNIO]]</f>
        <v>24480</v>
      </c>
      <c r="AJ25" s="19">
        <f>Programacion[[#This Row],[DEVENGADO ABRIL]]+Programacion[[#This Row],[DEVENGADO MAYO]]+Programacion[[#This Row],[DEVENGADO JUNIO]]</f>
        <v>24480</v>
      </c>
      <c r="AK25" s="19">
        <f>Programacion[[#This Row],[JULIO]]+Programacion[[#This Row],[AGOSTO]]+Programacion[[#This Row],[SEPTIEMBRE]]</f>
        <v>0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36000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5" s="116"/>
    </row>
    <row r="26" spans="1:46" x14ac:dyDescent="0.25">
      <c r="A26" s="11" t="s">
        <v>45</v>
      </c>
      <c r="B26" s="12" t="s">
        <v>59</v>
      </c>
      <c r="C26" s="13" t="s">
        <v>56</v>
      </c>
      <c r="D26" s="14" t="s">
        <v>48</v>
      </c>
      <c r="E26" s="15">
        <v>3</v>
      </c>
      <c r="F26" s="16">
        <v>2.2999999999999998</v>
      </c>
      <c r="G26" s="14" t="s">
        <v>57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>
        <v>6000</v>
      </c>
      <c r="U26" s="17">
        <v>6000</v>
      </c>
      <c r="V26" s="17">
        <v>6000</v>
      </c>
      <c r="W26" s="17">
        <v>6000</v>
      </c>
      <c r="X26" s="17">
        <v>6000</v>
      </c>
      <c r="Y26" s="17"/>
      <c r="Z26" s="17">
        <v>6000</v>
      </c>
      <c r="AA26" s="17"/>
      <c r="AB26" s="17">
        <v>6000</v>
      </c>
      <c r="AC26" s="17"/>
      <c r="AD26" s="17">
        <v>6000</v>
      </c>
      <c r="AE26" s="17"/>
      <c r="AF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" s="19">
        <f>Programacion[[#This Row],[ENERO]]+Programacion[[#This Row],[FEBRERO]]+Programacion[[#This Row],[MARZO]]</f>
        <v>0</v>
      </c>
      <c r="AH26" s="19">
        <f>Programacion[[#This Row],[DEVENGADO ENERO]]+Programacion[[#This Row],[DEVENGADO FEBRERO]]+Programacion[[#This Row],[DEVENGADO MARZO]]</f>
        <v>0</v>
      </c>
      <c r="AI26" s="19">
        <f>Programacion[[#This Row],[ABRIL]]+Programacion[[#This Row],[MAYO]]+Programacion[[#This Row],[JUNIO]]</f>
        <v>0</v>
      </c>
      <c r="AJ26" s="19">
        <f>Programacion[[#This Row],[DEVENGADO ABRIL]]+Programacion[[#This Row],[DEVENGADO MAYO]]+Programacion[[#This Row],[DEVENGADO JUNIO]]</f>
        <v>0</v>
      </c>
      <c r="AK26" s="19">
        <f>Programacion[[#This Row],[JULIO]]+Programacion[[#This Row],[AGOSTO]]+Programacion[[#This Row],[SEPTIEMBRE]]</f>
        <v>18000</v>
      </c>
      <c r="AL26" s="19">
        <f>Programacion[[#This Row],[DEVENGADO JULIO]]+Programacion[[#This Row],[DEVENGADO AGOSTO]]+Programacion[[#This Row],[DEVENGADO SEPTIEMBRE]]</f>
        <v>12000</v>
      </c>
      <c r="AM26" s="19">
        <f>Programacion[[#This Row],[OCTUBRE]]+Programacion[[#This Row],[NOVIEMBRE]]+Programacion[[#This Row],[DICIEMBRE]]</f>
        <v>18000</v>
      </c>
      <c r="AN26" s="20">
        <f>Programacion[[#This Row],[DEVENGADO OCTUBRE]]+Programacion[[#This Row],[DEVENGADO NOVIEMBRE]]+Programacion[[#This Row],[DEVENGADO DICIEMBRE]]</f>
        <v>0</v>
      </c>
      <c r="AO26" s="20">
        <f>Programacion[[#This Row],[ENERO]]+Programacion[[#This Row],[FEBRERO]]+Programacion[[#This Row],[MARZO]]+Programacion[[#This Row],[ABRIL]]+Programacion[[#This Row],[MAYO]]+Programacion[[#This Row],[JUNIO]]</f>
        <v>0</v>
      </c>
      <c r="AP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6" s="116"/>
    </row>
    <row r="27" spans="1:46" x14ac:dyDescent="0.25">
      <c r="A27" s="11" t="s">
        <v>45</v>
      </c>
      <c r="B27" s="12" t="s">
        <v>60</v>
      </c>
      <c r="C27" s="13" t="s">
        <v>56</v>
      </c>
      <c r="D27" s="14" t="s">
        <v>48</v>
      </c>
      <c r="E27" s="15">
        <v>39</v>
      </c>
      <c r="F27" s="16">
        <v>2.2999999999999998</v>
      </c>
      <c r="G27" s="14" t="s">
        <v>57</v>
      </c>
      <c r="H27" s="17"/>
      <c r="I27" s="17"/>
      <c r="J27" s="17">
        <v>4320</v>
      </c>
      <c r="K27" s="17">
        <v>4320</v>
      </c>
      <c r="L27" s="17">
        <v>4320</v>
      </c>
      <c r="M27" s="17">
        <v>4320</v>
      </c>
      <c r="N27" s="17">
        <v>4320</v>
      </c>
      <c r="O27" s="17">
        <v>4320</v>
      </c>
      <c r="P27" s="17">
        <v>9180</v>
      </c>
      <c r="Q27" s="17">
        <v>9180</v>
      </c>
      <c r="R27" s="17">
        <v>4860</v>
      </c>
      <c r="S27" s="17">
        <v>4860</v>
      </c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7" s="19">
        <f>Programacion[[#This Row],[ENERO]]+Programacion[[#This Row],[FEBRERO]]+Programacion[[#This Row],[MARZO]]</f>
        <v>8640</v>
      </c>
      <c r="AH27" s="19">
        <f>Programacion[[#This Row],[DEVENGADO ENERO]]+Programacion[[#This Row],[DEVENGADO FEBRERO]]+Programacion[[#This Row],[DEVENGADO MARZO]]</f>
        <v>8640</v>
      </c>
      <c r="AI27" s="19">
        <f>Programacion[[#This Row],[ABRIL]]+Programacion[[#This Row],[MAYO]]+Programacion[[#This Row],[JUNIO]]</f>
        <v>18360</v>
      </c>
      <c r="AJ27" s="19">
        <f>Programacion[[#This Row],[DEVENGADO ABRIL]]+Programacion[[#This Row],[DEVENGADO MAYO]]+Programacion[[#This Row],[DEVENGADO JUNIO]]</f>
        <v>18360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27000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7" s="116"/>
    </row>
    <row r="28" spans="1:46" ht="30" x14ac:dyDescent="0.25">
      <c r="A28" s="11" t="s">
        <v>45</v>
      </c>
      <c r="B28" s="12" t="s">
        <v>61</v>
      </c>
      <c r="C28" s="13" t="s">
        <v>56</v>
      </c>
      <c r="D28" s="14" t="s">
        <v>48</v>
      </c>
      <c r="E28" s="15">
        <v>3</v>
      </c>
      <c r="F28" s="16">
        <v>2.2999999999999998</v>
      </c>
      <c r="G28" s="14" t="s">
        <v>57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>
        <v>4000</v>
      </c>
      <c r="U28" s="17">
        <v>4000</v>
      </c>
      <c r="V28" s="17">
        <v>4000</v>
      </c>
      <c r="W28" s="17">
        <v>4000</v>
      </c>
      <c r="X28" s="17">
        <v>4000</v>
      </c>
      <c r="Y28" s="17"/>
      <c r="Z28" s="17">
        <v>4000</v>
      </c>
      <c r="AA28" s="17"/>
      <c r="AB28" s="17">
        <v>4000</v>
      </c>
      <c r="AC28" s="17"/>
      <c r="AD28" s="17">
        <v>4000</v>
      </c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12000</v>
      </c>
      <c r="AL28" s="19">
        <f>Programacion[[#This Row],[DEVENGADO JULIO]]+Programacion[[#This Row],[DEVENGADO AGOSTO]]+Programacion[[#This Row],[DEVENGADO SEPTIEMBRE]]</f>
        <v>8000</v>
      </c>
      <c r="AM28" s="19">
        <f>Programacion[[#This Row],[OCTUBRE]]+Programacion[[#This Row],[NOVIEMBRE]]+Programacion[[#This Row],[DICIEMBRE]]</f>
        <v>12000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28" s="116"/>
    </row>
    <row r="29" spans="1:46" ht="30" x14ac:dyDescent="0.25">
      <c r="A29" s="11" t="s">
        <v>45</v>
      </c>
      <c r="B29" s="12" t="s">
        <v>62</v>
      </c>
      <c r="C29" s="13" t="s">
        <v>56</v>
      </c>
      <c r="D29" s="14" t="s">
        <v>48</v>
      </c>
      <c r="E29" s="15">
        <v>39</v>
      </c>
      <c r="F29" s="16">
        <v>2.2999999999999998</v>
      </c>
      <c r="G29" s="14" t="s">
        <v>57</v>
      </c>
      <c r="H29" s="17"/>
      <c r="I29" s="17"/>
      <c r="J29" s="17">
        <v>3840</v>
      </c>
      <c r="K29" s="17">
        <v>3840</v>
      </c>
      <c r="L29" s="17">
        <v>3840</v>
      </c>
      <c r="M29" s="17">
        <v>3840</v>
      </c>
      <c r="N29" s="17">
        <v>3840</v>
      </c>
      <c r="O29" s="17">
        <v>3840</v>
      </c>
      <c r="P29" s="17">
        <v>8160</v>
      </c>
      <c r="Q29" s="17">
        <v>8160</v>
      </c>
      <c r="R29" s="17">
        <v>4320</v>
      </c>
      <c r="S29" s="17">
        <v>4320</v>
      </c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9" s="19">
        <f>Programacion[[#This Row],[ENERO]]+Programacion[[#This Row],[FEBRERO]]+Programacion[[#This Row],[MARZO]]</f>
        <v>7680</v>
      </c>
      <c r="AH29" s="19">
        <f>Programacion[[#This Row],[DEVENGADO ENERO]]+Programacion[[#This Row],[DEVENGADO FEBRERO]]+Programacion[[#This Row],[DEVENGADO MARZO]]</f>
        <v>7680</v>
      </c>
      <c r="AI29" s="19">
        <f>Programacion[[#This Row],[ABRIL]]+Programacion[[#This Row],[MAYO]]+Programacion[[#This Row],[JUNIO]]</f>
        <v>16320</v>
      </c>
      <c r="AJ29" s="19">
        <f>Programacion[[#This Row],[DEVENGADO ABRIL]]+Programacion[[#This Row],[DEVENGADO MAYO]]+Programacion[[#This Row],[DEVENGADO JUNIO]]</f>
        <v>16320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24000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9" s="116"/>
    </row>
    <row r="30" spans="1:46" x14ac:dyDescent="0.25">
      <c r="A30" s="11" t="s">
        <v>45</v>
      </c>
      <c r="B30" s="12" t="s">
        <v>63</v>
      </c>
      <c r="C30" s="13" t="s">
        <v>56</v>
      </c>
      <c r="D30" s="14" t="s">
        <v>48</v>
      </c>
      <c r="E30" s="15">
        <v>3</v>
      </c>
      <c r="F30" s="16">
        <v>2.2999999999999998</v>
      </c>
      <c r="G30" s="14" t="s">
        <v>57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>
        <v>4000</v>
      </c>
      <c r="U30" s="17">
        <v>4000</v>
      </c>
      <c r="V30" s="17">
        <v>4000</v>
      </c>
      <c r="W30" s="17">
        <v>4000</v>
      </c>
      <c r="X30" s="17">
        <v>4000</v>
      </c>
      <c r="Y30" s="17"/>
      <c r="Z30" s="17">
        <v>4000</v>
      </c>
      <c r="AA30" s="17"/>
      <c r="AB30" s="17">
        <v>4000</v>
      </c>
      <c r="AC30" s="17"/>
      <c r="AD30" s="17">
        <v>4000</v>
      </c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0</v>
      </c>
      <c r="AJ30" s="19">
        <f>Programacion[[#This Row],[DEVENGADO ABRIL]]+Programacion[[#This Row],[DEVENGADO MAYO]]+Programacion[[#This Row],[DEVENGADO JUNIO]]</f>
        <v>0</v>
      </c>
      <c r="AK30" s="19">
        <f>Programacion[[#This Row],[JULIO]]+Programacion[[#This Row],[AGOSTO]]+Programacion[[#This Row],[SEPTIEMBRE]]</f>
        <v>12000</v>
      </c>
      <c r="AL30" s="19">
        <f>Programacion[[#This Row],[DEVENGADO JULIO]]+Programacion[[#This Row],[DEVENGADO AGOSTO]]+Programacion[[#This Row],[DEVENGADO SEPTIEMBRE]]</f>
        <v>8000</v>
      </c>
      <c r="AM30" s="19">
        <f>Programacion[[#This Row],[OCTUBRE]]+Programacion[[#This Row],[NOVIEMBRE]]+Programacion[[#This Row],[DICIEMBRE]]</f>
        <v>12000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0" s="116"/>
    </row>
    <row r="31" spans="1:46" x14ac:dyDescent="0.25">
      <c r="A31" s="101" t="s">
        <v>45</v>
      </c>
      <c r="B31" s="102" t="s">
        <v>232</v>
      </c>
      <c r="C31" s="103" t="s">
        <v>189</v>
      </c>
      <c r="D31" s="103" t="s">
        <v>48</v>
      </c>
      <c r="E31" s="104">
        <v>39</v>
      </c>
      <c r="F31" s="105">
        <v>2.2999999999999998</v>
      </c>
      <c r="G31" s="103" t="s">
        <v>233</v>
      </c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>
        <v>2880</v>
      </c>
      <c r="S31" s="33"/>
      <c r="T31" s="33"/>
      <c r="U31" s="33">
        <v>2880</v>
      </c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1" s="33">
        <f>Programacion[[#This Row],[ENERO]]+Programacion[[#This Row],[FEBRERO]]+Programacion[[#This Row],[MARZO]]</f>
        <v>0</v>
      </c>
      <c r="AH31" s="33">
        <f>Programacion[[#This Row],[DEVENGADO ENERO]]+Programacion[[#This Row],[DEVENGADO FEBRERO]]+Programacion[[#This Row],[DEVENGADO MARZO]]</f>
        <v>0</v>
      </c>
      <c r="AI31" s="33">
        <f>Programacion[[#This Row],[ABRIL]]+Programacion[[#This Row],[MAYO]]+Programacion[[#This Row],[JUNIO]]</f>
        <v>2880</v>
      </c>
      <c r="AJ31" s="33">
        <f>Programacion[[#This Row],[DEVENGADO ABRIL]]+Programacion[[#This Row],[DEVENGADO MAYO]]+Programacion[[#This Row],[DEVENGADO JUNIO]]</f>
        <v>0</v>
      </c>
      <c r="AK31" s="33">
        <f>Programacion[[#This Row],[JULIO]]+Programacion[[#This Row],[AGOSTO]]+Programacion[[#This Row],[SEPTIEMBRE]]</f>
        <v>0</v>
      </c>
      <c r="AL31" s="33">
        <f>Programacion[[#This Row],[DEVENGADO JULIO]]+Programacion[[#This Row],[DEVENGADO AGOSTO]]+Programacion[[#This Row],[DEVENGADO SEPTIEMBRE]]</f>
        <v>2880</v>
      </c>
      <c r="AM31" s="33">
        <f>Programacion[[#This Row],[OCTUBRE]]+Programacion[[#This Row],[NOVIEMBRE]]+Programacion[[#This Row],[DICIEMBRE]]</f>
        <v>0</v>
      </c>
      <c r="AN31" s="21">
        <f>Programacion[[#This Row],[DEVENGADO OCTUBRE]]+Programacion[[#This Row],[DEVENGADO NOVIEMBRE]]+Programacion[[#This Row],[DEVENGADO DICIEMBRE]]</f>
        <v>0</v>
      </c>
      <c r="AO31" s="21">
        <f>Programacion[[#This Row],[ENERO]]+Programacion[[#This Row],[FEBRERO]]+Programacion[[#This Row],[MARZO]]+Programacion[[#This Row],[ABRIL]]+Programacion[[#This Row],[MAYO]]+Programacion[[#This Row],[JUNIO]]</f>
        <v>2880</v>
      </c>
      <c r="AP3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1" s="116"/>
    </row>
    <row r="32" spans="1:46" x14ac:dyDescent="0.25">
      <c r="A32" s="11" t="s">
        <v>45</v>
      </c>
      <c r="B32" s="12" t="s">
        <v>66</v>
      </c>
      <c r="C32" s="13" t="s">
        <v>64</v>
      </c>
      <c r="D32" s="14" t="s">
        <v>48</v>
      </c>
      <c r="E32" s="15">
        <v>39</v>
      </c>
      <c r="F32" s="16">
        <v>2.2999999999999998</v>
      </c>
      <c r="G32" s="14" t="s">
        <v>67</v>
      </c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>
        <v>11000</v>
      </c>
      <c r="S32" s="17"/>
      <c r="T32" s="17"/>
      <c r="U32" s="17">
        <v>11000</v>
      </c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2" s="19">
        <f>Programacion[[#This Row],[ENERO]]+Programacion[[#This Row],[FEBRERO]]+Programacion[[#This Row],[MARZO]]</f>
        <v>0</v>
      </c>
      <c r="AH32" s="19">
        <f>Programacion[[#This Row],[DEVENGADO ENERO]]+Programacion[[#This Row],[DEVENGADO FEBRERO]]+Programacion[[#This Row],[DEVENGADO MARZO]]</f>
        <v>0</v>
      </c>
      <c r="AI32" s="19">
        <f>Programacion[[#This Row],[ABRIL]]+Programacion[[#This Row],[MAYO]]+Programacion[[#This Row],[JUNIO]]</f>
        <v>11000</v>
      </c>
      <c r="AJ32" s="19">
        <f>Programacion[[#This Row],[DEVENGADO ABRIL]]+Programacion[[#This Row],[DEVENGADO MAYO]]+Programacion[[#This Row],[DEVENGADO JUNIO]]</f>
        <v>0</v>
      </c>
      <c r="AK32" s="19">
        <f>Programacion[[#This Row],[JULIO]]+Programacion[[#This Row],[AGOSTO]]+Programacion[[#This Row],[SEPTIEMBRE]]</f>
        <v>0</v>
      </c>
      <c r="AL32" s="19">
        <f>Programacion[[#This Row],[DEVENGADO JULIO]]+Programacion[[#This Row],[DEVENGADO AGOSTO]]+Programacion[[#This Row],[DEVENGADO SEPTIEMBRE]]</f>
        <v>11000</v>
      </c>
      <c r="AM32" s="19">
        <f>Programacion[[#This Row],[OCTUBRE]]+Programacion[[#This Row],[NOVIEMBRE]]+Programacion[[#This Row],[DICIEMBRE]]</f>
        <v>0</v>
      </c>
      <c r="AN32" s="20">
        <f>Programacion[[#This Row],[DEVENGADO OCTUBRE]]+Programacion[[#This Row],[DEVENGADO NOVIEMBRE]]+Programacion[[#This Row],[DEVENGADO DICIEMBRE]]</f>
        <v>0</v>
      </c>
      <c r="AO32" s="20">
        <f>Programacion[[#This Row],[ENERO]]+Programacion[[#This Row],[FEBRERO]]+Programacion[[#This Row],[MARZO]]+Programacion[[#This Row],[ABRIL]]+Programacion[[#This Row],[MAYO]]+Programacion[[#This Row],[JUNIO]]</f>
        <v>11000</v>
      </c>
      <c r="AP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2" s="116"/>
    </row>
    <row r="33" spans="1:46" x14ac:dyDescent="0.25">
      <c r="A33" s="11" t="s">
        <v>45</v>
      </c>
      <c r="B33" s="12" t="s">
        <v>68</v>
      </c>
      <c r="C33" s="13" t="s">
        <v>64</v>
      </c>
      <c r="D33" s="14" t="s">
        <v>48</v>
      </c>
      <c r="E33" s="15">
        <v>39</v>
      </c>
      <c r="F33" s="16">
        <v>2.2999999999999998</v>
      </c>
      <c r="G33" s="14" t="s">
        <v>65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>
        <v>26980</v>
      </c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3" s="19">
        <f>Programacion[[#This Row],[ENERO]]+Programacion[[#This Row],[FEBRERO]]+Programacion[[#This Row],[MARZO]]</f>
        <v>0</v>
      </c>
      <c r="AH33" s="19">
        <f>Programacion[[#This Row],[DEVENGADO ENERO]]+Programacion[[#This Row],[DEVENGADO FEBRERO]]+Programacion[[#This Row],[DEVENGADO MARZO]]</f>
        <v>0</v>
      </c>
      <c r="AI33" s="19">
        <f>Programacion[[#This Row],[ABRIL]]+Programacion[[#This Row],[MAYO]]+Programacion[[#This Row],[JUNIO]]</f>
        <v>0</v>
      </c>
      <c r="AJ33" s="19">
        <f>Programacion[[#This Row],[DEVENGADO ABRIL]]+Programacion[[#This Row],[DEVENGADO MAYO]]+Programacion[[#This Row],[DEVENGADO JUNIO]]</f>
        <v>0</v>
      </c>
      <c r="AK33" s="19">
        <f>Programacion[[#This Row],[JULIO]]+Programacion[[#This Row],[AGOSTO]]+Programacion[[#This Row],[SEPTIEMBRE]]</f>
        <v>26980</v>
      </c>
      <c r="AL33" s="19">
        <f>Programacion[[#This Row],[DEVENGADO JULIO]]+Programacion[[#This Row],[DEVENGADO AGOSTO]]+Programacion[[#This Row],[DEVENGADO SEPTIEMBRE]]</f>
        <v>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3" s="116"/>
    </row>
    <row r="34" spans="1:46" x14ac:dyDescent="0.25">
      <c r="A34" s="11" t="s">
        <v>45</v>
      </c>
      <c r="B34" s="12" t="s">
        <v>69</v>
      </c>
      <c r="C34" s="13" t="s">
        <v>56</v>
      </c>
      <c r="D34" s="14" t="s">
        <v>48</v>
      </c>
      <c r="E34" s="15">
        <v>31</v>
      </c>
      <c r="F34" s="16">
        <v>2.2999999999999998</v>
      </c>
      <c r="G34" s="14" t="s">
        <v>70</v>
      </c>
      <c r="H34" s="17"/>
      <c r="I34" s="17"/>
      <c r="J34" s="17"/>
      <c r="K34" s="17"/>
      <c r="L34" s="17">
        <v>8500</v>
      </c>
      <c r="M34" s="17">
        <v>8500</v>
      </c>
      <c r="N34" s="17">
        <v>8500</v>
      </c>
      <c r="O34" s="17">
        <v>8500</v>
      </c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4" s="19">
        <f>Programacion[[#This Row],[ENERO]]+Programacion[[#This Row],[FEBRERO]]+Programacion[[#This Row],[MARZO]]</f>
        <v>8500</v>
      </c>
      <c r="AH34" s="19">
        <f>Programacion[[#This Row],[DEVENGADO ENERO]]+Programacion[[#This Row],[DEVENGADO FEBRERO]]+Programacion[[#This Row],[DEVENGADO MARZO]]</f>
        <v>8500</v>
      </c>
      <c r="AI34" s="19">
        <f>Programacion[[#This Row],[ABRIL]]+Programacion[[#This Row],[MAYO]]+Programacion[[#This Row],[JUNIO]]</f>
        <v>8500</v>
      </c>
      <c r="AJ34" s="19">
        <f>Programacion[[#This Row],[DEVENGADO ABRIL]]+Programacion[[#This Row],[DEVENGADO MAYO]]+Programacion[[#This Row],[DEVENGADO JUNIO]]</f>
        <v>8500</v>
      </c>
      <c r="AK34" s="19">
        <f>Programacion[[#This Row],[JULIO]]+Programacion[[#This Row],[AGOSTO]]+Programacion[[#This Row],[SEPTIEMBRE]]</f>
        <v>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0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17000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4" s="116"/>
    </row>
    <row r="35" spans="1:46" x14ac:dyDescent="0.25">
      <c r="A35" s="11" t="s">
        <v>45</v>
      </c>
      <c r="B35" s="12" t="s">
        <v>69</v>
      </c>
      <c r="C35" s="13" t="s">
        <v>56</v>
      </c>
      <c r="D35" s="14" t="s">
        <v>48</v>
      </c>
      <c r="E35" s="15">
        <v>31</v>
      </c>
      <c r="F35" s="16">
        <v>2.2999999999999998</v>
      </c>
      <c r="G35" s="14" t="s">
        <v>70</v>
      </c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>
        <v>14400</v>
      </c>
      <c r="S35" s="17">
        <v>14400</v>
      </c>
      <c r="T35" s="17"/>
      <c r="U35" s="17"/>
      <c r="V35" s="17">
        <v>15600</v>
      </c>
      <c r="W35" s="17">
        <v>15600</v>
      </c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5" s="19">
        <f>Programacion[[#This Row],[ENERO]]+Programacion[[#This Row],[FEBRERO]]+Programacion[[#This Row],[MARZO]]</f>
        <v>0</v>
      </c>
      <c r="AH35" s="19">
        <f>Programacion[[#This Row],[DEVENGADO ENERO]]+Programacion[[#This Row],[DEVENGADO FEBRERO]]+Programacion[[#This Row],[DEVENGADO MARZO]]</f>
        <v>0</v>
      </c>
      <c r="AI35" s="19">
        <f>Programacion[[#This Row],[ABRIL]]+Programacion[[#This Row],[MAYO]]+Programacion[[#This Row],[JUNIO]]</f>
        <v>14400</v>
      </c>
      <c r="AJ35" s="19">
        <f>Programacion[[#This Row],[DEVENGADO ABRIL]]+Programacion[[#This Row],[DEVENGADO MAYO]]+Programacion[[#This Row],[DEVENGADO JUNIO]]</f>
        <v>14400</v>
      </c>
      <c r="AK35" s="19">
        <f>Programacion[[#This Row],[JULIO]]+Programacion[[#This Row],[AGOSTO]]+Programacion[[#This Row],[SEPTIEMBRE]]</f>
        <v>15600</v>
      </c>
      <c r="AL35" s="19">
        <f>Programacion[[#This Row],[DEVENGADO JULIO]]+Programacion[[#This Row],[DEVENGADO AGOSTO]]+Programacion[[#This Row],[DEVENGADO SEPTIEMBRE]]</f>
        <v>15600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14400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35" s="116"/>
    </row>
    <row r="36" spans="1:46" x14ac:dyDescent="0.25">
      <c r="A36" s="11" t="s">
        <v>45</v>
      </c>
      <c r="B36" s="12" t="s">
        <v>69</v>
      </c>
      <c r="C36" s="13" t="s">
        <v>56</v>
      </c>
      <c r="D36" s="14" t="s">
        <v>48</v>
      </c>
      <c r="E36" s="15">
        <v>39</v>
      </c>
      <c r="F36" s="16">
        <v>2.2999999999999998</v>
      </c>
      <c r="G36" s="14" t="s">
        <v>70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>
        <v>7500</v>
      </c>
      <c r="Y36" s="33"/>
      <c r="Z36" s="33">
        <v>7500</v>
      </c>
      <c r="AA36" s="33"/>
      <c r="AB36" s="33">
        <v>7500</v>
      </c>
      <c r="AC36" s="33"/>
      <c r="AD36" s="33">
        <v>7500</v>
      </c>
      <c r="AE36" s="33"/>
      <c r="AF3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6" s="33">
        <f>Programacion[[#This Row],[ENERO]]+Programacion[[#This Row],[FEBRERO]]+Programacion[[#This Row],[MARZO]]</f>
        <v>0</v>
      </c>
      <c r="AH36" s="33">
        <f>Programacion[[#This Row],[DEVENGADO ENERO]]+Programacion[[#This Row],[DEVENGADO FEBRERO]]+Programacion[[#This Row],[DEVENGADO MARZO]]</f>
        <v>0</v>
      </c>
      <c r="AI36" s="33">
        <f>Programacion[[#This Row],[ABRIL]]+Programacion[[#This Row],[MAYO]]+Programacion[[#This Row],[JUNIO]]</f>
        <v>0</v>
      </c>
      <c r="AJ36" s="33">
        <f>Programacion[[#This Row],[DEVENGADO ABRIL]]+Programacion[[#This Row],[DEVENGADO MAYO]]+Programacion[[#This Row],[DEVENGADO JUNIO]]</f>
        <v>0</v>
      </c>
      <c r="AK36" s="33">
        <f>Programacion[[#This Row],[JULIO]]+Programacion[[#This Row],[AGOSTO]]+Programacion[[#This Row],[SEPTIEMBRE]]</f>
        <v>7500</v>
      </c>
      <c r="AL36" s="33">
        <f>Programacion[[#This Row],[DEVENGADO JULIO]]+Programacion[[#This Row],[DEVENGADO AGOSTO]]+Programacion[[#This Row],[DEVENGADO SEPTIEMBRE]]</f>
        <v>0</v>
      </c>
      <c r="AM36" s="33">
        <f>Programacion[[#This Row],[OCTUBRE]]+Programacion[[#This Row],[NOVIEMBRE]]+Programacion[[#This Row],[DICIEMBRE]]</f>
        <v>22500</v>
      </c>
      <c r="AN36" s="21">
        <f>Programacion[[#This Row],[DEVENGADO OCTUBRE]]+Programacion[[#This Row],[DEVENGADO NOVIEMBRE]]+Programacion[[#This Row],[DEVENGADO DICIEMBRE]]</f>
        <v>0</v>
      </c>
      <c r="AO36" s="21">
        <f>Programacion[[#This Row],[ENERO]]+Programacion[[#This Row],[FEBRERO]]+Programacion[[#This Row],[MARZO]]+Programacion[[#This Row],[ABRIL]]+Programacion[[#This Row],[MAYO]]+Programacion[[#This Row],[JUNIO]]</f>
        <v>0</v>
      </c>
      <c r="AP3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6" s="21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6" s="116"/>
    </row>
    <row r="37" spans="1:46" ht="30" x14ac:dyDescent="0.25">
      <c r="A37" s="11" t="s">
        <v>45</v>
      </c>
      <c r="B37" s="12" t="s">
        <v>71</v>
      </c>
      <c r="C37" s="13" t="s">
        <v>56</v>
      </c>
      <c r="D37" s="14" t="s">
        <v>48</v>
      </c>
      <c r="E37" s="15">
        <v>31</v>
      </c>
      <c r="F37" s="16">
        <v>2.2999999999999998</v>
      </c>
      <c r="G37" s="14" t="s">
        <v>70</v>
      </c>
      <c r="H37" s="17"/>
      <c r="I37" s="17"/>
      <c r="J37" s="17"/>
      <c r="K37" s="17"/>
      <c r="L37" s="17"/>
      <c r="M37" s="17"/>
      <c r="N37" s="17">
        <v>4000</v>
      </c>
      <c r="O37" s="17">
        <v>4000</v>
      </c>
      <c r="P37" s="17"/>
      <c r="Q37" s="17"/>
      <c r="R37" s="17">
        <v>4000</v>
      </c>
      <c r="S37" s="17">
        <v>4000</v>
      </c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7" s="19">
        <f>Programacion[[#This Row],[ENERO]]+Programacion[[#This Row],[FEBRERO]]+Programacion[[#This Row],[MARZO]]</f>
        <v>0</v>
      </c>
      <c r="AH37" s="19">
        <f>Programacion[[#This Row],[DEVENGADO ENERO]]+Programacion[[#This Row],[DEVENGADO FEBRERO]]+Programacion[[#This Row],[DEVENGADO MARZO]]</f>
        <v>0</v>
      </c>
      <c r="AI37" s="19">
        <f>Programacion[[#This Row],[ABRIL]]+Programacion[[#This Row],[MAYO]]+Programacion[[#This Row],[JUNIO]]</f>
        <v>8000</v>
      </c>
      <c r="AJ37" s="19">
        <f>Programacion[[#This Row],[DEVENGADO ABRIL]]+Programacion[[#This Row],[DEVENGADO MAYO]]+Programacion[[#This Row],[DEVENGADO JUNIO]]</f>
        <v>8000</v>
      </c>
      <c r="AK37" s="19">
        <f>Programacion[[#This Row],[JULIO]]+Programacion[[#This Row],[AGOSTO]]+Programacion[[#This Row],[SEPTIEMBRE]]</f>
        <v>0</v>
      </c>
      <c r="AL37" s="19">
        <f>Programacion[[#This Row],[DEVENGADO JULIO]]+Programacion[[#This Row],[DEVENGADO AGOSTO]]+Programacion[[#This Row],[DEVENGADO SEPTIEMBRE]]</f>
        <v>0</v>
      </c>
      <c r="AM37" s="19">
        <f>Programacion[[#This Row],[OCTUBRE]]+Programacion[[#This Row],[NOVIEMBRE]]+Programacion[[#This Row],[DICIEMBRE]]</f>
        <v>0</v>
      </c>
      <c r="AN37" s="20">
        <f>Programacion[[#This Row],[DEVENGADO OCTUBRE]]+Programacion[[#This Row],[DEVENGADO NOVIEMBRE]]+Programacion[[#This Row],[DEVENGADO DICIEMBRE]]</f>
        <v>0</v>
      </c>
      <c r="AO37" s="20">
        <f>Programacion[[#This Row],[ENERO]]+Programacion[[#This Row],[FEBRERO]]+Programacion[[#This Row],[MARZO]]+Programacion[[#This Row],[ABRIL]]+Programacion[[#This Row],[MAYO]]+Programacion[[#This Row],[JUNIO]]</f>
        <v>8000</v>
      </c>
      <c r="AP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7" s="116"/>
    </row>
    <row r="38" spans="1:46" ht="30" x14ac:dyDescent="0.25">
      <c r="A38" s="11" t="s">
        <v>45</v>
      </c>
      <c r="B38" s="12" t="s">
        <v>72</v>
      </c>
      <c r="C38" s="13" t="s">
        <v>73</v>
      </c>
      <c r="D38" s="14" t="s">
        <v>48</v>
      </c>
      <c r="E38" s="15">
        <v>39</v>
      </c>
      <c r="F38" s="16">
        <v>2.2999999999999998</v>
      </c>
      <c r="G38" s="14" t="s">
        <v>74</v>
      </c>
      <c r="H38" s="17"/>
      <c r="I38" s="17"/>
      <c r="J38" s="17"/>
      <c r="K38" s="17"/>
      <c r="L38" s="17">
        <v>3640</v>
      </c>
      <c r="M38" s="17">
        <v>3640</v>
      </c>
      <c r="N38" s="17">
        <v>1820</v>
      </c>
      <c r="O38" s="17">
        <v>1820</v>
      </c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8" s="19">
        <f>Programacion[[#This Row],[ENERO]]+Programacion[[#This Row],[FEBRERO]]+Programacion[[#This Row],[MARZO]]</f>
        <v>3640</v>
      </c>
      <c r="AH38" s="19">
        <f>Programacion[[#This Row],[DEVENGADO ENERO]]+Programacion[[#This Row],[DEVENGADO FEBRERO]]+Programacion[[#This Row],[DEVENGADO MARZO]]</f>
        <v>3640</v>
      </c>
      <c r="AI38" s="19">
        <f>Programacion[[#This Row],[ABRIL]]+Programacion[[#This Row],[MAYO]]+Programacion[[#This Row],[JUNIO]]</f>
        <v>1820</v>
      </c>
      <c r="AJ38" s="19">
        <f>Programacion[[#This Row],[DEVENGADO ABRIL]]+Programacion[[#This Row],[DEVENGADO MAYO]]+Programacion[[#This Row],[DEVENGADO JUNIO]]</f>
        <v>1820</v>
      </c>
      <c r="AK38" s="19">
        <f>Programacion[[#This Row],[JULIO]]+Programacion[[#This Row],[AGOSTO]]+Programacion[[#This Row],[SEPTIEMBRE]]</f>
        <v>0</v>
      </c>
      <c r="AL38" s="19">
        <f>Programacion[[#This Row],[DEVENGADO JULIO]]+Programacion[[#This Row],[DEVENGADO AGOSTO]]+Programacion[[#This Row],[DEVENGADO SEPTIEMBRE]]</f>
        <v>0</v>
      </c>
      <c r="AM38" s="19">
        <f>Programacion[[#This Row],[OCTUBRE]]+Programacion[[#This Row],[NOVIEMBRE]]+Programacion[[#This Row],[DICIEMBRE]]</f>
        <v>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5460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8" s="116"/>
    </row>
    <row r="39" spans="1:46" ht="30" x14ac:dyDescent="0.25">
      <c r="A39" s="11" t="s">
        <v>45</v>
      </c>
      <c r="B39" s="12" t="s">
        <v>75</v>
      </c>
      <c r="C39" s="13" t="s">
        <v>73</v>
      </c>
      <c r="D39" s="14" t="s">
        <v>48</v>
      </c>
      <c r="E39" s="15">
        <v>39</v>
      </c>
      <c r="F39" s="16">
        <v>2.2999999999999998</v>
      </c>
      <c r="G39" s="14" t="s">
        <v>74</v>
      </c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>
        <v>4000</v>
      </c>
      <c r="AA39" s="17"/>
      <c r="AB39" s="17"/>
      <c r="AC39" s="17"/>
      <c r="AD39" s="17"/>
      <c r="AE39" s="17"/>
      <c r="AF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39" s="19">
        <f>Programacion[[#This Row],[ENERO]]+Programacion[[#This Row],[FEBRERO]]+Programacion[[#This Row],[MARZO]]</f>
        <v>0</v>
      </c>
      <c r="AH39" s="19">
        <f>Programacion[[#This Row],[DEVENGADO ENERO]]+Programacion[[#This Row],[DEVENGADO FEBRERO]]+Programacion[[#This Row],[DEVENGADO MARZO]]</f>
        <v>0</v>
      </c>
      <c r="AI39" s="19">
        <f>Programacion[[#This Row],[ABRIL]]+Programacion[[#This Row],[MAYO]]+Programacion[[#This Row],[JUNIO]]</f>
        <v>0</v>
      </c>
      <c r="AJ39" s="19">
        <f>Programacion[[#This Row],[DEVENGADO ABRIL]]+Programacion[[#This Row],[DEVENGADO MAYO]]+Programacion[[#This Row],[DEVENGADO JUNIO]]</f>
        <v>0</v>
      </c>
      <c r="AK39" s="19">
        <f>Programacion[[#This Row],[JULIO]]+Programacion[[#This Row],[AGOSTO]]+Programacion[[#This Row],[SEPTIEMBRE]]</f>
        <v>0</v>
      </c>
      <c r="AL39" s="19">
        <f>Programacion[[#This Row],[DEVENGADO JULIO]]+Programacion[[#This Row],[DEVENGADO AGOSTO]]+Programacion[[#This Row],[DEVENGADO SEPTIEMBRE]]</f>
        <v>0</v>
      </c>
      <c r="AM39" s="19">
        <f>Programacion[[#This Row],[OCTUBRE]]+Programacion[[#This Row],[NOVIEMBRE]]+Programacion[[#This Row],[DICIEMBRE]]</f>
        <v>4000</v>
      </c>
      <c r="AN39" s="20">
        <f>Programacion[[#This Row],[DEVENGADO OCTUBRE]]+Programacion[[#This Row],[DEVENGADO NOVIEMBRE]]+Programacion[[#This Row],[DEVENGADO DICIEMBRE]]</f>
        <v>0</v>
      </c>
      <c r="AO39" s="20">
        <f>Programacion[[#This Row],[ENERO]]+Programacion[[#This Row],[FEBRERO]]+Programacion[[#This Row],[MARZO]]+Programacion[[#This Row],[ABRIL]]+Programacion[[#This Row],[MAYO]]+Programacion[[#This Row],[JUNIO]]</f>
        <v>0</v>
      </c>
      <c r="AP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9" s="116"/>
    </row>
    <row r="40" spans="1:46" ht="30" x14ac:dyDescent="0.25">
      <c r="A40" s="11" t="s">
        <v>45</v>
      </c>
      <c r="B40" s="12" t="s">
        <v>76</v>
      </c>
      <c r="C40" s="13" t="s">
        <v>73</v>
      </c>
      <c r="D40" s="14" t="s">
        <v>48</v>
      </c>
      <c r="E40" s="15">
        <v>39</v>
      </c>
      <c r="F40" s="16">
        <v>2.2999999999999998</v>
      </c>
      <c r="G40" s="14" t="s">
        <v>74</v>
      </c>
      <c r="H40" s="17"/>
      <c r="I40" s="17"/>
      <c r="J40" s="17"/>
      <c r="K40" s="17"/>
      <c r="L40" s="17">
        <v>690</v>
      </c>
      <c r="M40" s="17">
        <v>690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0" s="19">
        <f>Programacion[[#This Row],[ENERO]]+Programacion[[#This Row],[FEBRERO]]+Programacion[[#This Row],[MARZO]]</f>
        <v>690</v>
      </c>
      <c r="AH40" s="19">
        <f>Programacion[[#This Row],[DEVENGADO ENERO]]+Programacion[[#This Row],[DEVENGADO FEBRERO]]+Programacion[[#This Row],[DEVENGADO MARZO]]</f>
        <v>690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0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690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0" s="116"/>
    </row>
    <row r="41" spans="1:46" ht="30" x14ac:dyDescent="0.25">
      <c r="A41" s="11" t="s">
        <v>45</v>
      </c>
      <c r="B41" s="12" t="s">
        <v>77</v>
      </c>
      <c r="C41" s="13" t="s">
        <v>73</v>
      </c>
      <c r="D41" s="14" t="s">
        <v>48</v>
      </c>
      <c r="E41" s="15">
        <v>39</v>
      </c>
      <c r="F41" s="16">
        <v>2.2999999999999998</v>
      </c>
      <c r="G41" s="14" t="s">
        <v>74</v>
      </c>
      <c r="H41" s="17"/>
      <c r="I41" s="17"/>
      <c r="J41" s="17"/>
      <c r="K41" s="17"/>
      <c r="L41" s="17"/>
      <c r="M41" s="17"/>
      <c r="N41" s="17"/>
      <c r="O41" s="17"/>
      <c r="P41" s="17">
        <v>500</v>
      </c>
      <c r="Q41" s="17">
        <v>500</v>
      </c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1" s="19">
        <f>Programacion[[#This Row],[ENERO]]+Programacion[[#This Row],[FEBRERO]]+Programacion[[#This Row],[MARZO]]</f>
        <v>0</v>
      </c>
      <c r="AH41" s="19">
        <f>Programacion[[#This Row],[DEVENGADO ENERO]]+Programacion[[#This Row],[DEVENGADO FEBRERO]]+Programacion[[#This Row],[DEVENGADO MARZO]]</f>
        <v>0</v>
      </c>
      <c r="AI41" s="19">
        <f>Programacion[[#This Row],[ABRIL]]+Programacion[[#This Row],[MAYO]]+Programacion[[#This Row],[JUNIO]]</f>
        <v>500</v>
      </c>
      <c r="AJ41" s="19">
        <f>Programacion[[#This Row],[DEVENGADO ABRIL]]+Programacion[[#This Row],[DEVENGADO MAYO]]+Programacion[[#This Row],[DEVENGADO JUNIO]]</f>
        <v>500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500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1" s="116"/>
    </row>
    <row r="42" spans="1:46" ht="30" x14ac:dyDescent="0.25">
      <c r="A42" s="11" t="s">
        <v>45</v>
      </c>
      <c r="B42" s="12" t="s">
        <v>78</v>
      </c>
      <c r="C42" s="13" t="s">
        <v>73</v>
      </c>
      <c r="D42" s="14" t="s">
        <v>48</v>
      </c>
      <c r="E42" s="15">
        <v>39</v>
      </c>
      <c r="F42" s="16">
        <v>2.2999999999999998</v>
      </c>
      <c r="G42" s="14" t="s">
        <v>74</v>
      </c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>
        <v>7350</v>
      </c>
      <c r="U42" s="17">
        <v>7350</v>
      </c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0</v>
      </c>
      <c r="AJ42" s="19">
        <f>Programacion[[#This Row],[DEVENGADO ABRIL]]+Programacion[[#This Row],[DEVENGADO MAYO]]+Programacion[[#This Row],[DEVENGADO JUNIO]]</f>
        <v>0</v>
      </c>
      <c r="AK42" s="19">
        <f>Programacion[[#This Row],[JULIO]]+Programacion[[#This Row],[AGOSTO]]+Programacion[[#This Row],[SEPTIEMBRE]]</f>
        <v>7350</v>
      </c>
      <c r="AL42" s="19">
        <f>Programacion[[#This Row],[DEVENGADO JULIO]]+Programacion[[#This Row],[DEVENGADO AGOSTO]]+Programacion[[#This Row],[DEVENGADO SEPTIEMBRE]]</f>
        <v>7350</v>
      </c>
      <c r="AM42" s="19">
        <f>Programacion[[#This Row],[OCTUBRE]]+Programacion[[#This Row],[NOVIEMBRE]]+Programacion[[#This Row],[DICIEMBRE]]</f>
        <v>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2" s="116"/>
    </row>
    <row r="43" spans="1:46" ht="30" x14ac:dyDescent="0.25">
      <c r="A43" s="118" t="s">
        <v>45</v>
      </c>
      <c r="B43" s="118" t="s">
        <v>252</v>
      </c>
      <c r="C43" s="118" t="s">
        <v>253</v>
      </c>
      <c r="D43" s="119" t="s">
        <v>48</v>
      </c>
      <c r="E43" s="120">
        <v>39</v>
      </c>
      <c r="F43" s="120">
        <v>23</v>
      </c>
      <c r="G43" s="119" t="s">
        <v>74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>
        <v>2000</v>
      </c>
      <c r="AA43" s="33"/>
      <c r="AB43" s="33"/>
      <c r="AC43" s="33"/>
      <c r="AD43" s="33"/>
      <c r="AE43" s="33"/>
      <c r="AF4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3" s="33">
        <f>Programacion[[#This Row],[ENERO]]+Programacion[[#This Row],[FEBRERO]]+Programacion[[#This Row],[MARZO]]</f>
        <v>0</v>
      </c>
      <c r="AH43" s="33">
        <f>Programacion[[#This Row],[DEVENGADO ENERO]]+Programacion[[#This Row],[DEVENGADO FEBRERO]]+Programacion[[#This Row],[DEVENGADO MARZO]]</f>
        <v>0</v>
      </c>
      <c r="AI43" s="33">
        <f>Programacion[[#This Row],[ABRIL]]+Programacion[[#This Row],[MAYO]]+Programacion[[#This Row],[JUNIO]]</f>
        <v>0</v>
      </c>
      <c r="AJ43" s="33">
        <f>Programacion[[#This Row],[DEVENGADO ABRIL]]+Programacion[[#This Row],[DEVENGADO MAYO]]+Programacion[[#This Row],[DEVENGADO JUNIO]]</f>
        <v>0</v>
      </c>
      <c r="AK43" s="33">
        <f>Programacion[[#This Row],[JULIO]]+Programacion[[#This Row],[AGOSTO]]+Programacion[[#This Row],[SEPTIEMBRE]]</f>
        <v>0</v>
      </c>
      <c r="AL43" s="33">
        <f>Programacion[[#This Row],[DEVENGADO JULIO]]+Programacion[[#This Row],[DEVENGADO AGOSTO]]+Programacion[[#This Row],[DEVENGADO SEPTIEMBRE]]</f>
        <v>0</v>
      </c>
      <c r="AM43" s="33">
        <f>Programacion[[#This Row],[OCTUBRE]]+Programacion[[#This Row],[NOVIEMBRE]]+Programacion[[#This Row],[DICIEMBRE]]</f>
        <v>2000</v>
      </c>
      <c r="AN43" s="21">
        <f>Programacion[[#This Row],[DEVENGADO OCTUBRE]]+Programacion[[#This Row],[DEVENGADO NOVIEMBRE]]+Programacion[[#This Row],[DEVENGADO DICIEMBRE]]</f>
        <v>0</v>
      </c>
      <c r="AO43" s="21">
        <f>Programacion[[#This Row],[ENERO]]+Programacion[[#This Row],[FEBRERO]]+Programacion[[#This Row],[MARZO]]+Programacion[[#This Row],[ABRIL]]+Programacion[[#This Row],[MAYO]]+Programacion[[#This Row],[JUNIO]]</f>
        <v>0</v>
      </c>
      <c r="AP4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21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3" s="116"/>
    </row>
    <row r="44" spans="1:46" ht="30" x14ac:dyDescent="0.25">
      <c r="A44" s="11" t="s">
        <v>45</v>
      </c>
      <c r="B44" s="12" t="s">
        <v>79</v>
      </c>
      <c r="C44" s="13" t="s">
        <v>73</v>
      </c>
      <c r="D44" s="14" t="s">
        <v>48</v>
      </c>
      <c r="E44" s="15">
        <v>39</v>
      </c>
      <c r="F44" s="16">
        <v>2.2999999999999998</v>
      </c>
      <c r="G44" s="14" t="s">
        <v>74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>
        <v>880</v>
      </c>
      <c r="U44" s="17">
        <v>880</v>
      </c>
      <c r="V44" s="17"/>
      <c r="W44" s="17"/>
      <c r="X44" s="17">
        <v>880</v>
      </c>
      <c r="Y44" s="17"/>
      <c r="Z44" s="17"/>
      <c r="AA44" s="17"/>
      <c r="AB44" s="17"/>
      <c r="AC44" s="17"/>
      <c r="AD44" s="17">
        <v>880</v>
      </c>
      <c r="AE44" s="17"/>
      <c r="AF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4" s="19">
        <f>Programacion[[#This Row],[ENERO]]+Programacion[[#This Row],[FEBRERO]]+Programacion[[#This Row],[MARZO]]</f>
        <v>0</v>
      </c>
      <c r="AH44" s="19">
        <f>Programacion[[#This Row],[DEVENGADO ENERO]]+Programacion[[#This Row],[DEVENGADO FEBRERO]]+Programacion[[#This Row],[DEVENGADO MARZO]]</f>
        <v>0</v>
      </c>
      <c r="AI44" s="19">
        <f>Programacion[[#This Row],[ABRIL]]+Programacion[[#This Row],[MAYO]]+Programacion[[#This Row],[JUNIO]]</f>
        <v>0</v>
      </c>
      <c r="AJ44" s="19">
        <f>Programacion[[#This Row],[DEVENGADO ABRIL]]+Programacion[[#This Row],[DEVENGADO MAYO]]+Programacion[[#This Row],[DEVENGADO JUNIO]]</f>
        <v>0</v>
      </c>
      <c r="AK44" s="19">
        <f>Programacion[[#This Row],[JULIO]]+Programacion[[#This Row],[AGOSTO]]+Programacion[[#This Row],[SEPTIEMBRE]]</f>
        <v>1760</v>
      </c>
      <c r="AL44" s="19">
        <f>Programacion[[#This Row],[DEVENGADO JULIO]]+Programacion[[#This Row],[DEVENGADO AGOSTO]]+Programacion[[#This Row],[DEVENGADO SEPTIEMBRE]]</f>
        <v>880</v>
      </c>
      <c r="AM44" s="19">
        <f>Programacion[[#This Row],[OCTUBRE]]+Programacion[[#This Row],[NOVIEMBRE]]+Programacion[[#This Row],[DICIEMBRE]]</f>
        <v>880</v>
      </c>
      <c r="AN44" s="20">
        <f>Programacion[[#This Row],[DEVENGADO OCTUBRE]]+Programacion[[#This Row],[DEVENGADO NOVIEMBRE]]+Programacion[[#This Row],[DEVENGADO DICIEMBRE]]</f>
        <v>0</v>
      </c>
      <c r="AO44" s="20">
        <f>Programacion[[#This Row],[ENERO]]+Programacion[[#This Row],[FEBRERO]]+Programacion[[#This Row],[MARZO]]+Programacion[[#This Row],[ABRIL]]+Programacion[[#This Row],[MAYO]]+Programacion[[#This Row],[JUNIO]]</f>
        <v>0</v>
      </c>
      <c r="AP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4" s="116"/>
    </row>
    <row r="45" spans="1:46" x14ac:dyDescent="0.25">
      <c r="A45" s="118" t="s">
        <v>45</v>
      </c>
      <c r="B45" s="122" t="s">
        <v>254</v>
      </c>
      <c r="C45" s="118" t="s">
        <v>255</v>
      </c>
      <c r="D45" s="119" t="s">
        <v>48</v>
      </c>
      <c r="E45" s="123">
        <v>39</v>
      </c>
      <c r="F45" s="120">
        <v>23</v>
      </c>
      <c r="G45" s="124" t="s">
        <v>256</v>
      </c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>
        <v>1050</v>
      </c>
      <c r="W45" s="33">
        <v>1030</v>
      </c>
      <c r="X45" s="33"/>
      <c r="Y45" s="33"/>
      <c r="Z45" s="33"/>
      <c r="AA45" s="33"/>
      <c r="AB45" s="33"/>
      <c r="AC45" s="33"/>
      <c r="AD45" s="33"/>
      <c r="AE45" s="33"/>
      <c r="AF4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</v>
      </c>
      <c r="AG45" s="33">
        <f>Programacion[[#This Row],[ENERO]]+Programacion[[#This Row],[FEBRERO]]+Programacion[[#This Row],[MARZO]]</f>
        <v>0</v>
      </c>
      <c r="AH45" s="33">
        <f>Programacion[[#This Row],[DEVENGADO ENERO]]+Programacion[[#This Row],[DEVENGADO FEBRERO]]+Programacion[[#This Row],[DEVENGADO MARZO]]</f>
        <v>0</v>
      </c>
      <c r="AI45" s="33">
        <f>Programacion[[#This Row],[ABRIL]]+Programacion[[#This Row],[MAYO]]+Programacion[[#This Row],[JUNIO]]</f>
        <v>0</v>
      </c>
      <c r="AJ45" s="33">
        <f>Programacion[[#This Row],[DEVENGADO ABRIL]]+Programacion[[#This Row],[DEVENGADO MAYO]]+Programacion[[#This Row],[DEVENGADO JUNIO]]</f>
        <v>0</v>
      </c>
      <c r="AK45" s="33">
        <f>Programacion[[#This Row],[JULIO]]+Programacion[[#This Row],[AGOSTO]]+Programacion[[#This Row],[SEPTIEMBRE]]</f>
        <v>1050</v>
      </c>
      <c r="AL45" s="33">
        <f>Programacion[[#This Row],[DEVENGADO JULIO]]+Programacion[[#This Row],[DEVENGADO AGOSTO]]+Programacion[[#This Row],[DEVENGADO SEPTIEMBRE]]</f>
        <v>1030</v>
      </c>
      <c r="AM45" s="33">
        <f>Programacion[[#This Row],[OCTUBRE]]+Programacion[[#This Row],[NOVIEMBRE]]+Programacion[[#This Row],[DICIEMBRE]]</f>
        <v>0</v>
      </c>
      <c r="AN45" s="21">
        <f>Programacion[[#This Row],[DEVENGADO OCTUBRE]]+Programacion[[#This Row],[DEVENGADO NOVIEMBRE]]+Programacion[[#This Row],[DEVENGADO DICIEMBRE]]</f>
        <v>0</v>
      </c>
      <c r="AO45" s="21">
        <f>Programacion[[#This Row],[ENERO]]+Programacion[[#This Row],[FEBRERO]]+Programacion[[#This Row],[MARZO]]+Programacion[[#This Row],[ABRIL]]+Programacion[[#This Row],[MAYO]]+Programacion[[#This Row],[JUNIO]]</f>
        <v>0</v>
      </c>
      <c r="AP4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21">
        <f>Programacion[[#This Row],[JULIO]]+Programacion[[#This Row],[AGOSTO]]+Programacion[[#This Row],[SEPTIEMBRE]]+Programacion[[#This Row],[OCTUBRE]]+Programacion[[#This Row],[NOVIEMBRE]]+Programacion[[#This Row],[DICIEMBRE]]</f>
        <v>1050</v>
      </c>
      <c r="AR4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4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45" s="116"/>
    </row>
    <row r="46" spans="1:46" x14ac:dyDescent="0.25">
      <c r="A46" s="118" t="s">
        <v>45</v>
      </c>
      <c r="B46" s="122" t="s">
        <v>257</v>
      </c>
      <c r="C46" s="118" t="s">
        <v>255</v>
      </c>
      <c r="D46" s="119" t="s">
        <v>48</v>
      </c>
      <c r="E46" s="123">
        <v>39</v>
      </c>
      <c r="F46" s="120">
        <v>23</v>
      </c>
      <c r="G46" s="124" t="s">
        <v>67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>
        <v>11335</v>
      </c>
      <c r="W46" s="33"/>
      <c r="X46" s="33"/>
      <c r="Y46" s="33">
        <v>11335.47</v>
      </c>
      <c r="Z46" s="33"/>
      <c r="AA46" s="33"/>
      <c r="AB46" s="33"/>
      <c r="AC46" s="33"/>
      <c r="AD46" s="33"/>
      <c r="AE46" s="33"/>
      <c r="AF4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46" s="33">
        <f>Programacion[[#This Row],[ENERO]]+Programacion[[#This Row],[FEBRERO]]+Programacion[[#This Row],[MARZO]]</f>
        <v>0</v>
      </c>
      <c r="AH46" s="33">
        <f>Programacion[[#This Row],[DEVENGADO ENERO]]+Programacion[[#This Row],[DEVENGADO FEBRERO]]+Programacion[[#This Row],[DEVENGADO MARZO]]</f>
        <v>0</v>
      </c>
      <c r="AI46" s="33">
        <f>Programacion[[#This Row],[ABRIL]]+Programacion[[#This Row],[MAYO]]+Programacion[[#This Row],[JUNIO]]</f>
        <v>0</v>
      </c>
      <c r="AJ46" s="33">
        <f>Programacion[[#This Row],[DEVENGADO ABRIL]]+Programacion[[#This Row],[DEVENGADO MAYO]]+Programacion[[#This Row],[DEVENGADO JUNIO]]</f>
        <v>0</v>
      </c>
      <c r="AK46" s="33">
        <f>Programacion[[#This Row],[JULIO]]+Programacion[[#This Row],[AGOSTO]]+Programacion[[#This Row],[SEPTIEMBRE]]</f>
        <v>11335</v>
      </c>
      <c r="AL46" s="33">
        <f>Programacion[[#This Row],[DEVENGADO JULIO]]+Programacion[[#This Row],[DEVENGADO AGOSTO]]+Programacion[[#This Row],[DEVENGADO SEPTIEMBRE]]</f>
        <v>11335.47</v>
      </c>
      <c r="AM46" s="33">
        <f>Programacion[[#This Row],[OCTUBRE]]+Programacion[[#This Row],[NOVIEMBRE]]+Programacion[[#This Row],[DICIEMBRE]]</f>
        <v>0</v>
      </c>
      <c r="AN46" s="21">
        <f>Programacion[[#This Row],[DEVENGADO OCTUBRE]]+Programacion[[#This Row],[DEVENGADO NOVIEMBRE]]+Programacion[[#This Row],[DEVENGADO DICIEMBRE]]</f>
        <v>0</v>
      </c>
      <c r="AO46" s="21">
        <f>Programacion[[#This Row],[ENERO]]+Programacion[[#This Row],[FEBRERO]]+Programacion[[#This Row],[MARZO]]+Programacion[[#This Row],[ABRIL]]+Programacion[[#This Row],[MAYO]]+Programacion[[#This Row],[JUNIO]]</f>
        <v>0</v>
      </c>
      <c r="AP4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21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4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S4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T46" s="116"/>
    </row>
    <row r="47" spans="1:46" x14ac:dyDescent="0.25">
      <c r="A47" s="146" t="s">
        <v>45</v>
      </c>
      <c r="B47" s="146" t="s">
        <v>271</v>
      </c>
      <c r="C47" s="146" t="s">
        <v>259</v>
      </c>
      <c r="D47" s="146" t="s">
        <v>48</v>
      </c>
      <c r="E47" s="146">
        <v>39</v>
      </c>
      <c r="F47" s="146">
        <v>26</v>
      </c>
      <c r="G47" s="146" t="s">
        <v>120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>
        <v>13500</v>
      </c>
      <c r="W47" s="33">
        <v>13500</v>
      </c>
      <c r="X47" s="33"/>
      <c r="Y47" s="33"/>
      <c r="Z47" s="33"/>
      <c r="AA47" s="33"/>
      <c r="AB47" s="33"/>
      <c r="AC47" s="33"/>
      <c r="AD47" s="33"/>
      <c r="AE47" s="33"/>
      <c r="AF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47" s="33">
        <f>Programacion[[#This Row],[ENERO]]+Programacion[[#This Row],[FEBRERO]]+Programacion[[#This Row],[MARZO]]</f>
        <v>0</v>
      </c>
      <c r="AH47" s="33">
        <f>Programacion[[#This Row],[DEVENGADO ENERO]]+Programacion[[#This Row],[DEVENGADO FEBRERO]]+Programacion[[#This Row],[DEVENGADO MARZO]]</f>
        <v>0</v>
      </c>
      <c r="AI47" s="33">
        <f>Programacion[[#This Row],[ABRIL]]+Programacion[[#This Row],[MAYO]]+Programacion[[#This Row],[JUNIO]]</f>
        <v>0</v>
      </c>
      <c r="AJ47" s="33">
        <f>Programacion[[#This Row],[DEVENGADO ABRIL]]+Programacion[[#This Row],[DEVENGADO MAYO]]+Programacion[[#This Row],[DEVENGADO JUNIO]]</f>
        <v>0</v>
      </c>
      <c r="AK47" s="33">
        <f>Programacion[[#This Row],[JULIO]]+Programacion[[#This Row],[AGOSTO]]+Programacion[[#This Row],[SEPTIEMBRE]]</f>
        <v>13500</v>
      </c>
      <c r="AL47" s="33">
        <f>Programacion[[#This Row],[DEVENGADO JULIO]]+Programacion[[#This Row],[DEVENGADO AGOSTO]]+Programacion[[#This Row],[DEVENGADO SEPTIEMBRE]]</f>
        <v>13500</v>
      </c>
      <c r="AM47" s="33">
        <f>Programacion[[#This Row],[OCTUBRE]]+Programacion[[#This Row],[NOVIEMBRE]]+Programacion[[#This Row],[DICIEMBRE]]</f>
        <v>0</v>
      </c>
      <c r="AN47" s="21">
        <f>Programacion[[#This Row],[DEVENGADO OCTUBRE]]+Programacion[[#This Row],[DEVENGADO NOVIEMBRE]]+Programacion[[#This Row],[DEVENGADO DICIEMBRE]]</f>
        <v>0</v>
      </c>
      <c r="AO47" s="21">
        <f>Programacion[[#This Row],[ENERO]]+Programacion[[#This Row],[FEBRERO]]+Programacion[[#This Row],[MARZO]]+Programacion[[#This Row],[ABRIL]]+Programacion[[#This Row],[MAYO]]+Programacion[[#This Row],[JUNIO]]</f>
        <v>0</v>
      </c>
      <c r="AP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21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47" s="116"/>
    </row>
    <row r="48" spans="1:46" x14ac:dyDescent="0.25">
      <c r="A48" s="122" t="s">
        <v>45</v>
      </c>
      <c r="B48" s="122" t="s">
        <v>258</v>
      </c>
      <c r="C48" s="124" t="s">
        <v>259</v>
      </c>
      <c r="D48" s="119" t="s">
        <v>48</v>
      </c>
      <c r="E48" s="123">
        <v>3</v>
      </c>
      <c r="F48" s="123">
        <v>26</v>
      </c>
      <c r="G48" s="124" t="s">
        <v>120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>
        <v>188000</v>
      </c>
      <c r="AA48" s="33"/>
      <c r="AB48" s="33"/>
      <c r="AC48" s="33"/>
      <c r="AD48" s="33"/>
      <c r="AE48" s="33"/>
      <c r="AF4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188000</v>
      </c>
      <c r="AG48" s="33">
        <f>Programacion[[#This Row],[ENERO]]+Programacion[[#This Row],[FEBRERO]]+Programacion[[#This Row],[MARZO]]</f>
        <v>0</v>
      </c>
      <c r="AH48" s="33">
        <f>Programacion[[#This Row],[DEVENGADO ENERO]]+Programacion[[#This Row],[DEVENGADO FEBRERO]]+Programacion[[#This Row],[DEVENGADO MARZO]]</f>
        <v>0</v>
      </c>
      <c r="AI48" s="33">
        <f>Programacion[[#This Row],[ABRIL]]+Programacion[[#This Row],[MAYO]]+Programacion[[#This Row],[JUNIO]]</f>
        <v>0</v>
      </c>
      <c r="AJ48" s="33">
        <f>Programacion[[#This Row],[DEVENGADO ABRIL]]+Programacion[[#This Row],[DEVENGADO MAYO]]+Programacion[[#This Row],[DEVENGADO JUNIO]]</f>
        <v>0</v>
      </c>
      <c r="AK48" s="33">
        <f>Programacion[[#This Row],[JULIO]]+Programacion[[#This Row],[AGOSTO]]+Programacion[[#This Row],[SEPTIEMBRE]]</f>
        <v>0</v>
      </c>
      <c r="AL48" s="33">
        <f>Programacion[[#This Row],[DEVENGADO JULIO]]+Programacion[[#This Row],[DEVENGADO AGOSTO]]+Programacion[[#This Row],[DEVENGADO SEPTIEMBRE]]</f>
        <v>0</v>
      </c>
      <c r="AM48" s="33">
        <f>Programacion[[#This Row],[OCTUBRE]]+Programacion[[#This Row],[NOVIEMBRE]]+Programacion[[#This Row],[DICIEMBRE]]</f>
        <v>188000</v>
      </c>
      <c r="AN48" s="21">
        <f>Programacion[[#This Row],[DEVENGADO OCTUBRE]]+Programacion[[#This Row],[DEVENGADO NOVIEMBRE]]+Programacion[[#This Row],[DEVENGADO DICIEMBRE]]</f>
        <v>0</v>
      </c>
      <c r="AO48" s="21">
        <f>Programacion[[#This Row],[ENERO]]+Programacion[[#This Row],[FEBRERO]]+Programacion[[#This Row],[MARZO]]+Programacion[[#This Row],[ABRIL]]+Programacion[[#This Row],[MAYO]]+Programacion[[#This Row],[JUNIO]]</f>
        <v>0</v>
      </c>
      <c r="AP4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21">
        <f>Programacion[[#This Row],[JULIO]]+Programacion[[#This Row],[AGOSTO]]+Programacion[[#This Row],[SEPTIEMBRE]]+Programacion[[#This Row],[OCTUBRE]]+Programacion[[#This Row],[NOVIEMBRE]]+Programacion[[#This Row],[DICIEMBRE]]</f>
        <v>188000</v>
      </c>
      <c r="AR4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8" s="116"/>
    </row>
    <row r="49" spans="1:46" x14ac:dyDescent="0.25">
      <c r="A49" s="22" t="s">
        <v>45</v>
      </c>
      <c r="B49" s="23" t="s">
        <v>222</v>
      </c>
      <c r="C49" s="13" t="s">
        <v>80</v>
      </c>
      <c r="D49" s="13" t="s">
        <v>48</v>
      </c>
      <c r="E49" s="24">
        <v>39</v>
      </c>
      <c r="F49" s="25">
        <v>2.6</v>
      </c>
      <c r="G49" s="13" t="s">
        <v>223</v>
      </c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>
        <v>2270</v>
      </c>
      <c r="U49" s="33">
        <v>2270</v>
      </c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49" s="33">
        <f>Programacion[[#This Row],[ENERO]]+Programacion[[#This Row],[FEBRERO]]+Programacion[[#This Row],[MARZO]]</f>
        <v>0</v>
      </c>
      <c r="AH49" s="33">
        <f>Programacion[[#This Row],[DEVENGADO ENERO]]+Programacion[[#This Row],[DEVENGADO FEBRERO]]+Programacion[[#This Row],[DEVENGADO MARZO]]</f>
        <v>0</v>
      </c>
      <c r="AI49" s="33">
        <f>Programacion[[#This Row],[ABRIL]]+Programacion[[#This Row],[MAYO]]+Programacion[[#This Row],[JUNIO]]</f>
        <v>0</v>
      </c>
      <c r="AJ49" s="33">
        <f>Programacion[[#This Row],[DEVENGADO ABRIL]]+Programacion[[#This Row],[DEVENGADO MAYO]]+Programacion[[#This Row],[DEVENGADO JUNIO]]</f>
        <v>0</v>
      </c>
      <c r="AK49" s="33">
        <f>Programacion[[#This Row],[JULIO]]+Programacion[[#This Row],[AGOSTO]]+Programacion[[#This Row],[SEPTIEMBRE]]</f>
        <v>2270</v>
      </c>
      <c r="AL49" s="33">
        <f>Programacion[[#This Row],[DEVENGADO JULIO]]+Programacion[[#This Row],[DEVENGADO AGOSTO]]+Programacion[[#This Row],[DEVENGADO SEPTIEMBRE]]</f>
        <v>2270</v>
      </c>
      <c r="AM49" s="33">
        <f>Programacion[[#This Row],[OCTUBRE]]+Programacion[[#This Row],[NOVIEMBRE]]+Programacion[[#This Row],[DICIEMBRE]]</f>
        <v>0</v>
      </c>
      <c r="AN49" s="21">
        <f>Programacion[[#This Row],[DEVENGADO OCTUBRE]]+Programacion[[#This Row],[DEVENGADO NOVIEMBRE]]+Programacion[[#This Row],[DEVENGADO DICIEMBRE]]</f>
        <v>0</v>
      </c>
      <c r="AO49" s="21">
        <f>Programacion[[#This Row],[ENERO]]+Programacion[[#This Row],[FEBRERO]]+Programacion[[#This Row],[MARZO]]+Programacion[[#This Row],[ABRIL]]+Programacion[[#This Row],[MAYO]]+Programacion[[#This Row],[JUNIO]]</f>
        <v>0</v>
      </c>
      <c r="AP4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4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4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49" s="116"/>
    </row>
    <row r="50" spans="1:46" x14ac:dyDescent="0.25">
      <c r="A50" s="22" t="s">
        <v>81</v>
      </c>
      <c r="B50" s="23" t="s">
        <v>234</v>
      </c>
      <c r="C50" s="13" t="s">
        <v>80</v>
      </c>
      <c r="D50" s="13" t="s">
        <v>48</v>
      </c>
      <c r="E50" s="24">
        <v>39</v>
      </c>
      <c r="F50" s="25">
        <v>2.6</v>
      </c>
      <c r="G50" s="13" t="s">
        <v>224</v>
      </c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>
        <v>2000</v>
      </c>
      <c r="Y50" s="115"/>
      <c r="Z50" s="115"/>
      <c r="AA50" s="115"/>
      <c r="AB50" s="115"/>
      <c r="AC50" s="115"/>
      <c r="AD50" s="115"/>
      <c r="AE50" s="115"/>
      <c r="AF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50" s="19">
        <f>Programacion[[#This Row],[ENERO]]+Programacion[[#This Row],[FEBRERO]]+Programacion[[#This Row],[MARZO]]</f>
        <v>0</v>
      </c>
      <c r="AH50" s="19">
        <f>Programacion[[#This Row],[DEVENGADO ENERO]]+Programacion[[#This Row],[DEVENGADO FEBRERO]]+Programacion[[#This Row],[DEVENGADO MARZO]]</f>
        <v>0</v>
      </c>
      <c r="AI50" s="19">
        <f>Programacion[[#This Row],[ABRIL]]+Programacion[[#This Row],[MAYO]]+Programacion[[#This Row],[JUNIO]]</f>
        <v>0</v>
      </c>
      <c r="AJ50" s="19">
        <f>Programacion[[#This Row],[DEVENGADO ABRIL]]+Programacion[[#This Row],[DEVENGADO MAYO]]+Programacion[[#This Row],[DEVENGADO JUNIO]]</f>
        <v>0</v>
      </c>
      <c r="AK50" s="19">
        <f>Programacion[[#This Row],[JULIO]]+Programacion[[#This Row],[AGOSTO]]+Programacion[[#This Row],[SEPTIEMBRE]]</f>
        <v>2000</v>
      </c>
      <c r="AL50" s="19">
        <f>Programacion[[#This Row],[DEVENGADO JULIO]]+Programacion[[#This Row],[DEVENGADO AGOSTO]]+Programacion[[#This Row],[DEVENGADO SEPTIEMBRE]]</f>
        <v>0</v>
      </c>
      <c r="AM50" s="19">
        <f>Programacion[[#This Row],[OCTUBRE]]+Programacion[[#This Row],[NOVIEMBRE]]+Programacion[[#This Row],[DICIEMBRE]]</f>
        <v>0</v>
      </c>
      <c r="AN50" s="20">
        <f>Programacion[[#This Row],[DEVENGADO OCTUBRE]]+Programacion[[#This Row],[DEVENGADO NOVIEMBRE]]+Programacion[[#This Row],[DEVENGADO DICIEMBRE]]</f>
        <v>0</v>
      </c>
      <c r="AO50" s="20">
        <f>Programacion[[#This Row],[ENERO]]+Programacion[[#This Row],[FEBRERO]]+Programacion[[#This Row],[MARZO]]+Programacion[[#This Row],[ABRIL]]+Programacion[[#This Row],[MAYO]]+Programacion[[#This Row],[JUNIO]]</f>
        <v>0</v>
      </c>
      <c r="AP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0" s="116"/>
    </row>
    <row r="51" spans="1:46" x14ac:dyDescent="0.25">
      <c r="A51" s="118" t="s">
        <v>45</v>
      </c>
      <c r="B51" s="118" t="s">
        <v>288</v>
      </c>
      <c r="C51" s="118" t="s">
        <v>264</v>
      </c>
      <c r="D51" s="119" t="s">
        <v>48</v>
      </c>
      <c r="E51" s="120">
        <v>3</v>
      </c>
      <c r="F51" s="120">
        <v>23</v>
      </c>
      <c r="G51" s="119" t="s">
        <v>57</v>
      </c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8">
        <v>11000</v>
      </c>
      <c r="Y51" s="147"/>
      <c r="Z51" s="148">
        <v>11000</v>
      </c>
      <c r="AA51" s="147"/>
      <c r="AB51" s="148">
        <v>11000</v>
      </c>
      <c r="AC51" s="147"/>
      <c r="AD51" s="148">
        <v>11000</v>
      </c>
      <c r="AE51" s="147"/>
      <c r="AF51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51" s="147">
        <f>Programacion[[#This Row],[ENERO]]+Programacion[[#This Row],[FEBRERO]]+Programacion[[#This Row],[MARZO]]</f>
        <v>0</v>
      </c>
      <c r="AH51" s="147">
        <f>Programacion[[#This Row],[DEVENGADO ENERO]]+Programacion[[#This Row],[DEVENGADO FEBRERO]]+Programacion[[#This Row],[DEVENGADO MARZO]]</f>
        <v>0</v>
      </c>
      <c r="AI51" s="147">
        <f>Programacion[[#This Row],[ABRIL]]+Programacion[[#This Row],[MAYO]]+Programacion[[#This Row],[JUNIO]]</f>
        <v>0</v>
      </c>
      <c r="AJ51" s="147">
        <f>Programacion[[#This Row],[DEVENGADO ABRIL]]+Programacion[[#This Row],[DEVENGADO MAYO]]+Programacion[[#This Row],[DEVENGADO JUNIO]]</f>
        <v>0</v>
      </c>
      <c r="AK51" s="147">
        <f>Programacion[[#This Row],[JULIO]]+Programacion[[#This Row],[AGOSTO]]+Programacion[[#This Row],[SEPTIEMBRE]]</f>
        <v>11000</v>
      </c>
      <c r="AL51" s="147">
        <f>Programacion[[#This Row],[DEVENGADO JULIO]]+Programacion[[#This Row],[DEVENGADO AGOSTO]]+Programacion[[#This Row],[DEVENGADO SEPTIEMBRE]]</f>
        <v>0</v>
      </c>
      <c r="AM51" s="147">
        <f>Programacion[[#This Row],[OCTUBRE]]+Programacion[[#This Row],[NOVIEMBRE]]+Programacion[[#This Row],[DICIEMBRE]]</f>
        <v>33000</v>
      </c>
      <c r="AN51" s="149">
        <f>Programacion[[#This Row],[DEVENGADO OCTUBRE]]+Programacion[[#This Row],[DEVENGADO NOVIEMBRE]]+Programacion[[#This Row],[DEVENGADO DICIEMBRE]]</f>
        <v>0</v>
      </c>
      <c r="AO51" s="149">
        <f>Programacion[[#This Row],[ENERO]]+Programacion[[#This Row],[FEBRERO]]+Programacion[[#This Row],[MARZO]]+Programacion[[#This Row],[ABRIL]]+Programacion[[#This Row],[MAYO]]+Programacion[[#This Row],[JUNIO]]</f>
        <v>0</v>
      </c>
      <c r="AP51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149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51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1" s="116"/>
    </row>
    <row r="52" spans="1:46" x14ac:dyDescent="0.25">
      <c r="A52" s="118" t="s">
        <v>45</v>
      </c>
      <c r="B52" s="118" t="s">
        <v>289</v>
      </c>
      <c r="C52" s="118" t="s">
        <v>264</v>
      </c>
      <c r="D52" s="119" t="s">
        <v>290</v>
      </c>
      <c r="E52" s="120">
        <v>134</v>
      </c>
      <c r="F52" s="120">
        <v>23</v>
      </c>
      <c r="G52" s="119" t="s">
        <v>70</v>
      </c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8">
        <v>3500</v>
      </c>
      <c r="Y52" s="147"/>
      <c r="Z52" s="148">
        <v>3500</v>
      </c>
      <c r="AA52" s="147"/>
      <c r="AB52" s="148">
        <v>3500</v>
      </c>
      <c r="AC52" s="147"/>
      <c r="AD52" s="148">
        <v>3500</v>
      </c>
      <c r="AE52" s="147"/>
      <c r="AF52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2" s="147">
        <f>Programacion[[#This Row],[ENERO]]+Programacion[[#This Row],[FEBRERO]]+Programacion[[#This Row],[MARZO]]</f>
        <v>0</v>
      </c>
      <c r="AH52" s="147">
        <f>Programacion[[#This Row],[DEVENGADO ENERO]]+Programacion[[#This Row],[DEVENGADO FEBRERO]]+Programacion[[#This Row],[DEVENGADO MARZO]]</f>
        <v>0</v>
      </c>
      <c r="AI52" s="147">
        <f>Programacion[[#This Row],[ABRIL]]+Programacion[[#This Row],[MAYO]]+Programacion[[#This Row],[JUNIO]]</f>
        <v>0</v>
      </c>
      <c r="AJ52" s="147">
        <f>Programacion[[#This Row],[DEVENGADO ABRIL]]+Programacion[[#This Row],[DEVENGADO MAYO]]+Programacion[[#This Row],[DEVENGADO JUNIO]]</f>
        <v>0</v>
      </c>
      <c r="AK52" s="147">
        <f>Programacion[[#This Row],[JULIO]]+Programacion[[#This Row],[AGOSTO]]+Programacion[[#This Row],[SEPTIEMBRE]]</f>
        <v>3500</v>
      </c>
      <c r="AL52" s="147">
        <f>Programacion[[#This Row],[DEVENGADO JULIO]]+Programacion[[#This Row],[DEVENGADO AGOSTO]]+Programacion[[#This Row],[DEVENGADO SEPTIEMBRE]]</f>
        <v>0</v>
      </c>
      <c r="AM52" s="147">
        <f>Programacion[[#This Row],[OCTUBRE]]+Programacion[[#This Row],[NOVIEMBRE]]+Programacion[[#This Row],[DICIEMBRE]]</f>
        <v>10500</v>
      </c>
      <c r="AN52" s="149">
        <f>Programacion[[#This Row],[DEVENGADO OCTUBRE]]+Programacion[[#This Row],[DEVENGADO NOVIEMBRE]]+Programacion[[#This Row],[DEVENGADO DICIEMBRE]]</f>
        <v>0</v>
      </c>
      <c r="AO52" s="149">
        <f>Programacion[[#This Row],[ENERO]]+Programacion[[#This Row],[FEBRERO]]+Programacion[[#This Row],[MARZO]]+Programacion[[#This Row],[ABRIL]]+Programacion[[#This Row],[MAYO]]+Programacion[[#This Row],[JUNIO]]</f>
        <v>0</v>
      </c>
      <c r="AP52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149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2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2" s="116"/>
    </row>
    <row r="53" spans="1:46" x14ac:dyDescent="0.25">
      <c r="A53" s="118" t="s">
        <v>45</v>
      </c>
      <c r="B53" s="118" t="s">
        <v>291</v>
      </c>
      <c r="C53" s="118" t="s">
        <v>264</v>
      </c>
      <c r="D53" s="119" t="s">
        <v>290</v>
      </c>
      <c r="E53" s="120">
        <v>134</v>
      </c>
      <c r="F53" s="120">
        <v>23</v>
      </c>
      <c r="G53" s="119" t="s">
        <v>70</v>
      </c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8"/>
      <c r="Y53" s="147"/>
      <c r="Z53" s="148"/>
      <c r="AA53" s="147"/>
      <c r="AB53" s="148">
        <v>6000</v>
      </c>
      <c r="AC53" s="147"/>
      <c r="AD53" s="148">
        <v>6000</v>
      </c>
      <c r="AE53" s="147"/>
      <c r="AF53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53" s="147">
        <f>Programacion[[#This Row],[ENERO]]+Programacion[[#This Row],[FEBRERO]]+Programacion[[#This Row],[MARZO]]</f>
        <v>0</v>
      </c>
      <c r="AH53" s="147">
        <f>Programacion[[#This Row],[DEVENGADO ENERO]]+Programacion[[#This Row],[DEVENGADO FEBRERO]]+Programacion[[#This Row],[DEVENGADO MARZO]]</f>
        <v>0</v>
      </c>
      <c r="AI53" s="147">
        <f>Programacion[[#This Row],[ABRIL]]+Programacion[[#This Row],[MAYO]]+Programacion[[#This Row],[JUNIO]]</f>
        <v>0</v>
      </c>
      <c r="AJ53" s="147">
        <f>Programacion[[#This Row],[DEVENGADO ABRIL]]+Programacion[[#This Row],[DEVENGADO MAYO]]+Programacion[[#This Row],[DEVENGADO JUNIO]]</f>
        <v>0</v>
      </c>
      <c r="AK53" s="147">
        <f>Programacion[[#This Row],[JULIO]]+Programacion[[#This Row],[AGOSTO]]+Programacion[[#This Row],[SEPTIEMBRE]]</f>
        <v>0</v>
      </c>
      <c r="AL53" s="147">
        <f>Programacion[[#This Row],[DEVENGADO JULIO]]+Programacion[[#This Row],[DEVENGADO AGOSTO]]+Programacion[[#This Row],[DEVENGADO SEPTIEMBRE]]</f>
        <v>0</v>
      </c>
      <c r="AM53" s="147">
        <f>Programacion[[#This Row],[OCTUBRE]]+Programacion[[#This Row],[NOVIEMBRE]]+Programacion[[#This Row],[DICIEMBRE]]</f>
        <v>12000</v>
      </c>
      <c r="AN53" s="149">
        <f>Programacion[[#This Row],[DEVENGADO OCTUBRE]]+Programacion[[#This Row],[DEVENGADO NOVIEMBRE]]+Programacion[[#This Row],[DEVENGADO DICIEMBRE]]</f>
        <v>0</v>
      </c>
      <c r="AO53" s="149">
        <f>Programacion[[#This Row],[ENERO]]+Programacion[[#This Row],[FEBRERO]]+Programacion[[#This Row],[MARZO]]+Programacion[[#This Row],[ABRIL]]+Programacion[[#This Row],[MAYO]]+Programacion[[#This Row],[JUNIO]]</f>
        <v>0</v>
      </c>
      <c r="AP53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149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53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3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3" s="116"/>
    </row>
    <row r="54" spans="1:46" x14ac:dyDescent="0.25">
      <c r="A54" s="118" t="s">
        <v>45</v>
      </c>
      <c r="B54" s="118" t="s">
        <v>292</v>
      </c>
      <c r="C54" s="118" t="s">
        <v>264</v>
      </c>
      <c r="D54" s="119" t="s">
        <v>290</v>
      </c>
      <c r="E54" s="120">
        <v>134</v>
      </c>
      <c r="F54" s="120">
        <v>23</v>
      </c>
      <c r="G54" s="119" t="s">
        <v>70</v>
      </c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8">
        <v>3500</v>
      </c>
      <c r="Y54" s="147"/>
      <c r="Z54" s="148">
        <v>3500</v>
      </c>
      <c r="AA54" s="147"/>
      <c r="AB54" s="148">
        <v>3500</v>
      </c>
      <c r="AC54" s="147"/>
      <c r="AD54" s="148">
        <v>3500</v>
      </c>
      <c r="AE54" s="147"/>
      <c r="AF54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4" s="147">
        <f>Programacion[[#This Row],[ENERO]]+Programacion[[#This Row],[FEBRERO]]+Programacion[[#This Row],[MARZO]]</f>
        <v>0</v>
      </c>
      <c r="AH54" s="147">
        <f>Programacion[[#This Row],[DEVENGADO ENERO]]+Programacion[[#This Row],[DEVENGADO FEBRERO]]+Programacion[[#This Row],[DEVENGADO MARZO]]</f>
        <v>0</v>
      </c>
      <c r="AI54" s="147">
        <f>Programacion[[#This Row],[ABRIL]]+Programacion[[#This Row],[MAYO]]+Programacion[[#This Row],[JUNIO]]</f>
        <v>0</v>
      </c>
      <c r="AJ54" s="147">
        <f>Programacion[[#This Row],[DEVENGADO ABRIL]]+Programacion[[#This Row],[DEVENGADO MAYO]]+Programacion[[#This Row],[DEVENGADO JUNIO]]</f>
        <v>0</v>
      </c>
      <c r="AK54" s="147">
        <f>Programacion[[#This Row],[JULIO]]+Programacion[[#This Row],[AGOSTO]]+Programacion[[#This Row],[SEPTIEMBRE]]</f>
        <v>3500</v>
      </c>
      <c r="AL54" s="147">
        <f>Programacion[[#This Row],[DEVENGADO JULIO]]+Programacion[[#This Row],[DEVENGADO AGOSTO]]+Programacion[[#This Row],[DEVENGADO SEPTIEMBRE]]</f>
        <v>0</v>
      </c>
      <c r="AM54" s="147">
        <f>Programacion[[#This Row],[OCTUBRE]]+Programacion[[#This Row],[NOVIEMBRE]]+Programacion[[#This Row],[DICIEMBRE]]</f>
        <v>10500</v>
      </c>
      <c r="AN54" s="149">
        <f>Programacion[[#This Row],[DEVENGADO OCTUBRE]]+Programacion[[#This Row],[DEVENGADO NOVIEMBRE]]+Programacion[[#This Row],[DEVENGADO DICIEMBRE]]</f>
        <v>0</v>
      </c>
      <c r="AO54" s="149">
        <f>Programacion[[#This Row],[ENERO]]+Programacion[[#This Row],[FEBRERO]]+Programacion[[#This Row],[MARZO]]+Programacion[[#This Row],[ABRIL]]+Programacion[[#This Row],[MAYO]]+Programacion[[#This Row],[JUNIO]]</f>
        <v>0</v>
      </c>
      <c r="AP54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149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4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116"/>
    </row>
    <row r="55" spans="1:46" x14ac:dyDescent="0.25">
      <c r="A55" s="118" t="s">
        <v>45</v>
      </c>
      <c r="B55" s="118" t="s">
        <v>293</v>
      </c>
      <c r="C55" s="118" t="s">
        <v>264</v>
      </c>
      <c r="D55" s="119" t="s">
        <v>290</v>
      </c>
      <c r="E55" s="120">
        <v>134</v>
      </c>
      <c r="F55" s="120">
        <v>23</v>
      </c>
      <c r="G55" s="119" t="s">
        <v>70</v>
      </c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8">
        <v>4500</v>
      </c>
      <c r="Y55" s="147"/>
      <c r="Z55" s="148">
        <v>4500</v>
      </c>
      <c r="AA55" s="147"/>
      <c r="AB55" s="148">
        <v>4500</v>
      </c>
      <c r="AC55" s="147"/>
      <c r="AD55" s="148">
        <v>4500</v>
      </c>
      <c r="AE55" s="147"/>
      <c r="AF55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55" s="147">
        <f>Programacion[[#This Row],[ENERO]]+Programacion[[#This Row],[FEBRERO]]+Programacion[[#This Row],[MARZO]]</f>
        <v>0</v>
      </c>
      <c r="AH55" s="147">
        <f>Programacion[[#This Row],[DEVENGADO ENERO]]+Programacion[[#This Row],[DEVENGADO FEBRERO]]+Programacion[[#This Row],[DEVENGADO MARZO]]</f>
        <v>0</v>
      </c>
      <c r="AI55" s="147">
        <f>Programacion[[#This Row],[ABRIL]]+Programacion[[#This Row],[MAYO]]+Programacion[[#This Row],[JUNIO]]</f>
        <v>0</v>
      </c>
      <c r="AJ55" s="147">
        <f>Programacion[[#This Row],[DEVENGADO ABRIL]]+Programacion[[#This Row],[DEVENGADO MAYO]]+Programacion[[#This Row],[DEVENGADO JUNIO]]</f>
        <v>0</v>
      </c>
      <c r="AK55" s="147">
        <f>Programacion[[#This Row],[JULIO]]+Programacion[[#This Row],[AGOSTO]]+Programacion[[#This Row],[SEPTIEMBRE]]</f>
        <v>4500</v>
      </c>
      <c r="AL55" s="147">
        <f>Programacion[[#This Row],[DEVENGADO JULIO]]+Programacion[[#This Row],[DEVENGADO AGOSTO]]+Programacion[[#This Row],[DEVENGADO SEPTIEMBRE]]</f>
        <v>0</v>
      </c>
      <c r="AM55" s="147">
        <f>Programacion[[#This Row],[OCTUBRE]]+Programacion[[#This Row],[NOVIEMBRE]]+Programacion[[#This Row],[DICIEMBRE]]</f>
        <v>13500</v>
      </c>
      <c r="AN55" s="149">
        <f>Programacion[[#This Row],[DEVENGADO OCTUBRE]]+Programacion[[#This Row],[DEVENGADO NOVIEMBRE]]+Programacion[[#This Row],[DEVENGADO DICIEMBRE]]</f>
        <v>0</v>
      </c>
      <c r="AO55" s="149">
        <f>Programacion[[#This Row],[ENERO]]+Programacion[[#This Row],[FEBRERO]]+Programacion[[#This Row],[MARZO]]+Programacion[[#This Row],[ABRIL]]+Programacion[[#This Row],[MAYO]]+Programacion[[#This Row],[JUNIO]]</f>
        <v>0</v>
      </c>
      <c r="AP55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149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55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5" s="116"/>
    </row>
    <row r="56" spans="1:46" ht="30" x14ac:dyDescent="0.25">
      <c r="A56" s="118" t="s">
        <v>45</v>
      </c>
      <c r="B56" s="118" t="s">
        <v>294</v>
      </c>
      <c r="C56" s="118" t="s">
        <v>264</v>
      </c>
      <c r="D56" s="119" t="s">
        <v>290</v>
      </c>
      <c r="E56" s="120">
        <v>134</v>
      </c>
      <c r="F56" s="120">
        <v>23</v>
      </c>
      <c r="G56" s="119" t="s">
        <v>70</v>
      </c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8"/>
      <c r="Y56" s="147"/>
      <c r="Z56" s="148"/>
      <c r="AA56" s="147"/>
      <c r="AB56" s="148">
        <v>3500</v>
      </c>
      <c r="AC56" s="147"/>
      <c r="AD56" s="148">
        <v>3500</v>
      </c>
      <c r="AE56" s="147"/>
      <c r="AF56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56" s="147">
        <f>Programacion[[#This Row],[ENERO]]+Programacion[[#This Row],[FEBRERO]]+Programacion[[#This Row],[MARZO]]</f>
        <v>0</v>
      </c>
      <c r="AH56" s="147">
        <f>Programacion[[#This Row],[DEVENGADO ENERO]]+Programacion[[#This Row],[DEVENGADO FEBRERO]]+Programacion[[#This Row],[DEVENGADO MARZO]]</f>
        <v>0</v>
      </c>
      <c r="AI56" s="147">
        <f>Programacion[[#This Row],[ABRIL]]+Programacion[[#This Row],[MAYO]]+Programacion[[#This Row],[JUNIO]]</f>
        <v>0</v>
      </c>
      <c r="AJ56" s="147">
        <f>Programacion[[#This Row],[DEVENGADO ABRIL]]+Programacion[[#This Row],[DEVENGADO MAYO]]+Programacion[[#This Row],[DEVENGADO JUNIO]]</f>
        <v>0</v>
      </c>
      <c r="AK56" s="147">
        <f>Programacion[[#This Row],[JULIO]]+Programacion[[#This Row],[AGOSTO]]+Programacion[[#This Row],[SEPTIEMBRE]]</f>
        <v>0</v>
      </c>
      <c r="AL56" s="147">
        <f>Programacion[[#This Row],[DEVENGADO JULIO]]+Programacion[[#This Row],[DEVENGADO AGOSTO]]+Programacion[[#This Row],[DEVENGADO SEPTIEMBRE]]</f>
        <v>0</v>
      </c>
      <c r="AM56" s="147">
        <f>Programacion[[#This Row],[OCTUBRE]]+Programacion[[#This Row],[NOVIEMBRE]]+Programacion[[#This Row],[DICIEMBRE]]</f>
        <v>7000</v>
      </c>
      <c r="AN56" s="149">
        <f>Programacion[[#This Row],[DEVENGADO OCTUBRE]]+Programacion[[#This Row],[DEVENGADO NOVIEMBRE]]+Programacion[[#This Row],[DEVENGADO DICIEMBRE]]</f>
        <v>0</v>
      </c>
      <c r="AO56" s="149">
        <f>Programacion[[#This Row],[ENERO]]+Programacion[[#This Row],[FEBRERO]]+Programacion[[#This Row],[MARZO]]+Programacion[[#This Row],[ABRIL]]+Programacion[[#This Row],[MAYO]]+Programacion[[#This Row],[JUNIO]]</f>
        <v>0</v>
      </c>
      <c r="AP56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149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56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6" s="116"/>
    </row>
    <row r="57" spans="1:46" x14ac:dyDescent="0.25">
      <c r="A57" s="118" t="s">
        <v>45</v>
      </c>
      <c r="B57" s="118" t="s">
        <v>295</v>
      </c>
      <c r="C57" s="118" t="s">
        <v>264</v>
      </c>
      <c r="D57" s="119" t="s">
        <v>290</v>
      </c>
      <c r="E57" s="120">
        <v>134</v>
      </c>
      <c r="F57" s="120">
        <v>23</v>
      </c>
      <c r="G57" s="119" t="s">
        <v>70</v>
      </c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8"/>
      <c r="Y57" s="147"/>
      <c r="Z57" s="148"/>
      <c r="AA57" s="147"/>
      <c r="AB57" s="148"/>
      <c r="AC57" s="147"/>
      <c r="AD57" s="148">
        <v>3500</v>
      </c>
      <c r="AE57" s="147"/>
      <c r="AF57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57" s="147">
        <f>Programacion[[#This Row],[ENERO]]+Programacion[[#This Row],[FEBRERO]]+Programacion[[#This Row],[MARZO]]</f>
        <v>0</v>
      </c>
      <c r="AH57" s="147">
        <f>Programacion[[#This Row],[DEVENGADO ENERO]]+Programacion[[#This Row],[DEVENGADO FEBRERO]]+Programacion[[#This Row],[DEVENGADO MARZO]]</f>
        <v>0</v>
      </c>
      <c r="AI57" s="147">
        <f>Programacion[[#This Row],[ABRIL]]+Programacion[[#This Row],[MAYO]]+Programacion[[#This Row],[JUNIO]]</f>
        <v>0</v>
      </c>
      <c r="AJ57" s="147">
        <f>Programacion[[#This Row],[DEVENGADO ABRIL]]+Programacion[[#This Row],[DEVENGADO MAYO]]+Programacion[[#This Row],[DEVENGADO JUNIO]]</f>
        <v>0</v>
      </c>
      <c r="AK57" s="147">
        <f>Programacion[[#This Row],[JULIO]]+Programacion[[#This Row],[AGOSTO]]+Programacion[[#This Row],[SEPTIEMBRE]]</f>
        <v>0</v>
      </c>
      <c r="AL57" s="147">
        <f>Programacion[[#This Row],[DEVENGADO JULIO]]+Programacion[[#This Row],[DEVENGADO AGOSTO]]+Programacion[[#This Row],[DEVENGADO SEPTIEMBRE]]</f>
        <v>0</v>
      </c>
      <c r="AM57" s="147">
        <f>Programacion[[#This Row],[OCTUBRE]]+Programacion[[#This Row],[NOVIEMBRE]]+Programacion[[#This Row],[DICIEMBRE]]</f>
        <v>3500</v>
      </c>
      <c r="AN57" s="149">
        <f>Programacion[[#This Row],[DEVENGADO OCTUBRE]]+Programacion[[#This Row],[DEVENGADO NOVIEMBRE]]+Programacion[[#This Row],[DEVENGADO DICIEMBRE]]</f>
        <v>0</v>
      </c>
      <c r="AO57" s="149">
        <f>Programacion[[#This Row],[ENERO]]+Programacion[[#This Row],[FEBRERO]]+Programacion[[#This Row],[MARZO]]+Programacion[[#This Row],[ABRIL]]+Programacion[[#This Row],[MAYO]]+Programacion[[#This Row],[JUNIO]]</f>
        <v>0</v>
      </c>
      <c r="AP57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7" s="149">
        <f>Programacion[[#This Row],[JULIO]]+Programacion[[#This Row],[AGOSTO]]+Programacion[[#This Row],[SEPTIEMBRE]]+Programacion[[#This Row],[OCTUBRE]]+Programacion[[#This Row],[NOVIEMBRE]]+Programacion[[#This Row],[DICIEMBRE]]</f>
        <v>3500</v>
      </c>
      <c r="AR57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7" s="116"/>
    </row>
    <row r="58" spans="1:46" x14ac:dyDescent="0.25">
      <c r="A58" s="118" t="s">
        <v>45</v>
      </c>
      <c r="B58" s="118" t="s">
        <v>296</v>
      </c>
      <c r="C58" s="118" t="s">
        <v>264</v>
      </c>
      <c r="D58" s="119" t="s">
        <v>290</v>
      </c>
      <c r="E58" s="120">
        <v>134</v>
      </c>
      <c r="F58" s="120">
        <v>23</v>
      </c>
      <c r="G58" s="119" t="s">
        <v>70</v>
      </c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8">
        <v>4500</v>
      </c>
      <c r="Y58" s="147"/>
      <c r="Z58" s="148">
        <v>4500</v>
      </c>
      <c r="AA58" s="147"/>
      <c r="AB58" s="148">
        <v>4500</v>
      </c>
      <c r="AC58" s="147"/>
      <c r="AD58" s="148">
        <v>4500</v>
      </c>
      <c r="AE58" s="147"/>
      <c r="AF58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58" s="147">
        <f>Programacion[[#This Row],[ENERO]]+Programacion[[#This Row],[FEBRERO]]+Programacion[[#This Row],[MARZO]]</f>
        <v>0</v>
      </c>
      <c r="AH58" s="147">
        <f>Programacion[[#This Row],[DEVENGADO ENERO]]+Programacion[[#This Row],[DEVENGADO FEBRERO]]+Programacion[[#This Row],[DEVENGADO MARZO]]</f>
        <v>0</v>
      </c>
      <c r="AI58" s="147">
        <f>Programacion[[#This Row],[ABRIL]]+Programacion[[#This Row],[MAYO]]+Programacion[[#This Row],[JUNIO]]</f>
        <v>0</v>
      </c>
      <c r="AJ58" s="147">
        <f>Programacion[[#This Row],[DEVENGADO ABRIL]]+Programacion[[#This Row],[DEVENGADO MAYO]]+Programacion[[#This Row],[DEVENGADO JUNIO]]</f>
        <v>0</v>
      </c>
      <c r="AK58" s="147">
        <f>Programacion[[#This Row],[JULIO]]+Programacion[[#This Row],[AGOSTO]]+Programacion[[#This Row],[SEPTIEMBRE]]</f>
        <v>4500</v>
      </c>
      <c r="AL58" s="147">
        <f>Programacion[[#This Row],[DEVENGADO JULIO]]+Programacion[[#This Row],[DEVENGADO AGOSTO]]+Programacion[[#This Row],[DEVENGADO SEPTIEMBRE]]</f>
        <v>0</v>
      </c>
      <c r="AM58" s="147">
        <f>Programacion[[#This Row],[OCTUBRE]]+Programacion[[#This Row],[NOVIEMBRE]]+Programacion[[#This Row],[DICIEMBRE]]</f>
        <v>13500</v>
      </c>
      <c r="AN58" s="149">
        <f>Programacion[[#This Row],[DEVENGADO OCTUBRE]]+Programacion[[#This Row],[DEVENGADO NOVIEMBRE]]+Programacion[[#This Row],[DEVENGADO DICIEMBRE]]</f>
        <v>0</v>
      </c>
      <c r="AO58" s="149">
        <f>Programacion[[#This Row],[ENERO]]+Programacion[[#This Row],[FEBRERO]]+Programacion[[#This Row],[MARZO]]+Programacion[[#This Row],[ABRIL]]+Programacion[[#This Row],[MAYO]]+Programacion[[#This Row],[JUNIO]]</f>
        <v>0</v>
      </c>
      <c r="AP58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149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58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116"/>
    </row>
    <row r="59" spans="1:46" ht="45" x14ac:dyDescent="0.25">
      <c r="A59" s="118" t="s">
        <v>45</v>
      </c>
      <c r="B59" s="118" t="s">
        <v>297</v>
      </c>
      <c r="C59" s="118" t="s">
        <v>264</v>
      </c>
      <c r="D59" s="119" t="s">
        <v>290</v>
      </c>
      <c r="E59" s="120">
        <v>134</v>
      </c>
      <c r="F59" s="120">
        <v>23</v>
      </c>
      <c r="G59" s="119" t="s">
        <v>70</v>
      </c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8">
        <v>6500</v>
      </c>
      <c r="Y59" s="147"/>
      <c r="Z59" s="148">
        <v>6500</v>
      </c>
      <c r="AA59" s="147"/>
      <c r="AB59" s="148">
        <v>6500</v>
      </c>
      <c r="AC59" s="147"/>
      <c r="AD59" s="148">
        <v>6500</v>
      </c>
      <c r="AE59" s="147"/>
      <c r="AF59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26000</v>
      </c>
      <c r="AG59" s="147">
        <f>Programacion[[#This Row],[ENERO]]+Programacion[[#This Row],[FEBRERO]]+Programacion[[#This Row],[MARZO]]</f>
        <v>0</v>
      </c>
      <c r="AH59" s="147">
        <f>Programacion[[#This Row],[DEVENGADO ENERO]]+Programacion[[#This Row],[DEVENGADO FEBRERO]]+Programacion[[#This Row],[DEVENGADO MARZO]]</f>
        <v>0</v>
      </c>
      <c r="AI59" s="147">
        <f>Programacion[[#This Row],[ABRIL]]+Programacion[[#This Row],[MAYO]]+Programacion[[#This Row],[JUNIO]]</f>
        <v>0</v>
      </c>
      <c r="AJ59" s="147">
        <f>Programacion[[#This Row],[DEVENGADO ABRIL]]+Programacion[[#This Row],[DEVENGADO MAYO]]+Programacion[[#This Row],[DEVENGADO JUNIO]]</f>
        <v>0</v>
      </c>
      <c r="AK59" s="147">
        <f>Programacion[[#This Row],[JULIO]]+Programacion[[#This Row],[AGOSTO]]+Programacion[[#This Row],[SEPTIEMBRE]]</f>
        <v>6500</v>
      </c>
      <c r="AL59" s="147">
        <f>Programacion[[#This Row],[DEVENGADO JULIO]]+Programacion[[#This Row],[DEVENGADO AGOSTO]]+Programacion[[#This Row],[DEVENGADO SEPTIEMBRE]]</f>
        <v>0</v>
      </c>
      <c r="AM59" s="147">
        <f>Programacion[[#This Row],[OCTUBRE]]+Programacion[[#This Row],[NOVIEMBRE]]+Programacion[[#This Row],[DICIEMBRE]]</f>
        <v>19500</v>
      </c>
      <c r="AN59" s="149">
        <f>Programacion[[#This Row],[DEVENGADO OCTUBRE]]+Programacion[[#This Row],[DEVENGADO NOVIEMBRE]]+Programacion[[#This Row],[DEVENGADO DICIEMBRE]]</f>
        <v>0</v>
      </c>
      <c r="AO59" s="149">
        <f>Programacion[[#This Row],[ENERO]]+Programacion[[#This Row],[FEBRERO]]+Programacion[[#This Row],[MARZO]]+Programacion[[#This Row],[ABRIL]]+Programacion[[#This Row],[MAYO]]+Programacion[[#This Row],[JUNIO]]</f>
        <v>0</v>
      </c>
      <c r="AP59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9" s="149">
        <f>Programacion[[#This Row],[JULIO]]+Programacion[[#This Row],[AGOSTO]]+Programacion[[#This Row],[SEPTIEMBRE]]+Programacion[[#This Row],[OCTUBRE]]+Programacion[[#This Row],[NOVIEMBRE]]+Programacion[[#This Row],[DICIEMBRE]]</f>
        <v>26000</v>
      </c>
      <c r="AR59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9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9" s="116"/>
    </row>
    <row r="60" spans="1:46" x14ac:dyDescent="0.25">
      <c r="A60" s="118" t="s">
        <v>45</v>
      </c>
      <c r="B60" s="118" t="s">
        <v>298</v>
      </c>
      <c r="C60" s="118" t="s">
        <v>264</v>
      </c>
      <c r="D60" s="119" t="s">
        <v>290</v>
      </c>
      <c r="E60" s="120">
        <v>134</v>
      </c>
      <c r="F60" s="120">
        <v>23</v>
      </c>
      <c r="G60" s="119" t="s">
        <v>70</v>
      </c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8"/>
      <c r="Y60" s="147"/>
      <c r="Z60" s="148"/>
      <c r="AA60" s="147"/>
      <c r="AB60" s="148">
        <v>5500</v>
      </c>
      <c r="AC60" s="147"/>
      <c r="AD60" s="148">
        <v>5500</v>
      </c>
      <c r="AE60" s="147"/>
      <c r="AF60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60" s="147">
        <f>Programacion[[#This Row],[ENERO]]+Programacion[[#This Row],[FEBRERO]]+Programacion[[#This Row],[MARZO]]</f>
        <v>0</v>
      </c>
      <c r="AH60" s="147">
        <f>Programacion[[#This Row],[DEVENGADO ENERO]]+Programacion[[#This Row],[DEVENGADO FEBRERO]]+Programacion[[#This Row],[DEVENGADO MARZO]]</f>
        <v>0</v>
      </c>
      <c r="AI60" s="147">
        <f>Programacion[[#This Row],[ABRIL]]+Programacion[[#This Row],[MAYO]]+Programacion[[#This Row],[JUNIO]]</f>
        <v>0</v>
      </c>
      <c r="AJ60" s="147">
        <f>Programacion[[#This Row],[DEVENGADO ABRIL]]+Programacion[[#This Row],[DEVENGADO MAYO]]+Programacion[[#This Row],[DEVENGADO JUNIO]]</f>
        <v>0</v>
      </c>
      <c r="AK60" s="147">
        <f>Programacion[[#This Row],[JULIO]]+Programacion[[#This Row],[AGOSTO]]+Programacion[[#This Row],[SEPTIEMBRE]]</f>
        <v>0</v>
      </c>
      <c r="AL60" s="147">
        <f>Programacion[[#This Row],[DEVENGADO JULIO]]+Programacion[[#This Row],[DEVENGADO AGOSTO]]+Programacion[[#This Row],[DEVENGADO SEPTIEMBRE]]</f>
        <v>0</v>
      </c>
      <c r="AM60" s="147">
        <f>Programacion[[#This Row],[OCTUBRE]]+Programacion[[#This Row],[NOVIEMBRE]]+Programacion[[#This Row],[DICIEMBRE]]</f>
        <v>11000</v>
      </c>
      <c r="AN60" s="149">
        <f>Programacion[[#This Row],[DEVENGADO OCTUBRE]]+Programacion[[#This Row],[DEVENGADO NOVIEMBRE]]+Programacion[[#This Row],[DEVENGADO DICIEMBRE]]</f>
        <v>0</v>
      </c>
      <c r="AO60" s="149">
        <f>Programacion[[#This Row],[ENERO]]+Programacion[[#This Row],[FEBRERO]]+Programacion[[#This Row],[MARZO]]+Programacion[[#This Row],[ABRIL]]+Programacion[[#This Row],[MAYO]]+Programacion[[#This Row],[JUNIO]]</f>
        <v>0</v>
      </c>
      <c r="AP60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149">
        <f>Programacion[[#This Row],[JULIO]]+Programacion[[#This Row],[AGOSTO]]+Programacion[[#This Row],[SEPTIEMBRE]]+Programacion[[#This Row],[OCTUBRE]]+Programacion[[#This Row],[NOVIEMBRE]]+Programacion[[#This Row],[DICIEMBRE]]</f>
        <v>11000</v>
      </c>
      <c r="AR60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0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0" s="116"/>
    </row>
    <row r="61" spans="1:46" ht="30" x14ac:dyDescent="0.25">
      <c r="A61" s="118" t="s">
        <v>45</v>
      </c>
      <c r="B61" s="121" t="s">
        <v>299</v>
      </c>
      <c r="C61" s="118" t="s">
        <v>248</v>
      </c>
      <c r="D61" s="119" t="s">
        <v>290</v>
      </c>
      <c r="E61" s="120">
        <v>134</v>
      </c>
      <c r="F61" s="120">
        <v>23</v>
      </c>
      <c r="G61" s="119" t="s">
        <v>49</v>
      </c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8"/>
      <c r="AA61" s="147"/>
      <c r="AB61" s="148">
        <v>2000</v>
      </c>
      <c r="AC61" s="147"/>
      <c r="AD61" s="148"/>
      <c r="AE61" s="147"/>
      <c r="AF61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61" s="147">
        <f>Programacion[[#This Row],[ENERO]]+Programacion[[#This Row],[FEBRERO]]+Programacion[[#This Row],[MARZO]]</f>
        <v>0</v>
      </c>
      <c r="AH61" s="147">
        <f>Programacion[[#This Row],[DEVENGADO ENERO]]+Programacion[[#This Row],[DEVENGADO FEBRERO]]+Programacion[[#This Row],[DEVENGADO MARZO]]</f>
        <v>0</v>
      </c>
      <c r="AI61" s="147">
        <f>Programacion[[#This Row],[ABRIL]]+Programacion[[#This Row],[MAYO]]+Programacion[[#This Row],[JUNIO]]</f>
        <v>0</v>
      </c>
      <c r="AJ61" s="147">
        <f>Programacion[[#This Row],[DEVENGADO ABRIL]]+Programacion[[#This Row],[DEVENGADO MAYO]]+Programacion[[#This Row],[DEVENGADO JUNIO]]</f>
        <v>0</v>
      </c>
      <c r="AK61" s="147">
        <f>Programacion[[#This Row],[JULIO]]+Programacion[[#This Row],[AGOSTO]]+Programacion[[#This Row],[SEPTIEMBRE]]</f>
        <v>0</v>
      </c>
      <c r="AL61" s="147">
        <f>Programacion[[#This Row],[DEVENGADO JULIO]]+Programacion[[#This Row],[DEVENGADO AGOSTO]]+Programacion[[#This Row],[DEVENGADO SEPTIEMBRE]]</f>
        <v>0</v>
      </c>
      <c r="AM61" s="147">
        <f>Programacion[[#This Row],[OCTUBRE]]+Programacion[[#This Row],[NOVIEMBRE]]+Programacion[[#This Row],[DICIEMBRE]]</f>
        <v>2000</v>
      </c>
      <c r="AN61" s="149">
        <f>Programacion[[#This Row],[DEVENGADO OCTUBRE]]+Programacion[[#This Row],[DEVENGADO NOVIEMBRE]]+Programacion[[#This Row],[DEVENGADO DICIEMBRE]]</f>
        <v>0</v>
      </c>
      <c r="AO61" s="149">
        <f>Programacion[[#This Row],[ENERO]]+Programacion[[#This Row],[FEBRERO]]+Programacion[[#This Row],[MARZO]]+Programacion[[#This Row],[ABRIL]]+Programacion[[#This Row],[MAYO]]+Programacion[[#This Row],[JUNIO]]</f>
        <v>0</v>
      </c>
      <c r="AP61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1" s="149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61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1" s="116"/>
    </row>
    <row r="62" spans="1:46" x14ac:dyDescent="0.25">
      <c r="A62" s="118" t="s">
        <v>45</v>
      </c>
      <c r="B62" s="121" t="s">
        <v>300</v>
      </c>
      <c r="C62" s="118" t="s">
        <v>246</v>
      </c>
      <c r="D62" s="119" t="s">
        <v>290</v>
      </c>
      <c r="E62" s="120">
        <v>134</v>
      </c>
      <c r="F62" s="120">
        <v>23</v>
      </c>
      <c r="G62" s="119" t="s">
        <v>51</v>
      </c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8"/>
      <c r="AA62" s="147"/>
      <c r="AB62" s="148">
        <v>1500</v>
      </c>
      <c r="AC62" s="147"/>
      <c r="AD62" s="148"/>
      <c r="AE62" s="147"/>
      <c r="AF62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</v>
      </c>
      <c r="AG62" s="147">
        <f>Programacion[[#This Row],[ENERO]]+Programacion[[#This Row],[FEBRERO]]+Programacion[[#This Row],[MARZO]]</f>
        <v>0</v>
      </c>
      <c r="AH62" s="147">
        <f>Programacion[[#This Row],[DEVENGADO ENERO]]+Programacion[[#This Row],[DEVENGADO FEBRERO]]+Programacion[[#This Row],[DEVENGADO MARZO]]</f>
        <v>0</v>
      </c>
      <c r="AI62" s="147">
        <f>Programacion[[#This Row],[ABRIL]]+Programacion[[#This Row],[MAYO]]+Programacion[[#This Row],[JUNIO]]</f>
        <v>0</v>
      </c>
      <c r="AJ62" s="147">
        <f>Programacion[[#This Row],[DEVENGADO ABRIL]]+Programacion[[#This Row],[DEVENGADO MAYO]]+Programacion[[#This Row],[DEVENGADO JUNIO]]</f>
        <v>0</v>
      </c>
      <c r="AK62" s="147">
        <f>Programacion[[#This Row],[JULIO]]+Programacion[[#This Row],[AGOSTO]]+Programacion[[#This Row],[SEPTIEMBRE]]</f>
        <v>0</v>
      </c>
      <c r="AL62" s="147">
        <f>Programacion[[#This Row],[DEVENGADO JULIO]]+Programacion[[#This Row],[DEVENGADO AGOSTO]]+Programacion[[#This Row],[DEVENGADO SEPTIEMBRE]]</f>
        <v>0</v>
      </c>
      <c r="AM62" s="147">
        <f>Programacion[[#This Row],[OCTUBRE]]+Programacion[[#This Row],[NOVIEMBRE]]+Programacion[[#This Row],[DICIEMBRE]]</f>
        <v>1500</v>
      </c>
      <c r="AN62" s="149">
        <f>Programacion[[#This Row],[DEVENGADO OCTUBRE]]+Programacion[[#This Row],[DEVENGADO NOVIEMBRE]]+Programacion[[#This Row],[DEVENGADO DICIEMBRE]]</f>
        <v>0</v>
      </c>
      <c r="AO62" s="149">
        <f>Programacion[[#This Row],[ENERO]]+Programacion[[#This Row],[FEBRERO]]+Programacion[[#This Row],[MARZO]]+Programacion[[#This Row],[ABRIL]]+Programacion[[#This Row],[MAYO]]+Programacion[[#This Row],[JUNIO]]</f>
        <v>0</v>
      </c>
      <c r="AP62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149">
        <f>Programacion[[#This Row],[JULIO]]+Programacion[[#This Row],[AGOSTO]]+Programacion[[#This Row],[SEPTIEMBRE]]+Programacion[[#This Row],[OCTUBRE]]+Programacion[[#This Row],[NOVIEMBRE]]+Programacion[[#This Row],[DICIEMBRE]]</f>
        <v>1500</v>
      </c>
      <c r="AR62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116"/>
    </row>
    <row r="63" spans="1:46" ht="30" x14ac:dyDescent="0.25">
      <c r="A63" s="26" t="s">
        <v>81</v>
      </c>
      <c r="B63" s="27" t="s">
        <v>82</v>
      </c>
      <c r="C63" s="28" t="s">
        <v>64</v>
      </c>
      <c r="D63" s="28" t="s">
        <v>48</v>
      </c>
      <c r="E63" s="29">
        <v>39</v>
      </c>
      <c r="F63" s="30">
        <v>2.2999999999999998</v>
      </c>
      <c r="G63" s="28" t="s">
        <v>65</v>
      </c>
      <c r="H63" s="31"/>
      <c r="I63" s="31"/>
      <c r="J63" s="31"/>
      <c r="K63" s="31"/>
      <c r="L63" s="31">
        <v>15803</v>
      </c>
      <c r="M63" s="31">
        <v>15803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63" s="19">
        <f>Programacion[[#This Row],[ENERO]]+Programacion[[#This Row],[FEBRERO]]+Programacion[[#This Row],[MARZO]]</f>
        <v>15803</v>
      </c>
      <c r="AH63" s="19">
        <f>Programacion[[#This Row],[DEVENGADO ENERO]]+Programacion[[#This Row],[DEVENGADO FEBRERO]]+Programacion[[#This Row],[DEVENGADO MARZO]]</f>
        <v>15803</v>
      </c>
      <c r="AI63" s="19">
        <f>Programacion[[#This Row],[ABRIL]]+Programacion[[#This Row],[MAYO]]+Programacion[[#This Row],[JUNIO]]</f>
        <v>0</v>
      </c>
      <c r="AJ63" s="19">
        <f>Programacion[[#This Row],[DEVENGADO ABRIL]]+Programacion[[#This Row],[DEVENGADO MAYO]]+Programacion[[#This Row],[DEVENGADO JUNIO]]</f>
        <v>0</v>
      </c>
      <c r="AK63" s="19">
        <f>Programacion[[#This Row],[JULIO]]+Programacion[[#This Row],[AGOSTO]]+Programacion[[#This Row],[SEPTIEMBRE]]</f>
        <v>0</v>
      </c>
      <c r="AL63" s="19">
        <f>Programacion[[#This Row],[DEVENGADO JULIO]]+Programacion[[#This Row],[DEVENGADO AGOSTO]]+Programacion[[#This Row],[DEVENGADO SEPTIEMBRE]]</f>
        <v>0</v>
      </c>
      <c r="AM63" s="19">
        <f>Programacion[[#This Row],[OCTUBRE]]+Programacion[[#This Row],[NOVIEMBRE]]+Programacion[[#This Row],[DICIEMBRE]]</f>
        <v>0</v>
      </c>
      <c r="AN63" s="20">
        <f>Programacion[[#This Row],[DEVENGADO OCTUBRE]]+Programacion[[#This Row],[DEVENGADO NOVIEMBRE]]+Programacion[[#This Row],[DEVENGADO DICIEMBRE]]</f>
        <v>0</v>
      </c>
      <c r="AO63" s="20">
        <f>Programacion[[#This Row],[ENERO]]+Programacion[[#This Row],[FEBRERO]]+Programacion[[#This Row],[MARZO]]+Programacion[[#This Row],[ABRIL]]+Programacion[[#This Row],[MAYO]]+Programacion[[#This Row],[JUNIO]]</f>
        <v>15803</v>
      </c>
      <c r="AP6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6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63" s="116"/>
    </row>
    <row r="64" spans="1:46" ht="30" x14ac:dyDescent="0.25">
      <c r="A64" s="26" t="s">
        <v>81</v>
      </c>
      <c r="B64" s="27" t="s">
        <v>226</v>
      </c>
      <c r="C64" s="28" t="s">
        <v>47</v>
      </c>
      <c r="D64" s="28" t="s">
        <v>48</v>
      </c>
      <c r="E64" s="29">
        <v>39</v>
      </c>
      <c r="F64" s="30">
        <v>2.2999999999999998</v>
      </c>
      <c r="G64" s="28" t="s">
        <v>49</v>
      </c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>
        <v>2000</v>
      </c>
      <c r="S64" s="31">
        <v>4000</v>
      </c>
      <c r="T64" s="31"/>
      <c r="U64" s="31"/>
      <c r="V64" s="31"/>
      <c r="W64" s="31"/>
      <c r="X64" s="31">
        <v>1600</v>
      </c>
      <c r="Y64" s="31"/>
      <c r="Z64" s="31"/>
      <c r="AA64" s="31"/>
      <c r="AB64" s="31">
        <v>2000</v>
      </c>
      <c r="AC64" s="31"/>
      <c r="AD64" s="31"/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5600</v>
      </c>
      <c r="AG64" s="19">
        <f>Programacion[[#This Row],[ENERO]]+Programacion[[#This Row],[FEBRERO]]+Programacion[[#This Row],[MARZO]]</f>
        <v>0</v>
      </c>
      <c r="AH64" s="19">
        <f>Programacion[[#This Row],[DEVENGADO ENERO]]+Programacion[[#This Row],[DEVENGADO FEBRERO]]+Programacion[[#This Row],[DEVENGADO MARZO]]</f>
        <v>0</v>
      </c>
      <c r="AI64" s="19">
        <f>Programacion[[#This Row],[ABRIL]]+Programacion[[#This Row],[MAYO]]+Programacion[[#This Row],[JUNIO]]</f>
        <v>2000</v>
      </c>
      <c r="AJ64" s="19">
        <f>Programacion[[#This Row],[DEVENGADO ABRIL]]+Programacion[[#This Row],[DEVENGADO MAYO]]+Programacion[[#This Row],[DEVENGADO JUNIO]]</f>
        <v>4000</v>
      </c>
      <c r="AK64" s="19">
        <f>Programacion[[#This Row],[JULIO]]+Programacion[[#This Row],[AGOSTO]]+Programacion[[#This Row],[SEPTIEMBRE]]</f>
        <v>1600</v>
      </c>
      <c r="AL64" s="19">
        <f>Programacion[[#This Row],[DEVENGADO JULIO]]+Programacion[[#This Row],[DEVENGADO AGOSTO]]+Programacion[[#This Row],[DEVENGADO SEPTIEMBRE]]</f>
        <v>0</v>
      </c>
      <c r="AM64" s="19">
        <f>Programacion[[#This Row],[OCTUBRE]]+Programacion[[#This Row],[NOVIEMBRE]]+Programacion[[#This Row],[DICIEMBRE]]</f>
        <v>2000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2000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3600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64" s="116"/>
    </row>
    <row r="65" spans="1:46" x14ac:dyDescent="0.25">
      <c r="A65" s="26" t="s">
        <v>81</v>
      </c>
      <c r="B65" s="27" t="s">
        <v>272</v>
      </c>
      <c r="C65" s="28" t="s">
        <v>47</v>
      </c>
      <c r="D65" s="28" t="s">
        <v>48</v>
      </c>
      <c r="E65" s="29">
        <v>39</v>
      </c>
      <c r="F65" s="30">
        <v>2.2999999999999998</v>
      </c>
      <c r="G65" s="28" t="s">
        <v>51</v>
      </c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>
        <v>1080</v>
      </c>
      <c r="S65" s="31">
        <v>4360</v>
      </c>
      <c r="T65" s="31"/>
      <c r="U65" s="31"/>
      <c r="V65" s="31"/>
      <c r="W65" s="31">
        <v>1480</v>
      </c>
      <c r="X65" s="31">
        <v>1480.02</v>
      </c>
      <c r="Y65" s="31">
        <v>1480</v>
      </c>
      <c r="Z65" s="31"/>
      <c r="AA65" s="31"/>
      <c r="AB65" s="31">
        <v>1080</v>
      </c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3640.02</v>
      </c>
      <c r="AG65" s="19">
        <f>Programacion[[#This Row],[ENERO]]+Programacion[[#This Row],[FEBRERO]]+Programacion[[#This Row],[MARZO]]</f>
        <v>0</v>
      </c>
      <c r="AH65" s="19">
        <f>Programacion[[#This Row],[DEVENGADO ENERO]]+Programacion[[#This Row],[DEVENGADO FEBRERO]]+Programacion[[#This Row],[DEVENGADO MARZO]]</f>
        <v>0</v>
      </c>
      <c r="AI65" s="19">
        <f>Programacion[[#This Row],[ABRIL]]+Programacion[[#This Row],[MAYO]]+Programacion[[#This Row],[JUNIO]]</f>
        <v>1080</v>
      </c>
      <c r="AJ65" s="19">
        <f>Programacion[[#This Row],[DEVENGADO ABRIL]]+Programacion[[#This Row],[DEVENGADO MAYO]]+Programacion[[#This Row],[DEVENGADO JUNIO]]</f>
        <v>4360</v>
      </c>
      <c r="AK65" s="19">
        <f>Programacion[[#This Row],[JULIO]]+Programacion[[#This Row],[AGOSTO]]+Programacion[[#This Row],[SEPTIEMBRE]]</f>
        <v>1480.02</v>
      </c>
      <c r="AL65" s="19">
        <f>Programacion[[#This Row],[DEVENGADO JULIO]]+Programacion[[#This Row],[DEVENGADO AGOSTO]]+Programacion[[#This Row],[DEVENGADO SEPTIEMBRE]]</f>
        <v>2960</v>
      </c>
      <c r="AM65" s="19">
        <f>Programacion[[#This Row],[OCTUBRE]]+Programacion[[#This Row],[NOVIEMBRE]]+Programacion[[#This Row],[DICIEMBRE]]</f>
        <v>1080</v>
      </c>
      <c r="AN65" s="20">
        <f>Programacion[[#This Row],[DEVENGADO OCTUBRE]]+Programacion[[#This Row],[DEVENGADO NOVIEMBRE]]+Programacion[[#This Row],[DEVENGADO DICIEMBRE]]</f>
        <v>0</v>
      </c>
      <c r="AO65" s="20">
        <f>Programacion[[#This Row],[ENERO]]+Programacion[[#This Row],[FEBRERO]]+Programacion[[#This Row],[MARZO]]+Programacion[[#This Row],[ABRIL]]+Programacion[[#This Row],[MAYO]]+Programacion[[#This Row],[JUNIO]]</f>
        <v>1080</v>
      </c>
      <c r="AP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65" s="20">
        <f>Programacion[[#This Row],[JULIO]]+Programacion[[#This Row],[AGOSTO]]+Programacion[[#This Row],[SEPTIEMBRE]]+Programacion[[#This Row],[OCTUBRE]]+Programacion[[#This Row],[NOVIEMBRE]]+Programacion[[#This Row],[DICIEMBRE]]</f>
        <v>2560.02</v>
      </c>
      <c r="AR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2960</v>
      </c>
      <c r="AS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7320</v>
      </c>
      <c r="AT65" s="116"/>
    </row>
    <row r="66" spans="1:46" x14ac:dyDescent="0.25">
      <c r="A66" s="26" t="s">
        <v>81</v>
      </c>
      <c r="B66" s="27" t="s">
        <v>273</v>
      </c>
      <c r="C66" s="28" t="s">
        <v>47</v>
      </c>
      <c r="D66" s="28" t="s">
        <v>48</v>
      </c>
      <c r="E66" s="29">
        <v>39</v>
      </c>
      <c r="F66" s="30">
        <v>2.2999999999999998</v>
      </c>
      <c r="G66" s="28" t="s">
        <v>85</v>
      </c>
      <c r="H66" s="31"/>
      <c r="I66" s="31"/>
      <c r="J66" s="31"/>
      <c r="K66" s="31"/>
      <c r="L66" s="31">
        <v>800</v>
      </c>
      <c r="M66" s="31">
        <v>800</v>
      </c>
      <c r="N66" s="31">
        <v>400</v>
      </c>
      <c r="O66" s="31">
        <v>400</v>
      </c>
      <c r="P66" s="31">
        <v>400</v>
      </c>
      <c r="Q66" s="31">
        <v>400</v>
      </c>
      <c r="R66" s="31">
        <v>400</v>
      </c>
      <c r="S66" s="31">
        <v>400</v>
      </c>
      <c r="T66" s="31">
        <v>400</v>
      </c>
      <c r="U66" s="31"/>
      <c r="V66" s="31">
        <v>400</v>
      </c>
      <c r="W66" s="31">
        <v>400</v>
      </c>
      <c r="X66" s="31">
        <v>400</v>
      </c>
      <c r="Y66" s="31"/>
      <c r="Z66" s="31">
        <v>400</v>
      </c>
      <c r="AA66" s="31"/>
      <c r="AB66" s="31">
        <v>400</v>
      </c>
      <c r="AC66" s="31"/>
      <c r="AD66" s="31">
        <v>400</v>
      </c>
      <c r="AE66" s="31"/>
      <c r="AF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66" s="19">
        <f>Programacion[[#This Row],[ENERO]]+Programacion[[#This Row],[FEBRERO]]+Programacion[[#This Row],[MARZO]]</f>
        <v>800</v>
      </c>
      <c r="AH66" s="19">
        <f>Programacion[[#This Row],[DEVENGADO ENERO]]+Programacion[[#This Row],[DEVENGADO FEBRERO]]+Programacion[[#This Row],[DEVENGADO MARZO]]</f>
        <v>800</v>
      </c>
      <c r="AI66" s="19">
        <f>Programacion[[#This Row],[ABRIL]]+Programacion[[#This Row],[MAYO]]+Programacion[[#This Row],[JUNIO]]</f>
        <v>1200</v>
      </c>
      <c r="AJ66" s="19">
        <f>Programacion[[#This Row],[DEVENGADO ABRIL]]+Programacion[[#This Row],[DEVENGADO MAYO]]+Programacion[[#This Row],[DEVENGADO JUNIO]]</f>
        <v>1200</v>
      </c>
      <c r="AK66" s="19">
        <f>Programacion[[#This Row],[JULIO]]+Programacion[[#This Row],[AGOSTO]]+Programacion[[#This Row],[SEPTIEMBRE]]</f>
        <v>1200</v>
      </c>
      <c r="AL66" s="19">
        <f>Programacion[[#This Row],[DEVENGADO JULIO]]+Programacion[[#This Row],[DEVENGADO AGOSTO]]+Programacion[[#This Row],[DEVENGADO SEPTIEMBRE]]</f>
        <v>400</v>
      </c>
      <c r="AM66" s="19">
        <f>Programacion[[#This Row],[OCTUBRE]]+Programacion[[#This Row],[NOVIEMBRE]]+Programacion[[#This Row],[DICIEMBRE]]</f>
        <v>1200</v>
      </c>
      <c r="AN66" s="20">
        <f>Programacion[[#This Row],[DEVENGADO OCTUBRE]]+Programacion[[#This Row],[DEVENGADO NOVIEMBRE]]+Programacion[[#This Row],[DEVENGADO DICIEMBRE]]</f>
        <v>0</v>
      </c>
      <c r="AO66" s="20">
        <f>Programacion[[#This Row],[ENERO]]+Programacion[[#This Row],[FEBRERO]]+Programacion[[#This Row],[MARZO]]+Programacion[[#This Row],[ABRIL]]+Programacion[[#This Row],[MAYO]]+Programacion[[#This Row],[JUNIO]]</f>
        <v>2000</v>
      </c>
      <c r="AP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66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66" s="116"/>
    </row>
    <row r="67" spans="1:46" x14ac:dyDescent="0.25">
      <c r="A67" s="26" t="s">
        <v>81</v>
      </c>
      <c r="B67" s="27" t="s">
        <v>274</v>
      </c>
      <c r="C67" s="28" t="s">
        <v>47</v>
      </c>
      <c r="D67" s="28" t="s">
        <v>48</v>
      </c>
      <c r="E67" s="29">
        <v>39</v>
      </c>
      <c r="F67" s="30">
        <v>2.2999999999999998</v>
      </c>
      <c r="G67" s="28" t="s">
        <v>51</v>
      </c>
      <c r="H67" s="31"/>
      <c r="I67" s="31"/>
      <c r="J67" s="31"/>
      <c r="K67" s="31"/>
      <c r="L67" s="31">
        <v>2000</v>
      </c>
      <c r="M67" s="31">
        <v>2000</v>
      </c>
      <c r="N67" s="31">
        <v>2000</v>
      </c>
      <c r="O67" s="31">
        <v>1600</v>
      </c>
      <c r="P67" s="31">
        <v>1200</v>
      </c>
      <c r="Q67" s="31">
        <v>1600</v>
      </c>
      <c r="R67" s="31">
        <v>1200</v>
      </c>
      <c r="S67" s="31">
        <v>1200</v>
      </c>
      <c r="T67" s="31">
        <v>1080</v>
      </c>
      <c r="U67" s="31"/>
      <c r="V67" s="31">
        <v>1200</v>
      </c>
      <c r="W67" s="31">
        <v>1200</v>
      </c>
      <c r="X67" s="31">
        <v>1200</v>
      </c>
      <c r="Y67" s="31"/>
      <c r="Z67" s="31">
        <v>1200</v>
      </c>
      <c r="AA67" s="31"/>
      <c r="AB67" s="31">
        <v>1200</v>
      </c>
      <c r="AC67" s="31"/>
      <c r="AD67" s="31">
        <v>1200</v>
      </c>
      <c r="AE67" s="31"/>
      <c r="AF6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13480</v>
      </c>
      <c r="AG67" s="19">
        <f>Programacion[[#This Row],[ENERO]]+Programacion[[#This Row],[FEBRERO]]+Programacion[[#This Row],[MARZO]]</f>
        <v>2000</v>
      </c>
      <c r="AH67" s="19">
        <f>Programacion[[#This Row],[DEVENGADO ENERO]]+Programacion[[#This Row],[DEVENGADO FEBRERO]]+Programacion[[#This Row],[DEVENGADO MARZO]]</f>
        <v>2000</v>
      </c>
      <c r="AI67" s="19">
        <f>Programacion[[#This Row],[ABRIL]]+Programacion[[#This Row],[MAYO]]+Programacion[[#This Row],[JUNIO]]</f>
        <v>4400</v>
      </c>
      <c r="AJ67" s="19">
        <f>Programacion[[#This Row],[DEVENGADO ABRIL]]+Programacion[[#This Row],[DEVENGADO MAYO]]+Programacion[[#This Row],[DEVENGADO JUNIO]]</f>
        <v>4400</v>
      </c>
      <c r="AK67" s="19">
        <f>Programacion[[#This Row],[JULIO]]+Programacion[[#This Row],[AGOSTO]]+Programacion[[#This Row],[SEPTIEMBRE]]</f>
        <v>3480</v>
      </c>
      <c r="AL67" s="19">
        <f>Programacion[[#This Row],[DEVENGADO JULIO]]+Programacion[[#This Row],[DEVENGADO AGOSTO]]+Programacion[[#This Row],[DEVENGADO SEPTIEMBRE]]</f>
        <v>1200</v>
      </c>
      <c r="AM67" s="19">
        <f>Programacion[[#This Row],[OCTUBRE]]+Programacion[[#This Row],[NOVIEMBRE]]+Programacion[[#This Row],[DICIEMBRE]]</f>
        <v>3600</v>
      </c>
      <c r="AN67" s="20">
        <f>Programacion[[#This Row],[DEVENGADO OCTUBRE]]+Programacion[[#This Row],[DEVENGADO NOVIEMBRE]]+Programacion[[#This Row],[DEVENGADO DICIEMBRE]]</f>
        <v>0</v>
      </c>
      <c r="AO67" s="20">
        <f>Programacion[[#This Row],[ENERO]]+Programacion[[#This Row],[FEBRERO]]+Programacion[[#This Row],[MARZO]]+Programacion[[#This Row],[ABRIL]]+Programacion[[#This Row],[MAYO]]+Programacion[[#This Row],[JUNIO]]</f>
        <v>6400</v>
      </c>
      <c r="AP6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67" s="20">
        <f>Programacion[[#This Row],[JULIO]]+Programacion[[#This Row],[AGOSTO]]+Programacion[[#This Row],[SEPTIEMBRE]]+Programacion[[#This Row],[OCTUBRE]]+Programacion[[#This Row],[NOVIEMBRE]]+Programacion[[#This Row],[DICIEMBRE]]</f>
        <v>7080</v>
      </c>
      <c r="AR6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7600</v>
      </c>
      <c r="AT67" s="116"/>
    </row>
    <row r="68" spans="1:46" x14ac:dyDescent="0.25">
      <c r="A68" s="26" t="s">
        <v>81</v>
      </c>
      <c r="B68" s="27" t="s">
        <v>275</v>
      </c>
      <c r="C68" s="28" t="s">
        <v>47</v>
      </c>
      <c r="D68" s="28" t="s">
        <v>48</v>
      </c>
      <c r="E68" s="29">
        <v>39</v>
      </c>
      <c r="F68" s="30">
        <v>2.2999999999999998</v>
      </c>
      <c r="G68" s="28" t="s">
        <v>86</v>
      </c>
      <c r="H68" s="31"/>
      <c r="I68" s="31"/>
      <c r="J68" s="31"/>
      <c r="K68" s="31"/>
      <c r="L68" s="31">
        <v>60</v>
      </c>
      <c r="M68" s="31">
        <v>60</v>
      </c>
      <c r="N68" s="31">
        <v>60</v>
      </c>
      <c r="O68" s="31">
        <v>28.6</v>
      </c>
      <c r="P68" s="31">
        <v>60</v>
      </c>
      <c r="Q68" s="31">
        <v>60</v>
      </c>
      <c r="R68" s="31">
        <v>60</v>
      </c>
      <c r="S68" s="31">
        <v>18.59</v>
      </c>
      <c r="T68" s="31">
        <v>50</v>
      </c>
      <c r="U68" s="31">
        <v>-27.7</v>
      </c>
      <c r="V68" s="31">
        <v>50</v>
      </c>
      <c r="W68" s="31">
        <v>50</v>
      </c>
      <c r="X68" s="31">
        <v>50</v>
      </c>
      <c r="Y68" s="31">
        <v>-35.700000000000003</v>
      </c>
      <c r="Z68" s="31">
        <v>50</v>
      </c>
      <c r="AA68" s="31"/>
      <c r="AB68" s="31">
        <v>50</v>
      </c>
      <c r="AC68" s="31"/>
      <c r="AD68" s="31">
        <v>50</v>
      </c>
      <c r="AE68" s="31"/>
      <c r="AF6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68" s="19">
        <f>Programacion[[#This Row],[ENERO]]+Programacion[[#This Row],[FEBRERO]]+Programacion[[#This Row],[MARZO]]</f>
        <v>60</v>
      </c>
      <c r="AH68" s="19">
        <f>Programacion[[#This Row],[DEVENGADO ENERO]]+Programacion[[#This Row],[DEVENGADO FEBRERO]]+Programacion[[#This Row],[DEVENGADO MARZO]]</f>
        <v>60</v>
      </c>
      <c r="AI68" s="19">
        <f>Programacion[[#This Row],[ABRIL]]+Programacion[[#This Row],[MAYO]]+Programacion[[#This Row],[JUNIO]]</f>
        <v>180</v>
      </c>
      <c r="AJ68" s="19">
        <f>Programacion[[#This Row],[DEVENGADO ABRIL]]+Programacion[[#This Row],[DEVENGADO MAYO]]+Programacion[[#This Row],[DEVENGADO JUNIO]]</f>
        <v>107.19</v>
      </c>
      <c r="AK68" s="19">
        <f>Programacion[[#This Row],[JULIO]]+Programacion[[#This Row],[AGOSTO]]+Programacion[[#This Row],[SEPTIEMBRE]]</f>
        <v>150</v>
      </c>
      <c r="AL68" s="19">
        <f>Programacion[[#This Row],[DEVENGADO JULIO]]+Programacion[[#This Row],[DEVENGADO AGOSTO]]+Programacion[[#This Row],[DEVENGADO SEPTIEMBRE]]</f>
        <v>-13.400000000000002</v>
      </c>
      <c r="AM68" s="19">
        <f>Programacion[[#This Row],[OCTUBRE]]+Programacion[[#This Row],[NOVIEMBRE]]+Programacion[[#This Row],[DICIEMBRE]]</f>
        <v>150</v>
      </c>
      <c r="AN68" s="20">
        <f>Programacion[[#This Row],[DEVENGADO OCTUBRE]]+Programacion[[#This Row],[DEVENGADO NOVIEMBRE]]+Programacion[[#This Row],[DEVENGADO DICIEMBRE]]</f>
        <v>0</v>
      </c>
      <c r="AO68" s="20">
        <f>Programacion[[#This Row],[ENERO]]+Programacion[[#This Row],[FEBRERO]]+Programacion[[#This Row],[MARZO]]+Programacion[[#This Row],[ABRIL]]+Programacion[[#This Row],[MAYO]]+Programacion[[#This Row],[JUNIO]]</f>
        <v>240</v>
      </c>
      <c r="AP6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68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6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-13.400000000000002</v>
      </c>
      <c r="AS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153.79000000000002</v>
      </c>
      <c r="AT68" s="116"/>
    </row>
    <row r="69" spans="1:46" x14ac:dyDescent="0.25">
      <c r="A69" s="26" t="s">
        <v>81</v>
      </c>
      <c r="B69" s="27" t="s">
        <v>87</v>
      </c>
      <c r="C69" s="28" t="s">
        <v>80</v>
      </c>
      <c r="D69" s="28" t="s">
        <v>48</v>
      </c>
      <c r="E69" s="29">
        <v>39</v>
      </c>
      <c r="F69" s="30">
        <v>2.6</v>
      </c>
      <c r="G69" s="28" t="s">
        <v>88</v>
      </c>
      <c r="H69" s="31"/>
      <c r="I69" s="31"/>
      <c r="J69" s="31"/>
      <c r="K69" s="31"/>
      <c r="L69" s="31"/>
      <c r="M69" s="31"/>
      <c r="N69" s="31"/>
      <c r="O69" s="31"/>
      <c r="P69" s="31">
        <v>43460</v>
      </c>
      <c r="Q69" s="31">
        <v>43460</v>
      </c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69" s="19">
        <f>Programacion[[#This Row],[ENERO]]+Programacion[[#This Row],[FEBRERO]]+Programacion[[#This Row],[MARZO]]</f>
        <v>0</v>
      </c>
      <c r="AH69" s="19">
        <f>Programacion[[#This Row],[DEVENGADO ENERO]]+Programacion[[#This Row],[DEVENGADO FEBRERO]]+Programacion[[#This Row],[DEVENGADO MARZO]]</f>
        <v>0</v>
      </c>
      <c r="AI69" s="19">
        <f>Programacion[[#This Row],[ABRIL]]+Programacion[[#This Row],[MAYO]]+Programacion[[#This Row],[JUNIO]]</f>
        <v>43460</v>
      </c>
      <c r="AJ69" s="19">
        <f>Programacion[[#This Row],[DEVENGADO ABRIL]]+Programacion[[#This Row],[DEVENGADO MAYO]]+Programacion[[#This Row],[DEVENGADO JUNIO]]</f>
        <v>43460</v>
      </c>
      <c r="AK69" s="19">
        <f>Programacion[[#This Row],[JULIO]]+Programacion[[#This Row],[AGOSTO]]+Programacion[[#This Row],[SEPTIEMBRE]]</f>
        <v>0</v>
      </c>
      <c r="AL69" s="19">
        <f>Programacion[[#This Row],[DEVENGADO JULIO]]+Programacion[[#This Row],[DEVENGADO AGOSTO]]+Programacion[[#This Row],[DEVENGADO SEPTIEMBRE]]</f>
        <v>0</v>
      </c>
      <c r="AM69" s="19">
        <f>Programacion[[#This Row],[OCTUBRE]]+Programacion[[#This Row],[NOVIEMBRE]]+Programacion[[#This Row],[DICIEMBRE]]</f>
        <v>0</v>
      </c>
      <c r="AN69" s="20">
        <f>Programacion[[#This Row],[DEVENGADO OCTUBRE]]+Programacion[[#This Row],[DEVENGADO NOVIEMBRE]]+Programacion[[#This Row],[DEVENGADO DICIEMBRE]]</f>
        <v>0</v>
      </c>
      <c r="AO69" s="20">
        <f>Programacion[[#This Row],[ENERO]]+Programacion[[#This Row],[FEBRERO]]+Programacion[[#This Row],[MARZO]]+Programacion[[#This Row],[ABRIL]]+Programacion[[#This Row],[MAYO]]+Programacion[[#This Row],[JUNIO]]</f>
        <v>43460</v>
      </c>
      <c r="AP6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6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69" s="116"/>
    </row>
    <row r="70" spans="1:46" x14ac:dyDescent="0.25">
      <c r="A70" s="26" t="s">
        <v>81</v>
      </c>
      <c r="B70" s="27" t="s">
        <v>89</v>
      </c>
      <c r="C70" s="28" t="s">
        <v>64</v>
      </c>
      <c r="D70" s="28" t="s">
        <v>48</v>
      </c>
      <c r="E70" s="29">
        <v>39</v>
      </c>
      <c r="F70" s="30">
        <v>2.2999999999999998</v>
      </c>
      <c r="G70" s="28" t="s">
        <v>67</v>
      </c>
      <c r="H70" s="31"/>
      <c r="I70" s="31"/>
      <c r="J70" s="31"/>
      <c r="K70" s="31"/>
      <c r="L70" s="31">
        <v>28760</v>
      </c>
      <c r="M70" s="31">
        <v>28760</v>
      </c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70" s="19">
        <f>Programacion[[#This Row],[ENERO]]+Programacion[[#This Row],[FEBRERO]]+Programacion[[#This Row],[MARZO]]</f>
        <v>28760</v>
      </c>
      <c r="AH70" s="19">
        <f>Programacion[[#This Row],[DEVENGADO ENERO]]+Programacion[[#This Row],[DEVENGADO FEBRERO]]+Programacion[[#This Row],[DEVENGADO MARZO]]</f>
        <v>28760</v>
      </c>
      <c r="AI70" s="19">
        <f>Programacion[[#This Row],[ABRIL]]+Programacion[[#This Row],[MAYO]]+Programacion[[#This Row],[JUNIO]]</f>
        <v>0</v>
      </c>
      <c r="AJ70" s="19">
        <f>Programacion[[#This Row],[DEVENGADO ABRIL]]+Programacion[[#This Row],[DEVENGADO MAYO]]+Programacion[[#This Row],[DEVENGADO JUNIO]]</f>
        <v>0</v>
      </c>
      <c r="AK70" s="19">
        <f>Programacion[[#This Row],[JULIO]]+Programacion[[#This Row],[AGOSTO]]+Programacion[[#This Row],[SEPTIEMBRE]]</f>
        <v>0</v>
      </c>
      <c r="AL70" s="19">
        <f>Programacion[[#This Row],[DEVENGADO JULIO]]+Programacion[[#This Row],[DEVENGADO AGOSTO]]+Programacion[[#This Row],[DEVENGADO SEPTIEMBRE]]</f>
        <v>0</v>
      </c>
      <c r="AM70" s="19">
        <f>Programacion[[#This Row],[OCTUBRE]]+Programacion[[#This Row],[NOVIEMBRE]]+Programacion[[#This Row],[DICIEMBRE]]</f>
        <v>0</v>
      </c>
      <c r="AN70" s="20">
        <f>Programacion[[#This Row],[DEVENGADO OCTUBRE]]+Programacion[[#This Row],[DEVENGADO NOVIEMBRE]]+Programacion[[#This Row],[DEVENGADO DICIEMBRE]]</f>
        <v>0</v>
      </c>
      <c r="AO70" s="20">
        <f>Programacion[[#This Row],[ENERO]]+Programacion[[#This Row],[FEBRERO]]+Programacion[[#This Row],[MARZO]]+Programacion[[#This Row],[ABRIL]]+Programacion[[#This Row],[MAYO]]+Programacion[[#This Row],[JUNIO]]</f>
        <v>28760</v>
      </c>
      <c r="AP7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7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70" s="116"/>
    </row>
    <row r="71" spans="1:46" x14ac:dyDescent="0.25">
      <c r="A71" s="26" t="s">
        <v>81</v>
      </c>
      <c r="B71" s="27" t="s">
        <v>90</v>
      </c>
      <c r="C71" s="28" t="s">
        <v>64</v>
      </c>
      <c r="D71" s="28" t="s">
        <v>48</v>
      </c>
      <c r="E71" s="29">
        <v>39</v>
      </c>
      <c r="F71" s="30">
        <v>2.2999999999999998</v>
      </c>
      <c r="G71" s="28" t="s">
        <v>65</v>
      </c>
      <c r="H71" s="31"/>
      <c r="I71" s="31"/>
      <c r="J71" s="31"/>
      <c r="K71" s="31"/>
      <c r="L71" s="31">
        <v>19580</v>
      </c>
      <c r="M71" s="31">
        <v>19580</v>
      </c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71" s="19">
        <f>Programacion[[#This Row],[ENERO]]+Programacion[[#This Row],[FEBRERO]]+Programacion[[#This Row],[MARZO]]</f>
        <v>19580</v>
      </c>
      <c r="AH71" s="19">
        <f>Programacion[[#This Row],[DEVENGADO ENERO]]+Programacion[[#This Row],[DEVENGADO FEBRERO]]+Programacion[[#This Row],[DEVENGADO MARZO]]</f>
        <v>19580</v>
      </c>
      <c r="AI71" s="19">
        <f>Programacion[[#This Row],[ABRIL]]+Programacion[[#This Row],[MAYO]]+Programacion[[#This Row],[JUNIO]]</f>
        <v>0</v>
      </c>
      <c r="AJ71" s="19">
        <f>Programacion[[#This Row],[DEVENGADO ABRIL]]+Programacion[[#This Row],[DEVENGADO MAYO]]+Programacion[[#This Row],[DEVENGADO JUNIO]]</f>
        <v>0</v>
      </c>
      <c r="AK71" s="19">
        <f>Programacion[[#This Row],[JULIO]]+Programacion[[#This Row],[AGOSTO]]+Programacion[[#This Row],[SEPTIEMBRE]]</f>
        <v>0</v>
      </c>
      <c r="AL71" s="19">
        <f>Programacion[[#This Row],[DEVENGADO JULIO]]+Programacion[[#This Row],[DEVENGADO AGOSTO]]+Programacion[[#This Row],[DEVENGADO SEPTIEMBRE]]</f>
        <v>0</v>
      </c>
      <c r="AM71" s="19">
        <f>Programacion[[#This Row],[OCTUBRE]]+Programacion[[#This Row],[NOVIEMBRE]]+Programacion[[#This Row],[DICIEMBRE]]</f>
        <v>0</v>
      </c>
      <c r="AN71" s="20">
        <f>Programacion[[#This Row],[DEVENGADO OCTUBRE]]+Programacion[[#This Row],[DEVENGADO NOVIEMBRE]]+Programacion[[#This Row],[DEVENGADO DICIEMBRE]]</f>
        <v>0</v>
      </c>
      <c r="AO71" s="20">
        <f>Programacion[[#This Row],[ENERO]]+Programacion[[#This Row],[FEBRERO]]+Programacion[[#This Row],[MARZO]]+Programacion[[#This Row],[ABRIL]]+Programacion[[#This Row],[MAYO]]+Programacion[[#This Row],[JUNIO]]</f>
        <v>19580</v>
      </c>
      <c r="AP7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7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71" s="116"/>
    </row>
    <row r="72" spans="1:46" ht="30" x14ac:dyDescent="0.25">
      <c r="A72" s="26" t="s">
        <v>81</v>
      </c>
      <c r="B72" s="27" t="s">
        <v>91</v>
      </c>
      <c r="C72" s="28" t="s">
        <v>64</v>
      </c>
      <c r="D72" s="28" t="s">
        <v>48</v>
      </c>
      <c r="E72" s="29">
        <v>39</v>
      </c>
      <c r="F72" s="30">
        <v>2.2999999999999998</v>
      </c>
      <c r="G72" s="28" t="s">
        <v>65</v>
      </c>
      <c r="H72" s="31"/>
      <c r="I72" s="31"/>
      <c r="J72" s="31"/>
      <c r="K72" s="31"/>
      <c r="L72" s="31">
        <v>8760</v>
      </c>
      <c r="M72" s="31">
        <v>8760</v>
      </c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72" s="19">
        <f>Programacion[[#This Row],[ENERO]]+Programacion[[#This Row],[FEBRERO]]+Programacion[[#This Row],[MARZO]]</f>
        <v>8760</v>
      </c>
      <c r="AH72" s="19">
        <f>Programacion[[#This Row],[DEVENGADO ENERO]]+Programacion[[#This Row],[DEVENGADO FEBRERO]]+Programacion[[#This Row],[DEVENGADO MARZO]]</f>
        <v>8760</v>
      </c>
      <c r="AI72" s="19">
        <f>Programacion[[#This Row],[ABRIL]]+Programacion[[#This Row],[MAYO]]+Programacion[[#This Row],[JUNIO]]</f>
        <v>0</v>
      </c>
      <c r="AJ72" s="19">
        <f>Programacion[[#This Row],[DEVENGADO ABRIL]]+Programacion[[#This Row],[DEVENGADO MAYO]]+Programacion[[#This Row],[DEVENGADO JUNIO]]</f>
        <v>0</v>
      </c>
      <c r="AK72" s="19">
        <f>Programacion[[#This Row],[JULIO]]+Programacion[[#This Row],[AGOSTO]]+Programacion[[#This Row],[SEPTIEMBRE]]</f>
        <v>0</v>
      </c>
      <c r="AL72" s="19">
        <f>Programacion[[#This Row],[DEVENGADO JULIO]]+Programacion[[#This Row],[DEVENGADO AGOSTO]]+Programacion[[#This Row],[DEVENGADO SEPTIEMBRE]]</f>
        <v>0</v>
      </c>
      <c r="AM72" s="19">
        <f>Programacion[[#This Row],[OCTUBRE]]+Programacion[[#This Row],[NOVIEMBRE]]+Programacion[[#This Row],[DICIEMBRE]]</f>
        <v>0</v>
      </c>
      <c r="AN72" s="20">
        <f>Programacion[[#This Row],[DEVENGADO OCTUBRE]]+Programacion[[#This Row],[DEVENGADO NOVIEMBRE]]+Programacion[[#This Row],[DEVENGADO DICIEMBRE]]</f>
        <v>0</v>
      </c>
      <c r="AO72" s="20">
        <f>Programacion[[#This Row],[ENERO]]+Programacion[[#This Row],[FEBRERO]]+Programacion[[#This Row],[MARZO]]+Programacion[[#This Row],[ABRIL]]+Programacion[[#This Row],[MAYO]]+Programacion[[#This Row],[JUNIO]]</f>
        <v>8760</v>
      </c>
      <c r="AP7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7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72" s="116"/>
    </row>
    <row r="73" spans="1:46" ht="30" x14ac:dyDescent="0.25">
      <c r="A73" s="26" t="s">
        <v>81</v>
      </c>
      <c r="B73" s="27" t="s">
        <v>92</v>
      </c>
      <c r="C73" s="28" t="s">
        <v>64</v>
      </c>
      <c r="D73" s="28" t="s">
        <v>48</v>
      </c>
      <c r="E73" s="29">
        <v>39</v>
      </c>
      <c r="F73" s="30">
        <v>2.2999999999999998</v>
      </c>
      <c r="G73" s="28" t="s">
        <v>65</v>
      </c>
      <c r="H73" s="31"/>
      <c r="I73" s="31"/>
      <c r="J73" s="31"/>
      <c r="K73" s="31"/>
      <c r="L73" s="31"/>
      <c r="M73" s="31"/>
      <c r="N73" s="31">
        <v>42000</v>
      </c>
      <c r="O73" s="31">
        <v>42000</v>
      </c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73" s="19">
        <f>Programacion[[#This Row],[ENERO]]+Programacion[[#This Row],[FEBRERO]]+Programacion[[#This Row],[MARZO]]</f>
        <v>0</v>
      </c>
      <c r="AH73" s="19">
        <f>Programacion[[#This Row],[DEVENGADO ENERO]]+Programacion[[#This Row],[DEVENGADO FEBRERO]]+Programacion[[#This Row],[DEVENGADO MARZO]]</f>
        <v>0</v>
      </c>
      <c r="AI73" s="19">
        <f>Programacion[[#This Row],[ABRIL]]+Programacion[[#This Row],[MAYO]]+Programacion[[#This Row],[JUNIO]]</f>
        <v>42000</v>
      </c>
      <c r="AJ73" s="19">
        <f>Programacion[[#This Row],[DEVENGADO ABRIL]]+Programacion[[#This Row],[DEVENGADO MAYO]]+Programacion[[#This Row],[DEVENGADO JUNIO]]</f>
        <v>42000</v>
      </c>
      <c r="AK73" s="19">
        <f>Programacion[[#This Row],[JULIO]]+Programacion[[#This Row],[AGOSTO]]+Programacion[[#This Row],[SEPTIEMBRE]]</f>
        <v>0</v>
      </c>
      <c r="AL73" s="19">
        <f>Programacion[[#This Row],[DEVENGADO JULIO]]+Programacion[[#This Row],[DEVENGADO AGOSTO]]+Programacion[[#This Row],[DEVENGADO SEPTIEMBRE]]</f>
        <v>0</v>
      </c>
      <c r="AM73" s="19">
        <f>Programacion[[#This Row],[OCTUBRE]]+Programacion[[#This Row],[NOVIEMBRE]]+Programacion[[#This Row],[DICIEMBRE]]</f>
        <v>0</v>
      </c>
      <c r="AN73" s="20">
        <f>Programacion[[#This Row],[DEVENGADO OCTUBRE]]+Programacion[[#This Row],[DEVENGADO NOVIEMBRE]]+Programacion[[#This Row],[DEVENGADO DICIEMBRE]]</f>
        <v>0</v>
      </c>
      <c r="AO73" s="20">
        <f>Programacion[[#This Row],[ENERO]]+Programacion[[#This Row],[FEBRERO]]+Programacion[[#This Row],[MARZO]]+Programacion[[#This Row],[ABRIL]]+Programacion[[#This Row],[MAYO]]+Programacion[[#This Row],[JUNIO]]</f>
        <v>42000</v>
      </c>
      <c r="AP7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7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73" s="116"/>
    </row>
    <row r="74" spans="1:46" ht="30" x14ac:dyDescent="0.25">
      <c r="A74" s="26" t="s">
        <v>81</v>
      </c>
      <c r="B74" s="27" t="s">
        <v>93</v>
      </c>
      <c r="C74" s="28" t="s">
        <v>64</v>
      </c>
      <c r="D74" s="28" t="s">
        <v>48</v>
      </c>
      <c r="E74" s="29">
        <v>39</v>
      </c>
      <c r="F74" s="30">
        <v>2.2999999999999998</v>
      </c>
      <c r="G74" s="28" t="s">
        <v>65</v>
      </c>
      <c r="H74" s="31"/>
      <c r="I74" s="31"/>
      <c r="J74" s="31"/>
      <c r="K74" s="31"/>
      <c r="L74" s="31">
        <v>16800</v>
      </c>
      <c r="M74" s="31">
        <v>16800</v>
      </c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74" s="19">
        <f>Programacion[[#This Row],[ENERO]]+Programacion[[#This Row],[FEBRERO]]+Programacion[[#This Row],[MARZO]]</f>
        <v>16800</v>
      </c>
      <c r="AH74" s="19">
        <f>Programacion[[#This Row],[DEVENGADO ENERO]]+Programacion[[#This Row],[DEVENGADO FEBRERO]]+Programacion[[#This Row],[DEVENGADO MARZO]]</f>
        <v>16800</v>
      </c>
      <c r="AI74" s="19">
        <f>Programacion[[#This Row],[ABRIL]]+Programacion[[#This Row],[MAYO]]+Programacion[[#This Row],[JUNIO]]</f>
        <v>0</v>
      </c>
      <c r="AJ74" s="19">
        <f>Programacion[[#This Row],[DEVENGADO ABRIL]]+Programacion[[#This Row],[DEVENGADO MAYO]]+Programacion[[#This Row],[DEVENGADO JUNIO]]</f>
        <v>0</v>
      </c>
      <c r="AK74" s="19">
        <f>Programacion[[#This Row],[JULIO]]+Programacion[[#This Row],[AGOSTO]]+Programacion[[#This Row],[SEPTIEMBRE]]</f>
        <v>0</v>
      </c>
      <c r="AL74" s="19">
        <f>Programacion[[#This Row],[DEVENGADO JULIO]]+Programacion[[#This Row],[DEVENGADO AGOSTO]]+Programacion[[#This Row],[DEVENGADO SEPTIEMBRE]]</f>
        <v>0</v>
      </c>
      <c r="AM74" s="19">
        <f>Programacion[[#This Row],[OCTUBRE]]+Programacion[[#This Row],[NOVIEMBRE]]+Programacion[[#This Row],[DICIEMBRE]]</f>
        <v>0</v>
      </c>
      <c r="AN74" s="20">
        <f>Programacion[[#This Row],[DEVENGADO OCTUBRE]]+Programacion[[#This Row],[DEVENGADO NOVIEMBRE]]+Programacion[[#This Row],[DEVENGADO DICIEMBRE]]</f>
        <v>0</v>
      </c>
      <c r="AO74" s="20">
        <f>Programacion[[#This Row],[ENERO]]+Programacion[[#This Row],[FEBRERO]]+Programacion[[#This Row],[MARZO]]+Programacion[[#This Row],[ABRIL]]+Programacion[[#This Row],[MAYO]]+Programacion[[#This Row],[JUNIO]]</f>
        <v>16800</v>
      </c>
      <c r="AP7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7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74" s="116"/>
    </row>
    <row r="75" spans="1:46" ht="30" x14ac:dyDescent="0.25">
      <c r="A75" s="26" t="s">
        <v>81</v>
      </c>
      <c r="B75" s="27" t="s">
        <v>94</v>
      </c>
      <c r="C75" s="28" t="s">
        <v>64</v>
      </c>
      <c r="D75" s="28" t="s">
        <v>48</v>
      </c>
      <c r="E75" s="29">
        <v>39</v>
      </c>
      <c r="F75" s="30">
        <v>2.2999999999999998</v>
      </c>
      <c r="G75" s="28" t="s">
        <v>65</v>
      </c>
      <c r="H75" s="31"/>
      <c r="I75" s="31"/>
      <c r="J75" s="31"/>
      <c r="K75" s="31"/>
      <c r="L75" s="31">
        <v>15000</v>
      </c>
      <c r="M75" s="31">
        <v>15000</v>
      </c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75" s="19">
        <f>Programacion[[#This Row],[ENERO]]+Programacion[[#This Row],[FEBRERO]]+Programacion[[#This Row],[MARZO]]</f>
        <v>15000</v>
      </c>
      <c r="AH75" s="19">
        <f>Programacion[[#This Row],[DEVENGADO ENERO]]+Programacion[[#This Row],[DEVENGADO FEBRERO]]+Programacion[[#This Row],[DEVENGADO MARZO]]</f>
        <v>15000</v>
      </c>
      <c r="AI75" s="19">
        <f>Programacion[[#This Row],[ABRIL]]+Programacion[[#This Row],[MAYO]]+Programacion[[#This Row],[JUNIO]]</f>
        <v>0</v>
      </c>
      <c r="AJ75" s="19">
        <f>Programacion[[#This Row],[DEVENGADO ABRIL]]+Programacion[[#This Row],[DEVENGADO MAYO]]+Programacion[[#This Row],[DEVENGADO JUNIO]]</f>
        <v>0</v>
      </c>
      <c r="AK75" s="19">
        <f>Programacion[[#This Row],[JULIO]]+Programacion[[#This Row],[AGOSTO]]+Programacion[[#This Row],[SEPTIEMBRE]]</f>
        <v>0</v>
      </c>
      <c r="AL75" s="19">
        <f>Programacion[[#This Row],[DEVENGADO JULIO]]+Programacion[[#This Row],[DEVENGADO AGOSTO]]+Programacion[[#This Row],[DEVENGADO SEPTIEMBRE]]</f>
        <v>0</v>
      </c>
      <c r="AM75" s="19">
        <f>Programacion[[#This Row],[OCTUBRE]]+Programacion[[#This Row],[NOVIEMBRE]]+Programacion[[#This Row],[DICIEMBRE]]</f>
        <v>0</v>
      </c>
      <c r="AN75" s="20">
        <f>Programacion[[#This Row],[DEVENGADO OCTUBRE]]+Programacion[[#This Row],[DEVENGADO NOVIEMBRE]]+Programacion[[#This Row],[DEVENGADO DICIEMBRE]]</f>
        <v>0</v>
      </c>
      <c r="AO75" s="20">
        <f>Programacion[[#This Row],[ENERO]]+Programacion[[#This Row],[FEBRERO]]+Programacion[[#This Row],[MARZO]]+Programacion[[#This Row],[ABRIL]]+Programacion[[#This Row],[MAYO]]+Programacion[[#This Row],[JUNIO]]</f>
        <v>15000</v>
      </c>
      <c r="AP7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7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75" s="116"/>
    </row>
    <row r="76" spans="1:46" x14ac:dyDescent="0.25">
      <c r="A76" s="26" t="s">
        <v>81</v>
      </c>
      <c r="B76" s="27" t="s">
        <v>95</v>
      </c>
      <c r="C76" s="28" t="s">
        <v>96</v>
      </c>
      <c r="D76" s="28" t="s">
        <v>48</v>
      </c>
      <c r="E76" s="29">
        <v>78</v>
      </c>
      <c r="F76" s="30">
        <v>2.2999999999999998</v>
      </c>
      <c r="G76" s="28" t="s">
        <v>97</v>
      </c>
      <c r="H76" s="31"/>
      <c r="I76" s="31"/>
      <c r="J76" s="31">
        <v>1160</v>
      </c>
      <c r="K76" s="31">
        <v>1160</v>
      </c>
      <c r="L76" s="31">
        <v>580</v>
      </c>
      <c r="M76" s="31">
        <v>580</v>
      </c>
      <c r="N76" s="31">
        <v>580</v>
      </c>
      <c r="O76" s="31">
        <v>580</v>
      </c>
      <c r="P76" s="31">
        <v>580</v>
      </c>
      <c r="Q76" s="31">
        <v>580</v>
      </c>
      <c r="R76" s="31">
        <v>580</v>
      </c>
      <c r="S76" s="31">
        <v>580</v>
      </c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76" s="19">
        <f>Programacion[[#This Row],[ENERO]]+Programacion[[#This Row],[FEBRERO]]+Programacion[[#This Row],[MARZO]]</f>
        <v>1740</v>
      </c>
      <c r="AH76" s="19">
        <f>Programacion[[#This Row],[DEVENGADO ENERO]]+Programacion[[#This Row],[DEVENGADO FEBRERO]]+Programacion[[#This Row],[DEVENGADO MARZO]]</f>
        <v>1740</v>
      </c>
      <c r="AI76" s="19">
        <f>Programacion[[#This Row],[ABRIL]]+Programacion[[#This Row],[MAYO]]+Programacion[[#This Row],[JUNIO]]</f>
        <v>1740</v>
      </c>
      <c r="AJ76" s="19">
        <f>Programacion[[#This Row],[DEVENGADO ABRIL]]+Programacion[[#This Row],[DEVENGADO MAYO]]+Programacion[[#This Row],[DEVENGADO JUNIO]]</f>
        <v>1740</v>
      </c>
      <c r="AK76" s="19">
        <f>Programacion[[#This Row],[JULIO]]+Programacion[[#This Row],[AGOSTO]]+Programacion[[#This Row],[SEPTIEMBRE]]</f>
        <v>0</v>
      </c>
      <c r="AL76" s="19">
        <f>Programacion[[#This Row],[DEVENGADO JULIO]]+Programacion[[#This Row],[DEVENGADO AGOSTO]]+Programacion[[#This Row],[DEVENGADO SEPTIEMBRE]]</f>
        <v>0</v>
      </c>
      <c r="AM76" s="19">
        <f>Programacion[[#This Row],[OCTUBRE]]+Programacion[[#This Row],[NOVIEMBRE]]+Programacion[[#This Row],[DICIEMBRE]]</f>
        <v>0</v>
      </c>
      <c r="AN76" s="20">
        <f>Programacion[[#This Row],[DEVENGADO OCTUBRE]]+Programacion[[#This Row],[DEVENGADO NOVIEMBRE]]+Programacion[[#This Row],[DEVENGADO DICIEMBRE]]</f>
        <v>0</v>
      </c>
      <c r="AO76" s="20">
        <f>Programacion[[#This Row],[ENERO]]+Programacion[[#This Row],[FEBRERO]]+Programacion[[#This Row],[MARZO]]+Programacion[[#This Row],[ABRIL]]+Programacion[[#This Row],[MAYO]]+Programacion[[#This Row],[JUNIO]]</f>
        <v>3480</v>
      </c>
      <c r="AP7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7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76" s="116"/>
    </row>
    <row r="77" spans="1:46" x14ac:dyDescent="0.25">
      <c r="A77" s="26" t="s">
        <v>81</v>
      </c>
      <c r="B77" s="27" t="s">
        <v>98</v>
      </c>
      <c r="C77" s="28" t="s">
        <v>96</v>
      </c>
      <c r="D77" s="28" t="s">
        <v>48</v>
      </c>
      <c r="E77" s="29">
        <v>78</v>
      </c>
      <c r="F77" s="30">
        <v>2.2999999999999998</v>
      </c>
      <c r="G77" s="28" t="s">
        <v>97</v>
      </c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>
        <v>580</v>
      </c>
      <c r="U77" s="31">
        <v>580</v>
      </c>
      <c r="V77" s="31">
        <v>580</v>
      </c>
      <c r="W77" s="31">
        <v>580</v>
      </c>
      <c r="X77" s="31">
        <v>580</v>
      </c>
      <c r="Y77" s="31">
        <v>580</v>
      </c>
      <c r="Z77" s="31">
        <v>580</v>
      </c>
      <c r="AA77" s="31"/>
      <c r="AB77" s="31">
        <v>580</v>
      </c>
      <c r="AC77" s="31"/>
      <c r="AD77" s="31">
        <v>580</v>
      </c>
      <c r="AE77" s="31"/>
      <c r="AF7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77" s="19">
        <f>Programacion[[#This Row],[ENERO]]+Programacion[[#This Row],[FEBRERO]]+Programacion[[#This Row],[MARZO]]</f>
        <v>0</v>
      </c>
      <c r="AH77" s="19">
        <f>Programacion[[#This Row],[DEVENGADO ENERO]]+Programacion[[#This Row],[DEVENGADO FEBRERO]]+Programacion[[#This Row],[DEVENGADO MARZO]]</f>
        <v>0</v>
      </c>
      <c r="AI77" s="19">
        <f>Programacion[[#This Row],[ABRIL]]+Programacion[[#This Row],[MAYO]]+Programacion[[#This Row],[JUNIO]]</f>
        <v>0</v>
      </c>
      <c r="AJ77" s="19">
        <f>Programacion[[#This Row],[DEVENGADO ABRIL]]+Programacion[[#This Row],[DEVENGADO MAYO]]+Programacion[[#This Row],[DEVENGADO JUNIO]]</f>
        <v>0</v>
      </c>
      <c r="AK77" s="19">
        <f>Programacion[[#This Row],[JULIO]]+Programacion[[#This Row],[AGOSTO]]+Programacion[[#This Row],[SEPTIEMBRE]]</f>
        <v>1740</v>
      </c>
      <c r="AL77" s="19">
        <f>Programacion[[#This Row],[DEVENGADO JULIO]]+Programacion[[#This Row],[DEVENGADO AGOSTO]]+Programacion[[#This Row],[DEVENGADO SEPTIEMBRE]]</f>
        <v>1740</v>
      </c>
      <c r="AM77" s="19">
        <f>Programacion[[#This Row],[OCTUBRE]]+Programacion[[#This Row],[NOVIEMBRE]]+Programacion[[#This Row],[DICIEMBRE]]</f>
        <v>1740</v>
      </c>
      <c r="AN77" s="20">
        <f>Programacion[[#This Row],[DEVENGADO OCTUBRE]]+Programacion[[#This Row],[DEVENGADO NOVIEMBRE]]+Programacion[[#This Row],[DEVENGADO DICIEMBRE]]</f>
        <v>0</v>
      </c>
      <c r="AO77" s="20">
        <f>Programacion[[#This Row],[ENERO]]+Programacion[[#This Row],[FEBRERO]]+Programacion[[#This Row],[MARZO]]+Programacion[[#This Row],[ABRIL]]+Programacion[[#This Row],[MAYO]]+Programacion[[#This Row],[JUNIO]]</f>
        <v>0</v>
      </c>
      <c r="AP7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7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7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S7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T77" s="116"/>
    </row>
    <row r="78" spans="1:46" x14ac:dyDescent="0.25">
      <c r="A78" s="26" t="s">
        <v>81</v>
      </c>
      <c r="B78" s="27" t="s">
        <v>101</v>
      </c>
      <c r="C78" s="28" t="s">
        <v>56</v>
      </c>
      <c r="D78" s="28" t="s">
        <v>48</v>
      </c>
      <c r="E78" s="29">
        <v>3</v>
      </c>
      <c r="F78" s="30">
        <v>2.2999999999999998</v>
      </c>
      <c r="G78" s="28" t="s">
        <v>70</v>
      </c>
      <c r="H78" s="31"/>
      <c r="I78" s="31"/>
      <c r="J78" s="31">
        <v>5000</v>
      </c>
      <c r="K78" s="31">
        <v>5000</v>
      </c>
      <c r="L78" s="31">
        <v>5000</v>
      </c>
      <c r="M78" s="31">
        <v>5000</v>
      </c>
      <c r="N78" s="31">
        <v>5000</v>
      </c>
      <c r="O78" s="31">
        <v>5000</v>
      </c>
      <c r="P78" s="31">
        <v>5000</v>
      </c>
      <c r="Q78" s="31">
        <v>5000</v>
      </c>
      <c r="R78" s="31">
        <v>5000</v>
      </c>
      <c r="S78" s="31">
        <v>5000</v>
      </c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8" s="19">
        <f>Programacion[[#This Row],[ENERO]]+Programacion[[#This Row],[FEBRERO]]+Programacion[[#This Row],[MARZO]]</f>
        <v>10000</v>
      </c>
      <c r="AH78" s="19">
        <f>Programacion[[#This Row],[DEVENGADO ENERO]]+Programacion[[#This Row],[DEVENGADO FEBRERO]]+Programacion[[#This Row],[DEVENGADO MARZO]]</f>
        <v>10000</v>
      </c>
      <c r="AI78" s="19">
        <f>Programacion[[#This Row],[ABRIL]]+Programacion[[#This Row],[MAYO]]+Programacion[[#This Row],[JUNIO]]</f>
        <v>15000</v>
      </c>
      <c r="AJ78" s="19">
        <f>Programacion[[#This Row],[DEVENGADO ABRIL]]+Programacion[[#This Row],[DEVENGADO MAYO]]+Programacion[[#This Row],[DEVENGADO JUNIO]]</f>
        <v>15000</v>
      </c>
      <c r="AK78" s="19">
        <f>Programacion[[#This Row],[JULIO]]+Programacion[[#This Row],[AGOSTO]]+Programacion[[#This Row],[SEPTIEMBRE]]</f>
        <v>0</v>
      </c>
      <c r="AL78" s="19">
        <f>Programacion[[#This Row],[DEVENGADO JULIO]]+Programacion[[#This Row],[DEVENGADO AGOSTO]]+Programacion[[#This Row],[DEVENGADO SEPTIEMBRE]]</f>
        <v>0</v>
      </c>
      <c r="AM78" s="19">
        <f>Programacion[[#This Row],[OCTUBRE]]+Programacion[[#This Row],[NOVIEMBRE]]+Programacion[[#This Row],[DICIEMBRE]]</f>
        <v>0</v>
      </c>
      <c r="AN78" s="20">
        <f>Programacion[[#This Row],[DEVENGADO OCTUBRE]]+Programacion[[#This Row],[DEVENGADO NOVIEMBRE]]+Programacion[[#This Row],[DEVENGADO DICIEMBRE]]</f>
        <v>0</v>
      </c>
      <c r="AO78" s="20">
        <f>Programacion[[#This Row],[ENERO]]+Programacion[[#This Row],[FEBRERO]]+Programacion[[#This Row],[MARZO]]+Programacion[[#This Row],[ABRIL]]+Programacion[[#This Row],[MAYO]]+Programacion[[#This Row],[JUNIO]]</f>
        <v>25000</v>
      </c>
      <c r="AP7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8" s="116"/>
    </row>
    <row r="79" spans="1:46" x14ac:dyDescent="0.25">
      <c r="A79" s="26" t="s">
        <v>81</v>
      </c>
      <c r="B79" s="27" t="s">
        <v>102</v>
      </c>
      <c r="C79" s="28" t="s">
        <v>56</v>
      </c>
      <c r="D79" s="28" t="s">
        <v>48</v>
      </c>
      <c r="E79" s="29">
        <v>78</v>
      </c>
      <c r="F79" s="30">
        <v>2.2999999999999998</v>
      </c>
      <c r="G79" s="28" t="s">
        <v>70</v>
      </c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>
        <v>3000</v>
      </c>
      <c r="U79" s="31">
        <v>3000</v>
      </c>
      <c r="V79" s="31">
        <v>6000</v>
      </c>
      <c r="W79" s="31">
        <v>6000</v>
      </c>
      <c r="X79" s="31">
        <v>6000</v>
      </c>
      <c r="Y79" s="31"/>
      <c r="Z79" s="31">
        <v>5000</v>
      </c>
      <c r="AA79" s="31"/>
      <c r="AB79" s="31">
        <v>5000</v>
      </c>
      <c r="AC79" s="31"/>
      <c r="AD79" s="31">
        <v>5000</v>
      </c>
      <c r="AE79" s="31"/>
      <c r="AF7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9" s="19">
        <f>Programacion[[#This Row],[ENERO]]+Programacion[[#This Row],[FEBRERO]]+Programacion[[#This Row],[MARZO]]</f>
        <v>0</v>
      </c>
      <c r="AH79" s="19">
        <f>Programacion[[#This Row],[DEVENGADO ENERO]]+Programacion[[#This Row],[DEVENGADO FEBRERO]]+Programacion[[#This Row],[DEVENGADO MARZO]]</f>
        <v>0</v>
      </c>
      <c r="AI79" s="19">
        <f>Programacion[[#This Row],[ABRIL]]+Programacion[[#This Row],[MAYO]]+Programacion[[#This Row],[JUNIO]]</f>
        <v>0</v>
      </c>
      <c r="AJ79" s="19">
        <f>Programacion[[#This Row],[DEVENGADO ABRIL]]+Programacion[[#This Row],[DEVENGADO MAYO]]+Programacion[[#This Row],[DEVENGADO JUNIO]]</f>
        <v>0</v>
      </c>
      <c r="AK79" s="19">
        <f>Programacion[[#This Row],[JULIO]]+Programacion[[#This Row],[AGOSTO]]+Programacion[[#This Row],[SEPTIEMBRE]]</f>
        <v>15000</v>
      </c>
      <c r="AL79" s="19">
        <f>Programacion[[#This Row],[DEVENGADO JULIO]]+Programacion[[#This Row],[DEVENGADO AGOSTO]]+Programacion[[#This Row],[DEVENGADO SEPTIEMBRE]]</f>
        <v>9000</v>
      </c>
      <c r="AM79" s="19">
        <f>Programacion[[#This Row],[OCTUBRE]]+Programacion[[#This Row],[NOVIEMBRE]]+Programacion[[#This Row],[DICIEMBRE]]</f>
        <v>15000</v>
      </c>
      <c r="AN79" s="20">
        <f>Programacion[[#This Row],[DEVENGADO OCTUBRE]]+Programacion[[#This Row],[DEVENGADO NOVIEMBRE]]+Programacion[[#This Row],[DEVENGADO DICIEMBRE]]</f>
        <v>0</v>
      </c>
      <c r="AO79" s="20">
        <f>Programacion[[#This Row],[ENERO]]+Programacion[[#This Row],[FEBRERO]]+Programacion[[#This Row],[MARZO]]+Programacion[[#This Row],[ABRIL]]+Programacion[[#This Row],[MAYO]]+Programacion[[#This Row],[JUNIO]]</f>
        <v>0</v>
      </c>
      <c r="AP7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79" s="116"/>
    </row>
    <row r="80" spans="1:46" x14ac:dyDescent="0.25">
      <c r="A80" s="26" t="s">
        <v>81</v>
      </c>
      <c r="B80" s="27" t="s">
        <v>103</v>
      </c>
      <c r="C80" s="28" t="s">
        <v>56</v>
      </c>
      <c r="D80" s="28" t="s">
        <v>48</v>
      </c>
      <c r="E80" s="29">
        <v>3</v>
      </c>
      <c r="F80" s="30">
        <v>2.2999999999999998</v>
      </c>
      <c r="G80" s="28" t="s">
        <v>70</v>
      </c>
      <c r="H80" s="31"/>
      <c r="I80" s="31"/>
      <c r="J80" s="31">
        <v>5000</v>
      </c>
      <c r="K80" s="31">
        <v>5000</v>
      </c>
      <c r="L80" s="31">
        <v>5000</v>
      </c>
      <c r="M80" s="31">
        <v>5000</v>
      </c>
      <c r="N80" s="31">
        <v>5000</v>
      </c>
      <c r="O80" s="31">
        <v>5000</v>
      </c>
      <c r="P80" s="31">
        <v>5000</v>
      </c>
      <c r="Q80" s="31">
        <v>5000</v>
      </c>
      <c r="R80" s="31">
        <v>5000</v>
      </c>
      <c r="S80" s="31">
        <v>5000</v>
      </c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0" s="19">
        <f>Programacion[[#This Row],[ENERO]]+Programacion[[#This Row],[FEBRERO]]+Programacion[[#This Row],[MARZO]]</f>
        <v>10000</v>
      </c>
      <c r="AH80" s="19">
        <f>Programacion[[#This Row],[DEVENGADO ENERO]]+Programacion[[#This Row],[DEVENGADO FEBRERO]]+Programacion[[#This Row],[DEVENGADO MARZO]]</f>
        <v>10000</v>
      </c>
      <c r="AI80" s="19">
        <f>Programacion[[#This Row],[ABRIL]]+Programacion[[#This Row],[MAYO]]+Programacion[[#This Row],[JUNIO]]</f>
        <v>15000</v>
      </c>
      <c r="AJ80" s="19">
        <f>Programacion[[#This Row],[DEVENGADO ABRIL]]+Programacion[[#This Row],[DEVENGADO MAYO]]+Programacion[[#This Row],[DEVENGADO JUNIO]]</f>
        <v>15000</v>
      </c>
      <c r="AK80" s="19">
        <f>Programacion[[#This Row],[JULIO]]+Programacion[[#This Row],[AGOSTO]]+Programacion[[#This Row],[SEPTIEMBRE]]</f>
        <v>0</v>
      </c>
      <c r="AL80" s="19">
        <f>Programacion[[#This Row],[DEVENGADO JULIO]]+Programacion[[#This Row],[DEVENGADO AGOSTO]]+Programacion[[#This Row],[DEVENGADO SEPTIEMBRE]]</f>
        <v>0</v>
      </c>
      <c r="AM80" s="19">
        <f>Programacion[[#This Row],[OCTUBRE]]+Programacion[[#This Row],[NOVIEMBRE]]+Programacion[[#This Row],[DICIEMBRE]]</f>
        <v>0</v>
      </c>
      <c r="AN80" s="20">
        <f>Programacion[[#This Row],[DEVENGADO OCTUBRE]]+Programacion[[#This Row],[DEVENGADO NOVIEMBRE]]+Programacion[[#This Row],[DEVENGADO DICIEMBRE]]</f>
        <v>0</v>
      </c>
      <c r="AO80" s="20">
        <f>Programacion[[#This Row],[ENERO]]+Programacion[[#This Row],[FEBRERO]]+Programacion[[#This Row],[MARZO]]+Programacion[[#This Row],[ABRIL]]+Programacion[[#This Row],[MAYO]]+Programacion[[#This Row],[JUNIO]]</f>
        <v>25000</v>
      </c>
      <c r="AP8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0" s="116"/>
    </row>
    <row r="81" spans="1:46" x14ac:dyDescent="0.25">
      <c r="A81" s="26" t="s">
        <v>81</v>
      </c>
      <c r="B81" s="27" t="s">
        <v>104</v>
      </c>
      <c r="C81" s="28" t="s">
        <v>56</v>
      </c>
      <c r="D81" s="28" t="s">
        <v>48</v>
      </c>
      <c r="E81" s="29">
        <v>78</v>
      </c>
      <c r="F81" s="30">
        <v>2.2999999999999998</v>
      </c>
      <c r="G81" s="28" t="s">
        <v>70</v>
      </c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>
        <v>3000</v>
      </c>
      <c r="U81" s="31">
        <v>3000</v>
      </c>
      <c r="V81" s="31">
        <v>6000</v>
      </c>
      <c r="W81" s="31">
        <v>6000</v>
      </c>
      <c r="X81" s="31">
        <v>6000</v>
      </c>
      <c r="Y81" s="31"/>
      <c r="Z81" s="31">
        <v>5000</v>
      </c>
      <c r="AA81" s="31"/>
      <c r="AB81" s="31">
        <v>5000</v>
      </c>
      <c r="AC81" s="31"/>
      <c r="AD81" s="31">
        <v>5000</v>
      </c>
      <c r="AE81" s="31"/>
      <c r="AF8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1" s="19">
        <f>Programacion[[#This Row],[ENERO]]+Programacion[[#This Row],[FEBRERO]]+Programacion[[#This Row],[MARZO]]</f>
        <v>0</v>
      </c>
      <c r="AH81" s="19">
        <f>Programacion[[#This Row],[DEVENGADO ENERO]]+Programacion[[#This Row],[DEVENGADO FEBRERO]]+Programacion[[#This Row],[DEVENGADO MARZO]]</f>
        <v>0</v>
      </c>
      <c r="AI81" s="19">
        <f>Programacion[[#This Row],[ABRIL]]+Programacion[[#This Row],[MAYO]]+Programacion[[#This Row],[JUNIO]]</f>
        <v>0</v>
      </c>
      <c r="AJ81" s="19">
        <f>Programacion[[#This Row],[DEVENGADO ABRIL]]+Programacion[[#This Row],[DEVENGADO MAYO]]+Programacion[[#This Row],[DEVENGADO JUNIO]]</f>
        <v>0</v>
      </c>
      <c r="AK81" s="19">
        <f>Programacion[[#This Row],[JULIO]]+Programacion[[#This Row],[AGOSTO]]+Programacion[[#This Row],[SEPTIEMBRE]]</f>
        <v>15000</v>
      </c>
      <c r="AL81" s="19">
        <f>Programacion[[#This Row],[DEVENGADO JULIO]]+Programacion[[#This Row],[DEVENGADO AGOSTO]]+Programacion[[#This Row],[DEVENGADO SEPTIEMBRE]]</f>
        <v>9000</v>
      </c>
      <c r="AM81" s="19">
        <f>Programacion[[#This Row],[OCTUBRE]]+Programacion[[#This Row],[NOVIEMBRE]]+Programacion[[#This Row],[DICIEMBRE]]</f>
        <v>15000</v>
      </c>
      <c r="AN81" s="20">
        <f>Programacion[[#This Row],[DEVENGADO OCTUBRE]]+Programacion[[#This Row],[DEVENGADO NOVIEMBRE]]+Programacion[[#This Row],[DEVENGADO DICIEMBRE]]</f>
        <v>0</v>
      </c>
      <c r="AO81" s="20">
        <f>Programacion[[#This Row],[ENERO]]+Programacion[[#This Row],[FEBRERO]]+Programacion[[#This Row],[MARZO]]+Programacion[[#This Row],[ABRIL]]+Programacion[[#This Row],[MAYO]]+Programacion[[#This Row],[JUNIO]]</f>
        <v>0</v>
      </c>
      <c r="AP8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8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81" s="116"/>
    </row>
    <row r="82" spans="1:46" x14ac:dyDescent="0.25">
      <c r="A82" s="26" t="s">
        <v>81</v>
      </c>
      <c r="B82" s="32" t="s">
        <v>105</v>
      </c>
      <c r="C82" s="28" t="s">
        <v>56</v>
      </c>
      <c r="D82" s="28" t="s">
        <v>48</v>
      </c>
      <c r="E82" s="29">
        <v>3</v>
      </c>
      <c r="F82" s="30">
        <v>2.2999999999999998</v>
      </c>
      <c r="G82" s="28" t="s">
        <v>70</v>
      </c>
      <c r="H82" s="31"/>
      <c r="I82" s="31"/>
      <c r="J82" s="31"/>
      <c r="K82" s="31"/>
      <c r="L82" s="31">
        <v>5000</v>
      </c>
      <c r="M82" s="31">
        <v>5000</v>
      </c>
      <c r="N82" s="31">
        <v>5000</v>
      </c>
      <c r="O82" s="31">
        <v>5000</v>
      </c>
      <c r="P82" s="31">
        <v>5000</v>
      </c>
      <c r="Q82" s="31">
        <v>5000</v>
      </c>
      <c r="R82" s="31">
        <v>5000</v>
      </c>
      <c r="S82" s="31">
        <v>5000</v>
      </c>
      <c r="T82" s="31">
        <v>5000</v>
      </c>
      <c r="U82" s="31">
        <v>5000</v>
      </c>
      <c r="V82" s="31">
        <v>5000</v>
      </c>
      <c r="W82" s="31">
        <v>5000</v>
      </c>
      <c r="X82" s="31"/>
      <c r="Y82" s="31"/>
      <c r="Z82" s="31"/>
      <c r="AA82" s="31"/>
      <c r="AB82" s="31"/>
      <c r="AC82" s="31"/>
      <c r="AD82" s="31"/>
      <c r="AE82" s="31"/>
      <c r="AF8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2" s="19">
        <f>Programacion[[#This Row],[ENERO]]+Programacion[[#This Row],[FEBRERO]]+Programacion[[#This Row],[MARZO]]</f>
        <v>5000</v>
      </c>
      <c r="AH82" s="19">
        <f>Programacion[[#This Row],[DEVENGADO ENERO]]+Programacion[[#This Row],[DEVENGADO FEBRERO]]+Programacion[[#This Row],[DEVENGADO MARZO]]</f>
        <v>5000</v>
      </c>
      <c r="AI82" s="19">
        <f>Programacion[[#This Row],[ABRIL]]+Programacion[[#This Row],[MAYO]]+Programacion[[#This Row],[JUNIO]]</f>
        <v>15000</v>
      </c>
      <c r="AJ82" s="19">
        <f>Programacion[[#This Row],[DEVENGADO ABRIL]]+Programacion[[#This Row],[DEVENGADO MAYO]]+Programacion[[#This Row],[DEVENGADO JUNIO]]</f>
        <v>15000</v>
      </c>
      <c r="AK82" s="19">
        <f>Programacion[[#This Row],[JULIO]]+Programacion[[#This Row],[AGOSTO]]+Programacion[[#This Row],[SEPTIEMBRE]]</f>
        <v>10000</v>
      </c>
      <c r="AL82" s="19">
        <f>Programacion[[#This Row],[DEVENGADO JULIO]]+Programacion[[#This Row],[DEVENGADO AGOSTO]]+Programacion[[#This Row],[DEVENGADO SEPTIEMBRE]]</f>
        <v>10000</v>
      </c>
      <c r="AM82" s="19">
        <f>Programacion[[#This Row],[OCTUBRE]]+Programacion[[#This Row],[NOVIEMBRE]]+Programacion[[#This Row],[DICIEMBRE]]</f>
        <v>0</v>
      </c>
      <c r="AN82" s="20">
        <f>Programacion[[#This Row],[DEVENGADO OCTUBRE]]+Programacion[[#This Row],[DEVENGADO NOVIEMBRE]]+Programacion[[#This Row],[DEVENGADO DICIEMBRE]]</f>
        <v>0</v>
      </c>
      <c r="AO82" s="20">
        <f>Programacion[[#This Row],[ENERO]]+Programacion[[#This Row],[FEBRERO]]+Programacion[[#This Row],[MARZO]]+Programacion[[#This Row],[ABRIL]]+Programacion[[#This Row],[MAYO]]+Programacion[[#This Row],[JUNIO]]</f>
        <v>20000</v>
      </c>
      <c r="AP8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82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8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82" s="116"/>
    </row>
    <row r="83" spans="1:46" x14ac:dyDescent="0.25">
      <c r="A83" s="26" t="s">
        <v>81</v>
      </c>
      <c r="B83" s="32" t="s">
        <v>105</v>
      </c>
      <c r="C83" s="28" t="s">
        <v>56</v>
      </c>
      <c r="D83" s="28" t="s">
        <v>48</v>
      </c>
      <c r="E83" s="29">
        <v>78</v>
      </c>
      <c r="F83" s="30">
        <v>2.2999999999999998</v>
      </c>
      <c r="G83" s="28" t="s">
        <v>70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>
        <v>5000</v>
      </c>
      <c r="Y83" s="33"/>
      <c r="Z83" s="33">
        <v>5000</v>
      </c>
      <c r="AA83" s="33"/>
      <c r="AB83" s="33"/>
      <c r="AC83" s="33"/>
      <c r="AD83" s="33"/>
      <c r="AE83" s="33"/>
      <c r="AF8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83" s="33">
        <f>Programacion[[#This Row],[ENERO]]+Programacion[[#This Row],[FEBRERO]]+Programacion[[#This Row],[MARZO]]</f>
        <v>0</v>
      </c>
      <c r="AH83" s="33">
        <f>Programacion[[#This Row],[DEVENGADO ENERO]]+Programacion[[#This Row],[DEVENGADO FEBRERO]]+Programacion[[#This Row],[DEVENGADO MARZO]]</f>
        <v>0</v>
      </c>
      <c r="AI83" s="33">
        <f>Programacion[[#This Row],[ABRIL]]+Programacion[[#This Row],[MAYO]]+Programacion[[#This Row],[JUNIO]]</f>
        <v>0</v>
      </c>
      <c r="AJ83" s="33">
        <f>Programacion[[#This Row],[DEVENGADO ABRIL]]+Programacion[[#This Row],[DEVENGADO MAYO]]+Programacion[[#This Row],[DEVENGADO JUNIO]]</f>
        <v>0</v>
      </c>
      <c r="AK83" s="33">
        <f>Programacion[[#This Row],[JULIO]]+Programacion[[#This Row],[AGOSTO]]+Programacion[[#This Row],[SEPTIEMBRE]]</f>
        <v>5000</v>
      </c>
      <c r="AL83" s="33">
        <f>Programacion[[#This Row],[DEVENGADO JULIO]]+Programacion[[#This Row],[DEVENGADO AGOSTO]]+Programacion[[#This Row],[DEVENGADO SEPTIEMBRE]]</f>
        <v>0</v>
      </c>
      <c r="AM83" s="33">
        <f>Programacion[[#This Row],[OCTUBRE]]+Programacion[[#This Row],[NOVIEMBRE]]+Programacion[[#This Row],[DICIEMBRE]]</f>
        <v>5000</v>
      </c>
      <c r="AN83" s="21">
        <f>Programacion[[#This Row],[DEVENGADO OCTUBRE]]+Programacion[[#This Row],[DEVENGADO NOVIEMBRE]]+Programacion[[#This Row],[DEVENGADO DICIEMBRE]]</f>
        <v>0</v>
      </c>
      <c r="AO83" s="21">
        <f>Programacion[[#This Row],[ENERO]]+Programacion[[#This Row],[FEBRERO]]+Programacion[[#This Row],[MARZO]]+Programacion[[#This Row],[ABRIL]]+Programacion[[#This Row],[MAYO]]+Programacion[[#This Row],[JUNIO]]</f>
        <v>0</v>
      </c>
      <c r="AP8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3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3" s="116"/>
    </row>
    <row r="84" spans="1:46" x14ac:dyDescent="0.25">
      <c r="A84" s="26" t="s">
        <v>81</v>
      </c>
      <c r="B84" s="32" t="s">
        <v>105</v>
      </c>
      <c r="C84" s="28" t="s">
        <v>56</v>
      </c>
      <c r="D84" s="28" t="s">
        <v>48</v>
      </c>
      <c r="E84" s="29">
        <v>3</v>
      </c>
      <c r="F84" s="30">
        <v>2.2999999999999998</v>
      </c>
      <c r="G84" s="28" t="s">
        <v>70</v>
      </c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>
        <v>5000</v>
      </c>
      <c r="AC84" s="147"/>
      <c r="AD84" s="147">
        <v>5000</v>
      </c>
      <c r="AE84" s="147"/>
      <c r="AF84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84" s="147">
        <f>Programacion[[#This Row],[ENERO]]+Programacion[[#This Row],[FEBRERO]]+Programacion[[#This Row],[MARZO]]</f>
        <v>0</v>
      </c>
      <c r="AH84" s="147">
        <f>Programacion[[#This Row],[DEVENGADO ENERO]]+Programacion[[#This Row],[DEVENGADO FEBRERO]]+Programacion[[#This Row],[DEVENGADO MARZO]]</f>
        <v>0</v>
      </c>
      <c r="AI84" s="147">
        <f>Programacion[[#This Row],[ABRIL]]+Programacion[[#This Row],[MAYO]]+Programacion[[#This Row],[JUNIO]]</f>
        <v>0</v>
      </c>
      <c r="AJ84" s="147">
        <f>Programacion[[#This Row],[DEVENGADO ABRIL]]+Programacion[[#This Row],[DEVENGADO MAYO]]+Programacion[[#This Row],[DEVENGADO JUNIO]]</f>
        <v>0</v>
      </c>
      <c r="AK84" s="147">
        <f>Programacion[[#This Row],[JULIO]]+Programacion[[#This Row],[AGOSTO]]+Programacion[[#This Row],[SEPTIEMBRE]]</f>
        <v>0</v>
      </c>
      <c r="AL84" s="147">
        <f>Programacion[[#This Row],[DEVENGADO JULIO]]+Programacion[[#This Row],[DEVENGADO AGOSTO]]+Programacion[[#This Row],[DEVENGADO SEPTIEMBRE]]</f>
        <v>0</v>
      </c>
      <c r="AM84" s="147">
        <f>Programacion[[#This Row],[OCTUBRE]]+Programacion[[#This Row],[NOVIEMBRE]]+Programacion[[#This Row],[DICIEMBRE]]</f>
        <v>10000</v>
      </c>
      <c r="AN84" s="149">
        <f>Programacion[[#This Row],[DEVENGADO OCTUBRE]]+Programacion[[#This Row],[DEVENGADO NOVIEMBRE]]+Programacion[[#This Row],[DEVENGADO DICIEMBRE]]</f>
        <v>0</v>
      </c>
      <c r="AO84" s="149">
        <f>Programacion[[#This Row],[ENERO]]+Programacion[[#This Row],[FEBRERO]]+Programacion[[#This Row],[MARZO]]+Programacion[[#This Row],[ABRIL]]+Programacion[[#This Row],[MAYO]]+Programacion[[#This Row],[JUNIO]]</f>
        <v>0</v>
      </c>
      <c r="AP84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149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4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4" s="116"/>
    </row>
    <row r="85" spans="1:46" x14ac:dyDescent="0.25">
      <c r="A85" s="26" t="s">
        <v>81</v>
      </c>
      <c r="B85" s="32" t="s">
        <v>240</v>
      </c>
      <c r="C85" s="28" t="s">
        <v>56</v>
      </c>
      <c r="D85" s="28" t="s">
        <v>48</v>
      </c>
      <c r="E85" s="29">
        <v>78</v>
      </c>
      <c r="F85" s="30">
        <v>2.2999999999999998</v>
      </c>
      <c r="G85" s="28" t="s">
        <v>70</v>
      </c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>
        <v>4000</v>
      </c>
      <c r="W85" s="31">
        <v>4000</v>
      </c>
      <c r="X85" s="31">
        <v>4000</v>
      </c>
      <c r="Y85" s="31"/>
      <c r="Z85" s="31">
        <v>4000</v>
      </c>
      <c r="AA85" s="31"/>
      <c r="AB85" s="31"/>
      <c r="AC85" s="31"/>
      <c r="AD85" s="31"/>
      <c r="AE85" s="31"/>
      <c r="AF8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85" s="19">
        <f>Programacion[[#This Row],[ENERO]]+Programacion[[#This Row],[FEBRERO]]+Programacion[[#This Row],[MARZO]]</f>
        <v>0</v>
      </c>
      <c r="AH85" s="19">
        <f>Programacion[[#This Row],[DEVENGADO ENERO]]+Programacion[[#This Row],[DEVENGADO FEBRERO]]+Programacion[[#This Row],[DEVENGADO MARZO]]</f>
        <v>0</v>
      </c>
      <c r="AI85" s="19">
        <f>Programacion[[#This Row],[ABRIL]]+Programacion[[#This Row],[MAYO]]+Programacion[[#This Row],[JUNIO]]</f>
        <v>0</v>
      </c>
      <c r="AJ85" s="19">
        <f>Programacion[[#This Row],[DEVENGADO ABRIL]]+Programacion[[#This Row],[DEVENGADO MAYO]]+Programacion[[#This Row],[DEVENGADO JUNIO]]</f>
        <v>0</v>
      </c>
      <c r="AK85" s="19">
        <f>Programacion[[#This Row],[JULIO]]+Programacion[[#This Row],[AGOSTO]]+Programacion[[#This Row],[SEPTIEMBRE]]</f>
        <v>8000</v>
      </c>
      <c r="AL85" s="19">
        <f>Programacion[[#This Row],[DEVENGADO JULIO]]+Programacion[[#This Row],[DEVENGADO AGOSTO]]+Programacion[[#This Row],[DEVENGADO SEPTIEMBRE]]</f>
        <v>4000</v>
      </c>
      <c r="AM85" s="19">
        <f>Programacion[[#This Row],[OCTUBRE]]+Programacion[[#This Row],[NOVIEMBRE]]+Programacion[[#This Row],[DICIEMBRE]]</f>
        <v>4000</v>
      </c>
      <c r="AN85" s="20">
        <f>Programacion[[#This Row],[DEVENGADO OCTUBRE]]+Programacion[[#This Row],[DEVENGADO NOVIEMBRE]]+Programacion[[#This Row],[DEVENGADO DICIEMBRE]]</f>
        <v>0</v>
      </c>
      <c r="AO85" s="20">
        <f>Programacion[[#This Row],[ENERO]]+Programacion[[#This Row],[FEBRERO]]+Programacion[[#This Row],[MARZO]]+Programacion[[#This Row],[ABRIL]]+Programacion[[#This Row],[MAYO]]+Programacion[[#This Row],[JUNIO]]</f>
        <v>0</v>
      </c>
      <c r="AP8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8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8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85" s="116"/>
    </row>
    <row r="86" spans="1:46" x14ac:dyDescent="0.25">
      <c r="A86" s="26" t="s">
        <v>81</v>
      </c>
      <c r="B86" s="32" t="s">
        <v>240</v>
      </c>
      <c r="C86" s="28" t="s">
        <v>56</v>
      </c>
      <c r="D86" s="28" t="s">
        <v>48</v>
      </c>
      <c r="E86" s="29">
        <v>78</v>
      </c>
      <c r="F86" s="30">
        <v>2.2999999999999998</v>
      </c>
      <c r="G86" s="28" t="s">
        <v>70</v>
      </c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>
        <v>4000</v>
      </c>
      <c r="AC86" s="147"/>
      <c r="AD86" s="147">
        <v>4000</v>
      </c>
      <c r="AE86" s="147"/>
      <c r="AF86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86" s="147">
        <f>Programacion[[#This Row],[ENERO]]+Programacion[[#This Row],[FEBRERO]]+Programacion[[#This Row],[MARZO]]</f>
        <v>0</v>
      </c>
      <c r="AH86" s="147">
        <f>Programacion[[#This Row],[DEVENGADO ENERO]]+Programacion[[#This Row],[DEVENGADO FEBRERO]]+Programacion[[#This Row],[DEVENGADO MARZO]]</f>
        <v>0</v>
      </c>
      <c r="AI86" s="147">
        <f>Programacion[[#This Row],[ABRIL]]+Programacion[[#This Row],[MAYO]]+Programacion[[#This Row],[JUNIO]]</f>
        <v>0</v>
      </c>
      <c r="AJ86" s="147">
        <f>Programacion[[#This Row],[DEVENGADO ABRIL]]+Programacion[[#This Row],[DEVENGADO MAYO]]+Programacion[[#This Row],[DEVENGADO JUNIO]]</f>
        <v>0</v>
      </c>
      <c r="AK86" s="147">
        <f>Programacion[[#This Row],[JULIO]]+Programacion[[#This Row],[AGOSTO]]+Programacion[[#This Row],[SEPTIEMBRE]]</f>
        <v>0</v>
      </c>
      <c r="AL86" s="147">
        <f>Programacion[[#This Row],[DEVENGADO JULIO]]+Programacion[[#This Row],[DEVENGADO AGOSTO]]+Programacion[[#This Row],[DEVENGADO SEPTIEMBRE]]</f>
        <v>0</v>
      </c>
      <c r="AM86" s="147">
        <f>Programacion[[#This Row],[OCTUBRE]]+Programacion[[#This Row],[NOVIEMBRE]]+Programacion[[#This Row],[DICIEMBRE]]</f>
        <v>8000</v>
      </c>
      <c r="AN86" s="149">
        <f>Programacion[[#This Row],[DEVENGADO OCTUBRE]]+Programacion[[#This Row],[DEVENGADO NOVIEMBRE]]+Programacion[[#This Row],[DEVENGADO DICIEMBRE]]</f>
        <v>0</v>
      </c>
      <c r="AO86" s="149">
        <f>Programacion[[#This Row],[ENERO]]+Programacion[[#This Row],[FEBRERO]]+Programacion[[#This Row],[MARZO]]+Programacion[[#This Row],[ABRIL]]+Programacion[[#This Row],[MAYO]]+Programacion[[#This Row],[JUNIO]]</f>
        <v>0</v>
      </c>
      <c r="AP86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149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86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6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6" s="116"/>
    </row>
    <row r="87" spans="1:46" ht="30" x14ac:dyDescent="0.25">
      <c r="A87" s="101" t="s">
        <v>81</v>
      </c>
      <c r="B87" s="102" t="s">
        <v>235</v>
      </c>
      <c r="C87" s="28" t="s">
        <v>106</v>
      </c>
      <c r="D87" s="103" t="s">
        <v>48</v>
      </c>
      <c r="E87" s="104">
        <v>78</v>
      </c>
      <c r="F87" s="105">
        <v>2.2999999999999998</v>
      </c>
      <c r="G87" s="103" t="s">
        <v>122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>
        <v>660</v>
      </c>
      <c r="AE87" s="33"/>
      <c r="AF8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87" s="33">
        <f>Programacion[[#This Row],[ENERO]]+Programacion[[#This Row],[FEBRERO]]+Programacion[[#This Row],[MARZO]]</f>
        <v>0</v>
      </c>
      <c r="AH87" s="33">
        <f>Programacion[[#This Row],[DEVENGADO ENERO]]+Programacion[[#This Row],[DEVENGADO FEBRERO]]+Programacion[[#This Row],[DEVENGADO MARZO]]</f>
        <v>0</v>
      </c>
      <c r="AI87" s="33">
        <f>Programacion[[#This Row],[ABRIL]]+Programacion[[#This Row],[MAYO]]+Programacion[[#This Row],[JUNIO]]</f>
        <v>0</v>
      </c>
      <c r="AJ87" s="33">
        <f>Programacion[[#This Row],[DEVENGADO ABRIL]]+Programacion[[#This Row],[DEVENGADO MAYO]]+Programacion[[#This Row],[DEVENGADO JUNIO]]</f>
        <v>0</v>
      </c>
      <c r="AK87" s="33">
        <f>Programacion[[#This Row],[JULIO]]+Programacion[[#This Row],[AGOSTO]]+Programacion[[#This Row],[SEPTIEMBRE]]</f>
        <v>0</v>
      </c>
      <c r="AL87" s="33">
        <f>Programacion[[#This Row],[DEVENGADO JULIO]]+Programacion[[#This Row],[DEVENGADO AGOSTO]]+Programacion[[#This Row],[DEVENGADO SEPTIEMBRE]]</f>
        <v>0</v>
      </c>
      <c r="AM87" s="33">
        <f>Programacion[[#This Row],[OCTUBRE]]+Programacion[[#This Row],[NOVIEMBRE]]+Programacion[[#This Row],[DICIEMBRE]]</f>
        <v>660</v>
      </c>
      <c r="AN87" s="21">
        <f>Programacion[[#This Row],[DEVENGADO OCTUBRE]]+Programacion[[#This Row],[DEVENGADO NOVIEMBRE]]+Programacion[[#This Row],[DEVENGADO DICIEMBRE]]</f>
        <v>0</v>
      </c>
      <c r="AO87" s="21">
        <f>Programacion[[#This Row],[ENERO]]+Programacion[[#This Row],[FEBRERO]]+Programacion[[#This Row],[MARZO]]+Programacion[[#This Row],[ABRIL]]+Programacion[[#This Row],[MAYO]]+Programacion[[#This Row],[JUNIO]]</f>
        <v>0</v>
      </c>
      <c r="AP8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8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7" s="116"/>
    </row>
    <row r="88" spans="1:46" ht="30" x14ac:dyDescent="0.25">
      <c r="A88" s="26" t="s">
        <v>81</v>
      </c>
      <c r="B88" s="32" t="s">
        <v>106</v>
      </c>
      <c r="C88" s="28" t="s">
        <v>106</v>
      </c>
      <c r="D88" s="28" t="s">
        <v>48</v>
      </c>
      <c r="E88" s="29">
        <v>78</v>
      </c>
      <c r="F88" s="30">
        <v>2.2999999999999998</v>
      </c>
      <c r="G88" s="28" t="s">
        <v>107</v>
      </c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>
        <v>602.66999999999996</v>
      </c>
      <c r="U88" s="31">
        <v>602.66999999999996</v>
      </c>
      <c r="V88" s="31">
        <v>1130</v>
      </c>
      <c r="W88" s="31">
        <v>1054.67</v>
      </c>
      <c r="X88" s="31">
        <v>1130</v>
      </c>
      <c r="Y88" s="31"/>
      <c r="Z88" s="31">
        <v>1130</v>
      </c>
      <c r="AA88" s="31"/>
      <c r="AB88" s="31">
        <v>1130</v>
      </c>
      <c r="AC88" s="31"/>
      <c r="AD88" s="31">
        <v>1130</v>
      </c>
      <c r="AE88" s="31"/>
      <c r="AF8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88" s="19">
        <f>Programacion[[#This Row],[ENERO]]+Programacion[[#This Row],[FEBRERO]]+Programacion[[#This Row],[MARZO]]</f>
        <v>0</v>
      </c>
      <c r="AH88" s="19">
        <f>Programacion[[#This Row],[DEVENGADO ENERO]]+Programacion[[#This Row],[DEVENGADO FEBRERO]]+Programacion[[#This Row],[DEVENGADO MARZO]]</f>
        <v>0</v>
      </c>
      <c r="AI88" s="19">
        <f>Programacion[[#This Row],[ABRIL]]+Programacion[[#This Row],[MAYO]]+Programacion[[#This Row],[JUNIO]]</f>
        <v>0</v>
      </c>
      <c r="AJ88" s="19">
        <f>Programacion[[#This Row],[DEVENGADO ABRIL]]+Programacion[[#This Row],[DEVENGADO MAYO]]+Programacion[[#This Row],[DEVENGADO JUNIO]]</f>
        <v>0</v>
      </c>
      <c r="AK88" s="19">
        <f>Programacion[[#This Row],[JULIO]]+Programacion[[#This Row],[AGOSTO]]+Programacion[[#This Row],[SEPTIEMBRE]]</f>
        <v>2862.67</v>
      </c>
      <c r="AL88" s="19">
        <f>Programacion[[#This Row],[DEVENGADO JULIO]]+Programacion[[#This Row],[DEVENGADO AGOSTO]]+Programacion[[#This Row],[DEVENGADO SEPTIEMBRE]]</f>
        <v>1657.3400000000001</v>
      </c>
      <c r="AM88" s="19">
        <f>Programacion[[#This Row],[OCTUBRE]]+Programacion[[#This Row],[NOVIEMBRE]]+Programacion[[#This Row],[DICIEMBRE]]</f>
        <v>3390</v>
      </c>
      <c r="AN88" s="20">
        <f>Programacion[[#This Row],[DEVENGADO OCTUBRE]]+Programacion[[#This Row],[DEVENGADO NOVIEMBRE]]+Programacion[[#This Row],[DEVENGADO DICIEMBRE]]</f>
        <v>0</v>
      </c>
      <c r="AO88" s="20">
        <f>Programacion[[#This Row],[ENERO]]+Programacion[[#This Row],[FEBRERO]]+Programacion[[#This Row],[MARZO]]+Programacion[[#This Row],[ABRIL]]+Programacion[[#This Row],[MAYO]]+Programacion[[#This Row],[JUNIO]]</f>
        <v>0</v>
      </c>
      <c r="AP8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20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8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S8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T88" s="116"/>
    </row>
    <row r="89" spans="1:46" x14ac:dyDescent="0.25">
      <c r="A89" s="26" t="s">
        <v>81</v>
      </c>
      <c r="B89" s="32" t="s">
        <v>108</v>
      </c>
      <c r="C89" s="28" t="s">
        <v>56</v>
      </c>
      <c r="D89" s="28" t="s">
        <v>48</v>
      </c>
      <c r="E89" s="29">
        <v>39</v>
      </c>
      <c r="F89" s="30">
        <v>2.2999999999999998</v>
      </c>
      <c r="G89" s="28" t="s">
        <v>70</v>
      </c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>
        <v>1130</v>
      </c>
      <c r="S89" s="31"/>
      <c r="T89" s="31"/>
      <c r="U89" s="31">
        <v>1130</v>
      </c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89" s="33">
        <f>Programacion[[#This Row],[ENERO]]+Programacion[[#This Row],[FEBRERO]]+Programacion[[#This Row],[MARZO]]</f>
        <v>0</v>
      </c>
      <c r="AH89" s="33">
        <f>Programacion[[#This Row],[DEVENGADO ENERO]]+Programacion[[#This Row],[DEVENGADO FEBRERO]]+Programacion[[#This Row],[DEVENGADO MARZO]]</f>
        <v>0</v>
      </c>
      <c r="AI89" s="33">
        <f>Programacion[[#This Row],[ABRIL]]+Programacion[[#This Row],[MAYO]]+Programacion[[#This Row],[JUNIO]]</f>
        <v>1130</v>
      </c>
      <c r="AJ89" s="33">
        <f>Programacion[[#This Row],[DEVENGADO ABRIL]]+Programacion[[#This Row],[DEVENGADO MAYO]]+Programacion[[#This Row],[DEVENGADO JUNIO]]</f>
        <v>0</v>
      </c>
      <c r="AK89" s="33">
        <f>Programacion[[#This Row],[JULIO]]+Programacion[[#This Row],[AGOSTO]]+Programacion[[#This Row],[SEPTIEMBRE]]</f>
        <v>0</v>
      </c>
      <c r="AL89" s="33">
        <f>Programacion[[#This Row],[DEVENGADO JULIO]]+Programacion[[#This Row],[DEVENGADO AGOSTO]]+Programacion[[#This Row],[DEVENGADO SEPTIEMBRE]]</f>
        <v>1130</v>
      </c>
      <c r="AM89" s="33">
        <f>Programacion[[#This Row],[OCTUBRE]]+Programacion[[#This Row],[NOVIEMBRE]]+Programacion[[#This Row],[DICIEMBRE]]</f>
        <v>0</v>
      </c>
      <c r="AN89" s="21">
        <f>Programacion[[#This Row],[DEVENGADO OCTUBRE]]+Programacion[[#This Row],[DEVENGADO NOVIEMBRE]]+Programacion[[#This Row],[DEVENGADO DICIEMBRE]]</f>
        <v>0</v>
      </c>
      <c r="AO89" s="21">
        <f>Programacion[[#This Row],[ENERO]]+Programacion[[#This Row],[FEBRERO]]+Programacion[[#This Row],[MARZO]]+Programacion[[#This Row],[ABRIL]]+Programacion[[#This Row],[MAYO]]+Programacion[[#This Row],[JUNIO]]</f>
        <v>1130</v>
      </c>
      <c r="AP8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8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89" s="116"/>
    </row>
    <row r="90" spans="1:46" ht="30" x14ac:dyDescent="0.25">
      <c r="A90" s="26" t="s">
        <v>81</v>
      </c>
      <c r="B90" s="114" t="s">
        <v>225</v>
      </c>
      <c r="C90" s="103" t="s">
        <v>47</v>
      </c>
      <c r="D90" s="28" t="s">
        <v>48</v>
      </c>
      <c r="E90" s="104">
        <v>78</v>
      </c>
      <c r="F90" s="30">
        <v>2.2999999999999998</v>
      </c>
      <c r="G90" s="28" t="s">
        <v>49</v>
      </c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1">
        <v>1550</v>
      </c>
      <c r="S90" s="33"/>
      <c r="T90" s="33"/>
      <c r="U90" s="33">
        <v>1123.99</v>
      </c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90" s="33">
        <f>Programacion[[#This Row],[ENERO]]+Programacion[[#This Row],[FEBRERO]]+Programacion[[#This Row],[MARZO]]</f>
        <v>0</v>
      </c>
      <c r="AH90" s="33">
        <f>Programacion[[#This Row],[DEVENGADO ENERO]]+Programacion[[#This Row],[DEVENGADO FEBRERO]]+Programacion[[#This Row],[DEVENGADO MARZO]]</f>
        <v>0</v>
      </c>
      <c r="AI90" s="33">
        <f>Programacion[[#This Row],[ABRIL]]+Programacion[[#This Row],[MAYO]]+Programacion[[#This Row],[JUNIO]]</f>
        <v>1550</v>
      </c>
      <c r="AJ90" s="33">
        <f>Programacion[[#This Row],[DEVENGADO ABRIL]]+Programacion[[#This Row],[DEVENGADO MAYO]]+Programacion[[#This Row],[DEVENGADO JUNIO]]</f>
        <v>0</v>
      </c>
      <c r="AK90" s="33">
        <f>Programacion[[#This Row],[JULIO]]+Programacion[[#This Row],[AGOSTO]]+Programacion[[#This Row],[SEPTIEMBRE]]</f>
        <v>0</v>
      </c>
      <c r="AL90" s="33">
        <f>Programacion[[#This Row],[DEVENGADO JULIO]]+Programacion[[#This Row],[DEVENGADO AGOSTO]]+Programacion[[#This Row],[DEVENGADO SEPTIEMBRE]]</f>
        <v>1123.99</v>
      </c>
      <c r="AM90" s="33">
        <f>Programacion[[#This Row],[OCTUBRE]]+Programacion[[#This Row],[NOVIEMBRE]]+Programacion[[#This Row],[DICIEMBRE]]</f>
        <v>0</v>
      </c>
      <c r="AN90" s="21">
        <f>Programacion[[#This Row],[DEVENGADO OCTUBRE]]+Programacion[[#This Row],[DEVENGADO NOVIEMBRE]]+Programacion[[#This Row],[DEVENGADO DICIEMBRE]]</f>
        <v>0</v>
      </c>
      <c r="AO90" s="21">
        <f>Programacion[[#This Row],[ENERO]]+Programacion[[#This Row],[FEBRERO]]+Programacion[[#This Row],[MARZO]]+Programacion[[#This Row],[ABRIL]]+Programacion[[#This Row],[MAYO]]+Programacion[[#This Row],[JUNIO]]</f>
        <v>1550</v>
      </c>
      <c r="AP9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90" s="116"/>
    </row>
    <row r="91" spans="1:46" x14ac:dyDescent="0.25">
      <c r="A91" s="26" t="s">
        <v>81</v>
      </c>
      <c r="B91" s="114" t="s">
        <v>276</v>
      </c>
      <c r="C91" s="103" t="s">
        <v>47</v>
      </c>
      <c r="D91" s="28" t="s">
        <v>48</v>
      </c>
      <c r="E91" s="104">
        <v>78</v>
      </c>
      <c r="F91" s="30">
        <v>2.2999999999999998</v>
      </c>
      <c r="G91" s="28" t="s">
        <v>51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1">
        <v>3280</v>
      </c>
      <c r="S91" s="33"/>
      <c r="T91" s="33"/>
      <c r="U91" s="33">
        <v>2156</v>
      </c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91" s="33">
        <f>Programacion[[#This Row],[ENERO]]+Programacion[[#This Row],[FEBRERO]]+Programacion[[#This Row],[MARZO]]</f>
        <v>0</v>
      </c>
      <c r="AH91" s="33">
        <f>Programacion[[#This Row],[DEVENGADO ENERO]]+Programacion[[#This Row],[DEVENGADO FEBRERO]]+Programacion[[#This Row],[DEVENGADO MARZO]]</f>
        <v>0</v>
      </c>
      <c r="AI91" s="33">
        <f>Programacion[[#This Row],[ABRIL]]+Programacion[[#This Row],[MAYO]]+Programacion[[#This Row],[JUNIO]]</f>
        <v>3280</v>
      </c>
      <c r="AJ91" s="33">
        <f>Programacion[[#This Row],[DEVENGADO ABRIL]]+Programacion[[#This Row],[DEVENGADO MAYO]]+Programacion[[#This Row],[DEVENGADO JUNIO]]</f>
        <v>0</v>
      </c>
      <c r="AK91" s="33">
        <f>Programacion[[#This Row],[JULIO]]+Programacion[[#This Row],[AGOSTO]]+Programacion[[#This Row],[SEPTIEMBRE]]</f>
        <v>0</v>
      </c>
      <c r="AL91" s="33">
        <f>Programacion[[#This Row],[DEVENGADO JULIO]]+Programacion[[#This Row],[DEVENGADO AGOSTO]]+Programacion[[#This Row],[DEVENGADO SEPTIEMBRE]]</f>
        <v>2156</v>
      </c>
      <c r="AM91" s="33">
        <f>Programacion[[#This Row],[OCTUBRE]]+Programacion[[#This Row],[NOVIEMBRE]]+Programacion[[#This Row],[DICIEMBRE]]</f>
        <v>0</v>
      </c>
      <c r="AN91" s="21">
        <f>Programacion[[#This Row],[DEVENGADO OCTUBRE]]+Programacion[[#This Row],[DEVENGADO NOVIEMBRE]]+Programacion[[#This Row],[DEVENGADO DICIEMBRE]]</f>
        <v>0</v>
      </c>
      <c r="AO91" s="21">
        <f>Programacion[[#This Row],[ENERO]]+Programacion[[#This Row],[FEBRERO]]+Programacion[[#This Row],[MARZO]]+Programacion[[#This Row],[ABRIL]]+Programacion[[#This Row],[MAYO]]+Programacion[[#This Row],[JUNIO]]</f>
        <v>3280</v>
      </c>
      <c r="AP9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9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91" s="116"/>
    </row>
    <row r="92" spans="1:46" x14ac:dyDescent="0.25">
      <c r="A92" s="26" t="s">
        <v>81</v>
      </c>
      <c r="B92" s="114" t="s">
        <v>277</v>
      </c>
      <c r="C92" s="103" t="s">
        <v>47</v>
      </c>
      <c r="D92" s="28" t="s">
        <v>48</v>
      </c>
      <c r="E92" s="104">
        <v>78</v>
      </c>
      <c r="F92" s="30">
        <v>2.2999999999999998</v>
      </c>
      <c r="G92" s="28" t="s">
        <v>228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1">
        <v>829</v>
      </c>
      <c r="S92" s="33">
        <v>829</v>
      </c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92" s="33">
        <f>Programacion[[#This Row],[ENERO]]+Programacion[[#This Row],[FEBRERO]]+Programacion[[#This Row],[MARZO]]</f>
        <v>0</v>
      </c>
      <c r="AH92" s="33">
        <f>Programacion[[#This Row],[DEVENGADO ENERO]]+Programacion[[#This Row],[DEVENGADO FEBRERO]]+Programacion[[#This Row],[DEVENGADO MARZO]]</f>
        <v>0</v>
      </c>
      <c r="AI92" s="33">
        <f>Programacion[[#This Row],[ABRIL]]+Programacion[[#This Row],[MAYO]]+Programacion[[#This Row],[JUNIO]]</f>
        <v>829</v>
      </c>
      <c r="AJ92" s="33">
        <f>Programacion[[#This Row],[DEVENGADO ABRIL]]+Programacion[[#This Row],[DEVENGADO MAYO]]+Programacion[[#This Row],[DEVENGADO JUNIO]]</f>
        <v>829</v>
      </c>
      <c r="AK92" s="33">
        <f>Programacion[[#This Row],[JULIO]]+Programacion[[#This Row],[AGOSTO]]+Programacion[[#This Row],[SEPTIEMBRE]]</f>
        <v>0</v>
      </c>
      <c r="AL92" s="33">
        <f>Programacion[[#This Row],[DEVENGADO JULIO]]+Programacion[[#This Row],[DEVENGADO AGOSTO]]+Programacion[[#This Row],[DEVENGADO SEPTIEMBRE]]</f>
        <v>0</v>
      </c>
      <c r="AM92" s="33">
        <f>Programacion[[#This Row],[OCTUBRE]]+Programacion[[#This Row],[NOVIEMBRE]]+Programacion[[#This Row],[DICIEMBRE]]</f>
        <v>0</v>
      </c>
      <c r="AN92" s="21">
        <f>Programacion[[#This Row],[DEVENGADO OCTUBRE]]+Programacion[[#This Row],[DEVENGADO NOVIEMBRE]]+Programacion[[#This Row],[DEVENGADO DICIEMBRE]]</f>
        <v>0</v>
      </c>
      <c r="AO92" s="21">
        <f>Programacion[[#This Row],[ENERO]]+Programacion[[#This Row],[FEBRERO]]+Programacion[[#This Row],[MARZO]]+Programacion[[#This Row],[ABRIL]]+Programacion[[#This Row],[MAYO]]+Programacion[[#This Row],[JUNIO]]</f>
        <v>829</v>
      </c>
      <c r="AP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9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92" s="116"/>
    </row>
    <row r="93" spans="1:46" x14ac:dyDescent="0.25">
      <c r="A93" s="26" t="s">
        <v>81</v>
      </c>
      <c r="B93" s="114" t="s">
        <v>278</v>
      </c>
      <c r="C93" s="103" t="s">
        <v>47</v>
      </c>
      <c r="D93" s="28" t="s">
        <v>48</v>
      </c>
      <c r="E93" s="104">
        <v>78</v>
      </c>
      <c r="F93" s="30">
        <v>2.2999999999999998</v>
      </c>
      <c r="G93" s="28" t="s">
        <v>229</v>
      </c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1">
        <v>3500</v>
      </c>
      <c r="S93" s="33">
        <v>3500</v>
      </c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93" s="33">
        <f>Programacion[[#This Row],[ENERO]]+Programacion[[#This Row],[FEBRERO]]+Programacion[[#This Row],[MARZO]]</f>
        <v>0</v>
      </c>
      <c r="AH93" s="33">
        <f>Programacion[[#This Row],[DEVENGADO ENERO]]+Programacion[[#This Row],[DEVENGADO FEBRERO]]+Programacion[[#This Row],[DEVENGADO MARZO]]</f>
        <v>0</v>
      </c>
      <c r="AI93" s="33">
        <f>Programacion[[#This Row],[ABRIL]]+Programacion[[#This Row],[MAYO]]+Programacion[[#This Row],[JUNIO]]</f>
        <v>3500</v>
      </c>
      <c r="AJ93" s="33">
        <f>Programacion[[#This Row],[DEVENGADO ABRIL]]+Programacion[[#This Row],[DEVENGADO MAYO]]+Programacion[[#This Row],[DEVENGADO JUNIO]]</f>
        <v>3500</v>
      </c>
      <c r="AK93" s="33">
        <f>Programacion[[#This Row],[JULIO]]+Programacion[[#This Row],[AGOSTO]]+Programacion[[#This Row],[SEPTIEMBRE]]</f>
        <v>0</v>
      </c>
      <c r="AL93" s="33">
        <f>Programacion[[#This Row],[DEVENGADO JULIO]]+Programacion[[#This Row],[DEVENGADO AGOSTO]]+Programacion[[#This Row],[DEVENGADO SEPTIEMBRE]]</f>
        <v>0</v>
      </c>
      <c r="AM93" s="33">
        <f>Programacion[[#This Row],[OCTUBRE]]+Programacion[[#This Row],[NOVIEMBRE]]+Programacion[[#This Row],[DICIEMBRE]]</f>
        <v>0</v>
      </c>
      <c r="AN93" s="21">
        <f>Programacion[[#This Row],[DEVENGADO OCTUBRE]]+Programacion[[#This Row],[DEVENGADO NOVIEMBRE]]+Programacion[[#This Row],[DEVENGADO DICIEMBRE]]</f>
        <v>0</v>
      </c>
      <c r="AO93" s="21">
        <f>Programacion[[#This Row],[ENERO]]+Programacion[[#This Row],[FEBRERO]]+Programacion[[#This Row],[MARZO]]+Programacion[[#This Row],[ABRIL]]+Programacion[[#This Row],[MAYO]]+Programacion[[#This Row],[JUNIO]]</f>
        <v>3500</v>
      </c>
      <c r="AP9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9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93" s="116"/>
    </row>
    <row r="94" spans="1:46" x14ac:dyDescent="0.25">
      <c r="A94" s="26" t="s">
        <v>81</v>
      </c>
      <c r="B94" s="114" t="s">
        <v>273</v>
      </c>
      <c r="C94" s="103" t="s">
        <v>47</v>
      </c>
      <c r="D94" s="28" t="s">
        <v>48</v>
      </c>
      <c r="E94" s="104">
        <v>78</v>
      </c>
      <c r="F94" s="30">
        <v>2.2999999999999998</v>
      </c>
      <c r="G94" s="28" t="s">
        <v>85</v>
      </c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>
        <v>400</v>
      </c>
      <c r="U94" s="33">
        <v>400</v>
      </c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94" s="33">
        <f>Programacion[[#This Row],[ENERO]]+Programacion[[#This Row],[FEBRERO]]+Programacion[[#This Row],[MARZO]]</f>
        <v>0</v>
      </c>
      <c r="AH94" s="33">
        <f>Programacion[[#This Row],[DEVENGADO ENERO]]+Programacion[[#This Row],[DEVENGADO FEBRERO]]+Programacion[[#This Row],[DEVENGADO MARZO]]</f>
        <v>0</v>
      </c>
      <c r="AI94" s="33">
        <f>Programacion[[#This Row],[ABRIL]]+Programacion[[#This Row],[MAYO]]+Programacion[[#This Row],[JUNIO]]</f>
        <v>0</v>
      </c>
      <c r="AJ94" s="33">
        <f>Programacion[[#This Row],[DEVENGADO ABRIL]]+Programacion[[#This Row],[DEVENGADO MAYO]]+Programacion[[#This Row],[DEVENGADO JUNIO]]</f>
        <v>0</v>
      </c>
      <c r="AK94" s="33">
        <f>Programacion[[#This Row],[JULIO]]+Programacion[[#This Row],[AGOSTO]]+Programacion[[#This Row],[SEPTIEMBRE]]</f>
        <v>400</v>
      </c>
      <c r="AL94" s="33">
        <f>Programacion[[#This Row],[DEVENGADO JULIO]]+Programacion[[#This Row],[DEVENGADO AGOSTO]]+Programacion[[#This Row],[DEVENGADO SEPTIEMBRE]]</f>
        <v>400</v>
      </c>
      <c r="AM94" s="33">
        <f>Programacion[[#This Row],[OCTUBRE]]+Programacion[[#This Row],[NOVIEMBRE]]+Programacion[[#This Row],[DICIEMBRE]]</f>
        <v>0</v>
      </c>
      <c r="AN94" s="21">
        <f>Programacion[[#This Row],[DEVENGADO OCTUBRE]]+Programacion[[#This Row],[DEVENGADO NOVIEMBRE]]+Programacion[[#This Row],[DEVENGADO DICIEMBRE]]</f>
        <v>0</v>
      </c>
      <c r="AO94" s="21">
        <f>Programacion[[#This Row],[ENERO]]+Programacion[[#This Row],[FEBRERO]]+Programacion[[#This Row],[MARZO]]+Programacion[[#This Row],[ABRIL]]+Programacion[[#This Row],[MAYO]]+Programacion[[#This Row],[JUNIO]]</f>
        <v>0</v>
      </c>
      <c r="AP9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9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9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94" s="116"/>
    </row>
    <row r="95" spans="1:46" x14ac:dyDescent="0.25">
      <c r="A95" s="26" t="s">
        <v>81</v>
      </c>
      <c r="B95" s="114" t="s">
        <v>279</v>
      </c>
      <c r="C95" s="103" t="s">
        <v>47</v>
      </c>
      <c r="D95" s="28" t="s">
        <v>48</v>
      </c>
      <c r="E95" s="104">
        <v>78</v>
      </c>
      <c r="F95" s="30">
        <v>2.2999999999999998</v>
      </c>
      <c r="G95" s="28" t="s">
        <v>86</v>
      </c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>
        <v>50</v>
      </c>
      <c r="U95" s="33">
        <v>14.3</v>
      </c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95" s="33">
        <f>Programacion[[#This Row],[ENERO]]+Programacion[[#This Row],[FEBRERO]]+Programacion[[#This Row],[MARZO]]</f>
        <v>0</v>
      </c>
      <c r="AH95" s="33">
        <f>Programacion[[#This Row],[DEVENGADO ENERO]]+Programacion[[#This Row],[DEVENGADO FEBRERO]]+Programacion[[#This Row],[DEVENGADO MARZO]]</f>
        <v>0</v>
      </c>
      <c r="AI95" s="33">
        <f>Programacion[[#This Row],[ABRIL]]+Programacion[[#This Row],[MAYO]]+Programacion[[#This Row],[JUNIO]]</f>
        <v>0</v>
      </c>
      <c r="AJ95" s="33">
        <f>Programacion[[#This Row],[DEVENGADO ABRIL]]+Programacion[[#This Row],[DEVENGADO MAYO]]+Programacion[[#This Row],[DEVENGADO JUNIO]]</f>
        <v>0</v>
      </c>
      <c r="AK95" s="33">
        <f>Programacion[[#This Row],[JULIO]]+Programacion[[#This Row],[AGOSTO]]+Programacion[[#This Row],[SEPTIEMBRE]]</f>
        <v>50</v>
      </c>
      <c r="AL95" s="33">
        <f>Programacion[[#This Row],[DEVENGADO JULIO]]+Programacion[[#This Row],[DEVENGADO AGOSTO]]+Programacion[[#This Row],[DEVENGADO SEPTIEMBRE]]</f>
        <v>14.3</v>
      </c>
      <c r="AM95" s="33">
        <f>Programacion[[#This Row],[OCTUBRE]]+Programacion[[#This Row],[NOVIEMBRE]]+Programacion[[#This Row],[DICIEMBRE]]</f>
        <v>0</v>
      </c>
      <c r="AN95" s="21">
        <f>Programacion[[#This Row],[DEVENGADO OCTUBRE]]+Programacion[[#This Row],[DEVENGADO NOVIEMBRE]]+Programacion[[#This Row],[DEVENGADO DICIEMBRE]]</f>
        <v>0</v>
      </c>
      <c r="AO95" s="21">
        <f>Programacion[[#This Row],[ENERO]]+Programacion[[#This Row],[FEBRERO]]+Programacion[[#This Row],[MARZO]]+Programacion[[#This Row],[ABRIL]]+Programacion[[#This Row],[MAYO]]+Programacion[[#This Row],[JUNIO]]</f>
        <v>0</v>
      </c>
      <c r="AP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95" s="116"/>
    </row>
    <row r="96" spans="1:46" ht="30" x14ac:dyDescent="0.25">
      <c r="A96" s="26" t="s">
        <v>81</v>
      </c>
      <c r="B96" s="114" t="s">
        <v>226</v>
      </c>
      <c r="C96" s="103" t="s">
        <v>47</v>
      </c>
      <c r="D96" s="28" t="s">
        <v>48</v>
      </c>
      <c r="E96" s="104">
        <v>78</v>
      </c>
      <c r="F96" s="30">
        <v>2.2999999999999998</v>
      </c>
      <c r="G96" s="28" t="s">
        <v>49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1">
        <v>3000</v>
      </c>
      <c r="U96" s="33">
        <v>3000</v>
      </c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96" s="33">
        <f>Programacion[[#This Row],[ENERO]]+Programacion[[#This Row],[FEBRERO]]+Programacion[[#This Row],[MARZO]]</f>
        <v>0</v>
      </c>
      <c r="AH96" s="33">
        <f>Programacion[[#This Row],[DEVENGADO ENERO]]+Programacion[[#This Row],[DEVENGADO FEBRERO]]+Programacion[[#This Row],[DEVENGADO MARZO]]</f>
        <v>0</v>
      </c>
      <c r="AI96" s="33">
        <f>Programacion[[#This Row],[ABRIL]]+Programacion[[#This Row],[MAYO]]+Programacion[[#This Row],[JUNIO]]</f>
        <v>0</v>
      </c>
      <c r="AJ96" s="33">
        <f>Programacion[[#This Row],[DEVENGADO ABRIL]]+Programacion[[#This Row],[DEVENGADO MAYO]]+Programacion[[#This Row],[DEVENGADO JUNIO]]</f>
        <v>0</v>
      </c>
      <c r="AK96" s="33">
        <f>Programacion[[#This Row],[JULIO]]+Programacion[[#This Row],[AGOSTO]]+Programacion[[#This Row],[SEPTIEMBRE]]</f>
        <v>3000</v>
      </c>
      <c r="AL96" s="33">
        <f>Programacion[[#This Row],[DEVENGADO JULIO]]+Programacion[[#This Row],[DEVENGADO AGOSTO]]+Programacion[[#This Row],[DEVENGADO SEPTIEMBRE]]</f>
        <v>3000</v>
      </c>
      <c r="AM96" s="33">
        <f>Programacion[[#This Row],[OCTUBRE]]+Programacion[[#This Row],[NOVIEMBRE]]+Programacion[[#This Row],[DICIEMBRE]]</f>
        <v>0</v>
      </c>
      <c r="AN96" s="21">
        <f>Programacion[[#This Row],[DEVENGADO OCTUBRE]]+Programacion[[#This Row],[DEVENGADO NOVIEMBRE]]+Programacion[[#This Row],[DEVENGADO DICIEMBRE]]</f>
        <v>0</v>
      </c>
      <c r="AO96" s="21">
        <f>Programacion[[#This Row],[ENERO]]+Programacion[[#This Row],[FEBRERO]]+Programacion[[#This Row],[MARZO]]+Programacion[[#This Row],[ABRIL]]+Programacion[[#This Row],[MAYO]]+Programacion[[#This Row],[JUNIO]]</f>
        <v>0</v>
      </c>
      <c r="AP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6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96" s="116"/>
    </row>
    <row r="97" spans="1:46" x14ac:dyDescent="0.25">
      <c r="A97" s="26" t="s">
        <v>81</v>
      </c>
      <c r="B97" s="114" t="s">
        <v>280</v>
      </c>
      <c r="C97" s="103" t="s">
        <v>47</v>
      </c>
      <c r="D97" s="28" t="s">
        <v>48</v>
      </c>
      <c r="E97" s="104">
        <v>78</v>
      </c>
      <c r="F97" s="30">
        <v>2.2999999999999998</v>
      </c>
      <c r="G97" s="28" t="s">
        <v>51</v>
      </c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1">
        <v>2064</v>
      </c>
      <c r="U97" s="33">
        <v>2064</v>
      </c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97" s="33">
        <f>Programacion[[#This Row],[ENERO]]+Programacion[[#This Row],[FEBRERO]]+Programacion[[#This Row],[MARZO]]</f>
        <v>0</v>
      </c>
      <c r="AH97" s="33">
        <f>Programacion[[#This Row],[DEVENGADO ENERO]]+Programacion[[#This Row],[DEVENGADO FEBRERO]]+Programacion[[#This Row],[DEVENGADO MARZO]]</f>
        <v>0</v>
      </c>
      <c r="AI97" s="33">
        <f>Programacion[[#This Row],[ABRIL]]+Programacion[[#This Row],[MAYO]]+Programacion[[#This Row],[JUNIO]]</f>
        <v>0</v>
      </c>
      <c r="AJ97" s="33">
        <f>Programacion[[#This Row],[DEVENGADO ABRIL]]+Programacion[[#This Row],[DEVENGADO MAYO]]+Programacion[[#This Row],[DEVENGADO JUNIO]]</f>
        <v>0</v>
      </c>
      <c r="AK97" s="33">
        <f>Programacion[[#This Row],[JULIO]]+Programacion[[#This Row],[AGOSTO]]+Programacion[[#This Row],[SEPTIEMBRE]]</f>
        <v>2064</v>
      </c>
      <c r="AL97" s="33">
        <f>Programacion[[#This Row],[DEVENGADO JULIO]]+Programacion[[#This Row],[DEVENGADO AGOSTO]]+Programacion[[#This Row],[DEVENGADO SEPTIEMBRE]]</f>
        <v>2064</v>
      </c>
      <c r="AM97" s="33">
        <f>Programacion[[#This Row],[OCTUBRE]]+Programacion[[#This Row],[NOVIEMBRE]]+Programacion[[#This Row],[DICIEMBRE]]</f>
        <v>0</v>
      </c>
      <c r="AN97" s="21">
        <f>Programacion[[#This Row],[DEVENGADO OCTUBRE]]+Programacion[[#This Row],[DEVENGADO NOVIEMBRE]]+Programacion[[#This Row],[DEVENGADO DICIEMBRE]]</f>
        <v>0</v>
      </c>
      <c r="AO97" s="21">
        <f>Programacion[[#This Row],[ENERO]]+Programacion[[#This Row],[FEBRERO]]+Programacion[[#This Row],[MARZO]]+Programacion[[#This Row],[ABRIL]]+Programacion[[#This Row],[MAYO]]+Programacion[[#This Row],[JUNIO]]</f>
        <v>0</v>
      </c>
      <c r="AP9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21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9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9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97" s="116"/>
    </row>
    <row r="98" spans="1:46" ht="30" x14ac:dyDescent="0.25">
      <c r="A98" s="26" t="s">
        <v>81</v>
      </c>
      <c r="B98" s="114" t="s">
        <v>281</v>
      </c>
      <c r="C98" s="103" t="s">
        <v>47</v>
      </c>
      <c r="D98" s="28" t="s">
        <v>48</v>
      </c>
      <c r="E98" s="104">
        <v>78</v>
      </c>
      <c r="F98" s="30">
        <v>2.2999999999999998</v>
      </c>
      <c r="G98" s="28" t="s">
        <v>49</v>
      </c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>
        <v>3000</v>
      </c>
      <c r="W98" s="33">
        <v>1914.8</v>
      </c>
      <c r="X98" s="33"/>
      <c r="Y98" s="33"/>
      <c r="Z98" s="33"/>
      <c r="AA98" s="33"/>
      <c r="AB98" s="33"/>
      <c r="AC98" s="33"/>
      <c r="AD98" s="33"/>
      <c r="AE98" s="33"/>
      <c r="AF9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98" s="33">
        <f>Programacion[[#This Row],[ENERO]]+Programacion[[#This Row],[FEBRERO]]+Programacion[[#This Row],[MARZO]]</f>
        <v>0</v>
      </c>
      <c r="AH98" s="33">
        <f>Programacion[[#This Row],[DEVENGADO ENERO]]+Programacion[[#This Row],[DEVENGADO FEBRERO]]+Programacion[[#This Row],[DEVENGADO MARZO]]</f>
        <v>0</v>
      </c>
      <c r="AI98" s="33">
        <f>Programacion[[#This Row],[ABRIL]]+Programacion[[#This Row],[MAYO]]+Programacion[[#This Row],[JUNIO]]</f>
        <v>0</v>
      </c>
      <c r="AJ98" s="33">
        <f>Programacion[[#This Row],[DEVENGADO ABRIL]]+Programacion[[#This Row],[DEVENGADO MAYO]]+Programacion[[#This Row],[DEVENGADO JUNIO]]</f>
        <v>0</v>
      </c>
      <c r="AK98" s="33">
        <f>Programacion[[#This Row],[JULIO]]+Programacion[[#This Row],[AGOSTO]]+Programacion[[#This Row],[SEPTIEMBRE]]</f>
        <v>3000</v>
      </c>
      <c r="AL98" s="33">
        <f>Programacion[[#This Row],[DEVENGADO JULIO]]+Programacion[[#This Row],[DEVENGADO AGOSTO]]+Programacion[[#This Row],[DEVENGADO SEPTIEMBRE]]</f>
        <v>1914.8</v>
      </c>
      <c r="AM98" s="33">
        <f>Programacion[[#This Row],[OCTUBRE]]+Programacion[[#This Row],[NOVIEMBRE]]+Programacion[[#This Row],[DICIEMBRE]]</f>
        <v>0</v>
      </c>
      <c r="AN98" s="21">
        <f>Programacion[[#This Row],[DEVENGADO OCTUBRE]]+Programacion[[#This Row],[DEVENGADO NOVIEMBRE]]+Programacion[[#This Row],[DEVENGADO DICIEMBRE]]</f>
        <v>0</v>
      </c>
      <c r="AO98" s="21">
        <f>Programacion[[#This Row],[ENERO]]+Programacion[[#This Row],[FEBRERO]]+Programacion[[#This Row],[MARZO]]+Programacion[[#This Row],[ABRIL]]+Programacion[[#This Row],[MAYO]]+Programacion[[#This Row],[JUNIO]]</f>
        <v>0</v>
      </c>
      <c r="AP9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9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9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98" s="116"/>
    </row>
    <row r="99" spans="1:46" x14ac:dyDescent="0.25">
      <c r="A99" s="26" t="s">
        <v>81</v>
      </c>
      <c r="B99" s="114" t="s">
        <v>282</v>
      </c>
      <c r="C99" s="103" t="s">
        <v>47</v>
      </c>
      <c r="D99" s="28" t="s">
        <v>48</v>
      </c>
      <c r="E99" s="104">
        <v>78</v>
      </c>
      <c r="F99" s="30">
        <v>2.2999999999999998</v>
      </c>
      <c r="G99" s="28" t="s">
        <v>51</v>
      </c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>
        <v>2936</v>
      </c>
      <c r="W99" s="33">
        <v>2080</v>
      </c>
      <c r="X99" s="33"/>
      <c r="Y99" s="33"/>
      <c r="Z99" s="33"/>
      <c r="AA99" s="33"/>
      <c r="AB99" s="33"/>
      <c r="AC99" s="33"/>
      <c r="AD99" s="33"/>
      <c r="AE99" s="33"/>
      <c r="AF9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2936</v>
      </c>
      <c r="AG99" s="33">
        <f>Programacion[[#This Row],[ENERO]]+Programacion[[#This Row],[FEBRERO]]+Programacion[[#This Row],[MARZO]]</f>
        <v>0</v>
      </c>
      <c r="AH99" s="33">
        <f>Programacion[[#This Row],[DEVENGADO ENERO]]+Programacion[[#This Row],[DEVENGADO FEBRERO]]+Programacion[[#This Row],[DEVENGADO MARZO]]</f>
        <v>0</v>
      </c>
      <c r="AI99" s="33">
        <f>Programacion[[#This Row],[ABRIL]]+Programacion[[#This Row],[MAYO]]+Programacion[[#This Row],[JUNIO]]</f>
        <v>0</v>
      </c>
      <c r="AJ99" s="33">
        <f>Programacion[[#This Row],[DEVENGADO ABRIL]]+Programacion[[#This Row],[DEVENGADO MAYO]]+Programacion[[#This Row],[DEVENGADO JUNIO]]</f>
        <v>0</v>
      </c>
      <c r="AK99" s="33">
        <f>Programacion[[#This Row],[JULIO]]+Programacion[[#This Row],[AGOSTO]]+Programacion[[#This Row],[SEPTIEMBRE]]</f>
        <v>2936</v>
      </c>
      <c r="AL99" s="33">
        <f>Programacion[[#This Row],[DEVENGADO JULIO]]+Programacion[[#This Row],[DEVENGADO AGOSTO]]+Programacion[[#This Row],[DEVENGADO SEPTIEMBRE]]</f>
        <v>2080</v>
      </c>
      <c r="AM99" s="33">
        <f>Programacion[[#This Row],[OCTUBRE]]+Programacion[[#This Row],[NOVIEMBRE]]+Programacion[[#This Row],[DICIEMBRE]]</f>
        <v>0</v>
      </c>
      <c r="AN99" s="21">
        <f>Programacion[[#This Row],[DEVENGADO OCTUBRE]]+Programacion[[#This Row],[DEVENGADO NOVIEMBRE]]+Programacion[[#This Row],[DEVENGADO DICIEMBRE]]</f>
        <v>0</v>
      </c>
      <c r="AO99" s="21">
        <f>Programacion[[#This Row],[ENERO]]+Programacion[[#This Row],[FEBRERO]]+Programacion[[#This Row],[MARZO]]+Programacion[[#This Row],[ABRIL]]+Programacion[[#This Row],[MAYO]]+Programacion[[#This Row],[JUNIO]]</f>
        <v>0</v>
      </c>
      <c r="AP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21">
        <f>Programacion[[#This Row],[JULIO]]+Programacion[[#This Row],[AGOSTO]]+Programacion[[#This Row],[SEPTIEMBRE]]+Programacion[[#This Row],[OCTUBRE]]+Programacion[[#This Row],[NOVIEMBRE]]+Programacion[[#This Row],[DICIEMBRE]]</f>
        <v>2936</v>
      </c>
      <c r="AR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99" s="116"/>
    </row>
    <row r="100" spans="1:46" ht="30" x14ac:dyDescent="0.25">
      <c r="A100" s="26" t="s">
        <v>81</v>
      </c>
      <c r="B100" s="114" t="s">
        <v>227</v>
      </c>
      <c r="C100" s="103" t="s">
        <v>64</v>
      </c>
      <c r="D100" s="28" t="s">
        <v>48</v>
      </c>
      <c r="E100" s="104">
        <v>78</v>
      </c>
      <c r="F100" s="30">
        <v>2.2999999999999998</v>
      </c>
      <c r="G100" s="28" t="s">
        <v>65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1">
        <v>14000</v>
      </c>
      <c r="U100" s="33">
        <v>14000</v>
      </c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00" s="33">
        <f>Programacion[[#This Row],[ENERO]]+Programacion[[#This Row],[FEBRERO]]+Programacion[[#This Row],[MARZO]]</f>
        <v>0</v>
      </c>
      <c r="AH100" s="33">
        <f>Programacion[[#This Row],[DEVENGADO ENERO]]+Programacion[[#This Row],[DEVENGADO FEBRERO]]+Programacion[[#This Row],[DEVENGADO MARZO]]</f>
        <v>0</v>
      </c>
      <c r="AI100" s="33">
        <f>Programacion[[#This Row],[ABRIL]]+Programacion[[#This Row],[MAYO]]+Programacion[[#This Row],[JUNIO]]</f>
        <v>0</v>
      </c>
      <c r="AJ100" s="33">
        <f>Programacion[[#This Row],[DEVENGADO ABRIL]]+Programacion[[#This Row],[DEVENGADO MAYO]]+Programacion[[#This Row],[DEVENGADO JUNIO]]</f>
        <v>0</v>
      </c>
      <c r="AK100" s="33">
        <f>Programacion[[#This Row],[JULIO]]+Programacion[[#This Row],[AGOSTO]]+Programacion[[#This Row],[SEPTIEMBRE]]</f>
        <v>14000</v>
      </c>
      <c r="AL100" s="33">
        <f>Programacion[[#This Row],[DEVENGADO JULIO]]+Programacion[[#This Row],[DEVENGADO AGOSTO]]+Programacion[[#This Row],[DEVENGADO SEPTIEMBRE]]</f>
        <v>14000</v>
      </c>
      <c r="AM100" s="33">
        <f>Programacion[[#This Row],[OCTUBRE]]+Programacion[[#This Row],[NOVIEMBRE]]+Programacion[[#This Row],[DICIEMBRE]]</f>
        <v>0</v>
      </c>
      <c r="AN100" s="21">
        <f>Programacion[[#This Row],[DEVENGADO OCTUBRE]]+Programacion[[#This Row],[DEVENGADO NOVIEMBRE]]+Programacion[[#This Row],[DEVENGADO DICIEMBRE]]</f>
        <v>0</v>
      </c>
      <c r="AO100" s="21">
        <f>Programacion[[#This Row],[ENERO]]+Programacion[[#This Row],[FEBRERO]]+Programacion[[#This Row],[MARZO]]+Programacion[[#This Row],[ABRIL]]+Programacion[[#This Row],[MAYO]]+Programacion[[#This Row],[JUNIO]]</f>
        <v>0</v>
      </c>
      <c r="AP10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0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10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0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00" s="116"/>
    </row>
    <row r="101" spans="1:46" x14ac:dyDescent="0.25">
      <c r="A101" s="125" t="s">
        <v>81</v>
      </c>
      <c r="B101" s="125" t="s">
        <v>260</v>
      </c>
      <c r="C101" s="125" t="s">
        <v>259</v>
      </c>
      <c r="D101" s="126" t="s">
        <v>48</v>
      </c>
      <c r="E101" s="127">
        <v>78</v>
      </c>
      <c r="F101" s="127">
        <v>26</v>
      </c>
      <c r="G101" s="126" t="s">
        <v>261</v>
      </c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>
        <v>8000</v>
      </c>
      <c r="Y101" s="33"/>
      <c r="Z101" s="33"/>
      <c r="AA101" s="33"/>
      <c r="AB101" s="33"/>
      <c r="AC101" s="33"/>
      <c r="AD101" s="33"/>
      <c r="AE101" s="33"/>
      <c r="AF10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101" s="33">
        <f>Programacion[[#This Row],[ENERO]]+Programacion[[#This Row],[FEBRERO]]+Programacion[[#This Row],[MARZO]]</f>
        <v>0</v>
      </c>
      <c r="AH101" s="33">
        <f>Programacion[[#This Row],[DEVENGADO ENERO]]+Programacion[[#This Row],[DEVENGADO FEBRERO]]+Programacion[[#This Row],[DEVENGADO MARZO]]</f>
        <v>0</v>
      </c>
      <c r="AI101" s="33">
        <f>Programacion[[#This Row],[ABRIL]]+Programacion[[#This Row],[MAYO]]+Programacion[[#This Row],[JUNIO]]</f>
        <v>0</v>
      </c>
      <c r="AJ101" s="33">
        <f>Programacion[[#This Row],[DEVENGADO ABRIL]]+Programacion[[#This Row],[DEVENGADO MAYO]]+Programacion[[#This Row],[DEVENGADO JUNIO]]</f>
        <v>0</v>
      </c>
      <c r="AK101" s="33">
        <f>Programacion[[#This Row],[JULIO]]+Programacion[[#This Row],[AGOSTO]]+Programacion[[#This Row],[SEPTIEMBRE]]</f>
        <v>8000</v>
      </c>
      <c r="AL101" s="33">
        <f>Programacion[[#This Row],[DEVENGADO JULIO]]+Programacion[[#This Row],[DEVENGADO AGOSTO]]+Programacion[[#This Row],[DEVENGADO SEPTIEMBRE]]</f>
        <v>0</v>
      </c>
      <c r="AM101" s="33">
        <f>Programacion[[#This Row],[OCTUBRE]]+Programacion[[#This Row],[NOVIEMBRE]]+Programacion[[#This Row],[DICIEMBRE]]</f>
        <v>0</v>
      </c>
      <c r="AN101" s="21">
        <f>Programacion[[#This Row],[DEVENGADO OCTUBRE]]+Programacion[[#This Row],[DEVENGADO NOVIEMBRE]]+Programacion[[#This Row],[DEVENGADO DICIEMBRE]]</f>
        <v>0</v>
      </c>
      <c r="AO101" s="21">
        <f>Programacion[[#This Row],[ENERO]]+Programacion[[#This Row],[FEBRERO]]+Programacion[[#This Row],[MARZO]]+Programacion[[#This Row],[ABRIL]]+Programacion[[#This Row],[MAYO]]+Programacion[[#This Row],[JUNIO]]</f>
        <v>0</v>
      </c>
      <c r="AP10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10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1" s="116"/>
    </row>
    <row r="102" spans="1:46" ht="30" x14ac:dyDescent="0.25">
      <c r="A102" s="26" t="s">
        <v>81</v>
      </c>
      <c r="B102" s="114" t="s">
        <v>99</v>
      </c>
      <c r="C102" s="103" t="s">
        <v>80</v>
      </c>
      <c r="D102" s="28" t="s">
        <v>48</v>
      </c>
      <c r="E102" s="104">
        <v>78</v>
      </c>
      <c r="F102" s="105">
        <v>2.6</v>
      </c>
      <c r="G102" s="28" t="s">
        <v>100</v>
      </c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1">
        <v>13865</v>
      </c>
      <c r="U102" s="33">
        <v>13865</v>
      </c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102" s="33">
        <f>Programacion[[#This Row],[ENERO]]+Programacion[[#This Row],[FEBRERO]]+Programacion[[#This Row],[MARZO]]</f>
        <v>0</v>
      </c>
      <c r="AH102" s="33">
        <f>Programacion[[#This Row],[DEVENGADO ENERO]]+Programacion[[#This Row],[DEVENGADO FEBRERO]]+Programacion[[#This Row],[DEVENGADO MARZO]]</f>
        <v>0</v>
      </c>
      <c r="AI102" s="33">
        <f>Programacion[[#This Row],[ABRIL]]+Programacion[[#This Row],[MAYO]]+Programacion[[#This Row],[JUNIO]]</f>
        <v>0</v>
      </c>
      <c r="AJ102" s="33">
        <f>Programacion[[#This Row],[DEVENGADO ABRIL]]+Programacion[[#This Row],[DEVENGADO MAYO]]+Programacion[[#This Row],[DEVENGADO JUNIO]]</f>
        <v>0</v>
      </c>
      <c r="AK102" s="33">
        <f>Programacion[[#This Row],[JULIO]]+Programacion[[#This Row],[AGOSTO]]+Programacion[[#This Row],[SEPTIEMBRE]]</f>
        <v>13865</v>
      </c>
      <c r="AL102" s="33">
        <f>Programacion[[#This Row],[DEVENGADO JULIO]]+Programacion[[#This Row],[DEVENGADO AGOSTO]]+Programacion[[#This Row],[DEVENGADO SEPTIEMBRE]]</f>
        <v>13865</v>
      </c>
      <c r="AM102" s="33">
        <f>Programacion[[#This Row],[OCTUBRE]]+Programacion[[#This Row],[NOVIEMBRE]]+Programacion[[#This Row],[DICIEMBRE]]</f>
        <v>0</v>
      </c>
      <c r="AN102" s="21">
        <f>Programacion[[#This Row],[DEVENGADO OCTUBRE]]+Programacion[[#This Row],[DEVENGADO NOVIEMBRE]]+Programacion[[#This Row],[DEVENGADO DICIEMBRE]]</f>
        <v>0</v>
      </c>
      <c r="AO102" s="21">
        <f>Programacion[[#This Row],[ENERO]]+Programacion[[#This Row],[FEBRERO]]+Programacion[[#This Row],[MARZO]]+Programacion[[#This Row],[ABRIL]]+Programacion[[#This Row],[MAYO]]+Programacion[[#This Row],[JUNIO]]</f>
        <v>0</v>
      </c>
      <c r="AP10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2" s="21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10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10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102" s="116"/>
    </row>
    <row r="103" spans="1:46" x14ac:dyDescent="0.25">
      <c r="A103" s="125" t="s">
        <v>81</v>
      </c>
      <c r="B103" s="125" t="s">
        <v>301</v>
      </c>
      <c r="C103" s="125" t="s">
        <v>264</v>
      </c>
      <c r="D103" s="126" t="s">
        <v>48</v>
      </c>
      <c r="E103" s="127">
        <v>3</v>
      </c>
      <c r="F103" s="127">
        <v>23</v>
      </c>
      <c r="G103" s="126" t="s">
        <v>57</v>
      </c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>
        <v>5000</v>
      </c>
      <c r="Y103" s="147"/>
      <c r="Z103" s="147">
        <v>5000</v>
      </c>
      <c r="AA103" s="147"/>
      <c r="AB103" s="147">
        <v>5000</v>
      </c>
      <c r="AC103" s="147"/>
      <c r="AD103" s="147">
        <v>5000</v>
      </c>
      <c r="AE103" s="147"/>
      <c r="AF103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03" s="147">
        <f>Programacion[[#This Row],[ENERO]]+Programacion[[#This Row],[FEBRERO]]+Programacion[[#This Row],[MARZO]]</f>
        <v>0</v>
      </c>
      <c r="AH103" s="147">
        <f>Programacion[[#This Row],[DEVENGADO ENERO]]+Programacion[[#This Row],[DEVENGADO FEBRERO]]+Programacion[[#This Row],[DEVENGADO MARZO]]</f>
        <v>0</v>
      </c>
      <c r="AI103" s="147">
        <f>Programacion[[#This Row],[ABRIL]]+Programacion[[#This Row],[MAYO]]+Programacion[[#This Row],[JUNIO]]</f>
        <v>0</v>
      </c>
      <c r="AJ103" s="147">
        <f>Programacion[[#This Row],[DEVENGADO ABRIL]]+Programacion[[#This Row],[DEVENGADO MAYO]]+Programacion[[#This Row],[DEVENGADO JUNIO]]</f>
        <v>0</v>
      </c>
      <c r="AK103" s="147">
        <f>Programacion[[#This Row],[JULIO]]+Programacion[[#This Row],[AGOSTO]]+Programacion[[#This Row],[SEPTIEMBRE]]</f>
        <v>5000</v>
      </c>
      <c r="AL103" s="147">
        <f>Programacion[[#This Row],[DEVENGADO JULIO]]+Programacion[[#This Row],[DEVENGADO AGOSTO]]+Programacion[[#This Row],[DEVENGADO SEPTIEMBRE]]</f>
        <v>0</v>
      </c>
      <c r="AM103" s="147">
        <f>Programacion[[#This Row],[OCTUBRE]]+Programacion[[#This Row],[NOVIEMBRE]]+Programacion[[#This Row],[DICIEMBRE]]</f>
        <v>15000</v>
      </c>
      <c r="AN103" s="149">
        <f>Programacion[[#This Row],[DEVENGADO OCTUBRE]]+Programacion[[#This Row],[DEVENGADO NOVIEMBRE]]+Programacion[[#This Row],[DEVENGADO DICIEMBRE]]</f>
        <v>0</v>
      </c>
      <c r="AO103" s="149">
        <f>Programacion[[#This Row],[ENERO]]+Programacion[[#This Row],[FEBRERO]]+Programacion[[#This Row],[MARZO]]+Programacion[[#This Row],[ABRIL]]+Programacion[[#This Row],[MAYO]]+Programacion[[#This Row],[JUNIO]]</f>
        <v>0</v>
      </c>
      <c r="AP103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149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03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3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3" s="116"/>
    </row>
    <row r="104" spans="1:46" x14ac:dyDescent="0.25">
      <c r="A104" s="125" t="s">
        <v>81</v>
      </c>
      <c r="B104" s="125" t="s">
        <v>301</v>
      </c>
      <c r="C104" s="125" t="s">
        <v>264</v>
      </c>
      <c r="D104" s="119" t="s">
        <v>290</v>
      </c>
      <c r="E104" s="127">
        <v>139</v>
      </c>
      <c r="F104" s="127">
        <v>23</v>
      </c>
      <c r="G104" s="126" t="s">
        <v>70</v>
      </c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>
        <v>5000</v>
      </c>
      <c r="Y104" s="147"/>
      <c r="Z104" s="147">
        <v>5000</v>
      </c>
      <c r="AA104" s="147"/>
      <c r="AB104" s="147">
        <v>5000</v>
      </c>
      <c r="AC104" s="147"/>
      <c r="AD104" s="147">
        <v>5000</v>
      </c>
      <c r="AE104" s="147"/>
      <c r="AF104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04" s="147">
        <f>Programacion[[#This Row],[ENERO]]+Programacion[[#This Row],[FEBRERO]]+Programacion[[#This Row],[MARZO]]</f>
        <v>0</v>
      </c>
      <c r="AH104" s="147">
        <f>Programacion[[#This Row],[DEVENGADO ENERO]]+Programacion[[#This Row],[DEVENGADO FEBRERO]]+Programacion[[#This Row],[DEVENGADO MARZO]]</f>
        <v>0</v>
      </c>
      <c r="AI104" s="147">
        <f>Programacion[[#This Row],[ABRIL]]+Programacion[[#This Row],[MAYO]]+Programacion[[#This Row],[JUNIO]]</f>
        <v>0</v>
      </c>
      <c r="AJ104" s="147">
        <f>Programacion[[#This Row],[DEVENGADO ABRIL]]+Programacion[[#This Row],[DEVENGADO MAYO]]+Programacion[[#This Row],[DEVENGADO JUNIO]]</f>
        <v>0</v>
      </c>
      <c r="AK104" s="147">
        <f>Programacion[[#This Row],[JULIO]]+Programacion[[#This Row],[AGOSTO]]+Programacion[[#This Row],[SEPTIEMBRE]]</f>
        <v>5000</v>
      </c>
      <c r="AL104" s="147">
        <f>Programacion[[#This Row],[DEVENGADO JULIO]]+Programacion[[#This Row],[DEVENGADO AGOSTO]]+Programacion[[#This Row],[DEVENGADO SEPTIEMBRE]]</f>
        <v>0</v>
      </c>
      <c r="AM104" s="147">
        <f>Programacion[[#This Row],[OCTUBRE]]+Programacion[[#This Row],[NOVIEMBRE]]+Programacion[[#This Row],[DICIEMBRE]]</f>
        <v>15000</v>
      </c>
      <c r="AN104" s="149">
        <f>Programacion[[#This Row],[DEVENGADO OCTUBRE]]+Programacion[[#This Row],[DEVENGADO NOVIEMBRE]]+Programacion[[#This Row],[DEVENGADO DICIEMBRE]]</f>
        <v>0</v>
      </c>
      <c r="AO104" s="149">
        <f>Programacion[[#This Row],[ENERO]]+Programacion[[#This Row],[FEBRERO]]+Programacion[[#This Row],[MARZO]]+Programacion[[#This Row],[ABRIL]]+Programacion[[#This Row],[MAYO]]+Programacion[[#This Row],[JUNIO]]</f>
        <v>0</v>
      </c>
      <c r="AP104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149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04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4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4" s="116"/>
    </row>
    <row r="105" spans="1:46" x14ac:dyDescent="0.25">
      <c r="A105" s="34" t="s">
        <v>109</v>
      </c>
      <c r="B105" s="35" t="s">
        <v>110</v>
      </c>
      <c r="C105" s="36" t="s">
        <v>47</v>
      </c>
      <c r="D105" s="36" t="s">
        <v>48</v>
      </c>
      <c r="E105" s="37">
        <v>39</v>
      </c>
      <c r="F105" s="38">
        <v>2.2999999999999998</v>
      </c>
      <c r="G105" s="36" t="s">
        <v>49</v>
      </c>
      <c r="H105" s="39"/>
      <c r="I105" s="39"/>
      <c r="J105" s="39"/>
      <c r="K105" s="39"/>
      <c r="L105" s="39"/>
      <c r="M105" s="39"/>
      <c r="N105" s="39">
        <v>1220</v>
      </c>
      <c r="O105" s="39">
        <v>1047.3399999999999</v>
      </c>
      <c r="P105" s="39">
        <v>2000</v>
      </c>
      <c r="Q105" s="39">
        <v>1344.22</v>
      </c>
      <c r="R105" s="39">
        <v>2000</v>
      </c>
      <c r="S105" s="39">
        <v>1369.12</v>
      </c>
      <c r="T105" s="39">
        <v>2000</v>
      </c>
      <c r="U105" s="39">
        <v>2000</v>
      </c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105" s="19">
        <f>Programacion[[#This Row],[ENERO]]+Programacion[[#This Row],[FEBRERO]]+Programacion[[#This Row],[MARZO]]</f>
        <v>0</v>
      </c>
      <c r="AH105" s="19">
        <f>Programacion[[#This Row],[DEVENGADO ENERO]]+Programacion[[#This Row],[DEVENGADO FEBRERO]]+Programacion[[#This Row],[DEVENGADO MARZO]]</f>
        <v>0</v>
      </c>
      <c r="AI105" s="19">
        <f>Programacion[[#This Row],[ABRIL]]+Programacion[[#This Row],[MAYO]]+Programacion[[#This Row],[JUNIO]]</f>
        <v>5220</v>
      </c>
      <c r="AJ105" s="19">
        <f>Programacion[[#This Row],[DEVENGADO ABRIL]]+Programacion[[#This Row],[DEVENGADO MAYO]]+Programacion[[#This Row],[DEVENGADO JUNIO]]</f>
        <v>3760.68</v>
      </c>
      <c r="AK105" s="19">
        <f>Programacion[[#This Row],[JULIO]]+Programacion[[#This Row],[AGOSTO]]+Programacion[[#This Row],[SEPTIEMBRE]]</f>
        <v>2000</v>
      </c>
      <c r="AL105" s="19">
        <f>Programacion[[#This Row],[DEVENGADO JULIO]]+Programacion[[#This Row],[DEVENGADO AGOSTO]]+Programacion[[#This Row],[DEVENGADO SEPTIEMBRE]]</f>
        <v>2000</v>
      </c>
      <c r="AM105" s="19">
        <f>Programacion[[#This Row],[OCTUBRE]]+Programacion[[#This Row],[NOVIEMBRE]]+Programacion[[#This Row],[DICIEMBRE]]</f>
        <v>0</v>
      </c>
      <c r="AN105" s="20">
        <f>Programacion[[#This Row],[DEVENGADO OCTUBRE]]+Programacion[[#This Row],[DEVENGADO NOVIEMBRE]]+Programacion[[#This Row],[DEVENGADO DICIEMBRE]]</f>
        <v>0</v>
      </c>
      <c r="AO105" s="20">
        <f>Programacion[[#This Row],[ENERO]]+Programacion[[#This Row],[FEBRERO]]+Programacion[[#This Row],[MARZO]]+Programacion[[#This Row],[ABRIL]]+Programacion[[#This Row],[MAYO]]+Programacion[[#This Row],[JUNIO]]</f>
        <v>5220</v>
      </c>
      <c r="AP10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105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10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105" s="116"/>
    </row>
    <row r="106" spans="1:46" x14ac:dyDescent="0.25">
      <c r="A106" s="40" t="s">
        <v>109</v>
      </c>
      <c r="B106" s="35" t="s">
        <v>236</v>
      </c>
      <c r="C106" s="36" t="s">
        <v>47</v>
      </c>
      <c r="D106" s="36" t="s">
        <v>48</v>
      </c>
      <c r="E106" s="37">
        <v>39</v>
      </c>
      <c r="F106" s="38">
        <v>2.2999999999999998</v>
      </c>
      <c r="G106" s="36" t="s">
        <v>51</v>
      </c>
      <c r="H106" s="39"/>
      <c r="I106" s="39"/>
      <c r="J106" s="39"/>
      <c r="K106" s="39"/>
      <c r="L106" s="39"/>
      <c r="M106" s="39"/>
      <c r="N106" s="39">
        <v>1340</v>
      </c>
      <c r="O106" s="39">
        <v>513</v>
      </c>
      <c r="P106" s="39">
        <v>1080</v>
      </c>
      <c r="Q106" s="39">
        <v>1982.4</v>
      </c>
      <c r="R106" s="39">
        <v>1080</v>
      </c>
      <c r="S106" s="39">
        <v>1080</v>
      </c>
      <c r="T106" s="39">
        <v>1080</v>
      </c>
      <c r="U106" s="39">
        <v>540</v>
      </c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106" s="19">
        <f>Programacion[[#This Row],[ENERO]]+Programacion[[#This Row],[FEBRERO]]+Programacion[[#This Row],[MARZO]]</f>
        <v>0</v>
      </c>
      <c r="AH106" s="19">
        <f>Programacion[[#This Row],[DEVENGADO ENERO]]+Programacion[[#This Row],[DEVENGADO FEBRERO]]+Programacion[[#This Row],[DEVENGADO MARZO]]</f>
        <v>0</v>
      </c>
      <c r="AI106" s="19">
        <f>Programacion[[#This Row],[ABRIL]]+Programacion[[#This Row],[MAYO]]+Programacion[[#This Row],[JUNIO]]</f>
        <v>3500</v>
      </c>
      <c r="AJ106" s="19">
        <f>Programacion[[#This Row],[DEVENGADO ABRIL]]+Programacion[[#This Row],[DEVENGADO MAYO]]+Programacion[[#This Row],[DEVENGADO JUNIO]]</f>
        <v>3575.4</v>
      </c>
      <c r="AK106" s="19">
        <f>Programacion[[#This Row],[JULIO]]+Programacion[[#This Row],[AGOSTO]]+Programacion[[#This Row],[SEPTIEMBRE]]</f>
        <v>1080</v>
      </c>
      <c r="AL106" s="19">
        <f>Programacion[[#This Row],[DEVENGADO JULIO]]+Programacion[[#This Row],[DEVENGADO AGOSTO]]+Programacion[[#This Row],[DEVENGADO SEPTIEMBRE]]</f>
        <v>540</v>
      </c>
      <c r="AM106" s="19">
        <f>Programacion[[#This Row],[OCTUBRE]]+Programacion[[#This Row],[NOVIEMBRE]]+Programacion[[#This Row],[DICIEMBRE]]</f>
        <v>0</v>
      </c>
      <c r="AN106" s="20">
        <f>Programacion[[#This Row],[DEVENGADO OCTUBRE]]+Programacion[[#This Row],[DEVENGADO NOVIEMBRE]]+Programacion[[#This Row],[DEVENGADO DICIEMBRE]]</f>
        <v>0</v>
      </c>
      <c r="AO106" s="20">
        <f>Programacion[[#This Row],[ENERO]]+Programacion[[#This Row],[FEBRERO]]+Programacion[[#This Row],[MARZO]]+Programacion[[#This Row],[ABRIL]]+Programacion[[#This Row],[MAYO]]+Programacion[[#This Row],[JUNIO]]</f>
        <v>3500</v>
      </c>
      <c r="AP10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106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0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0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106" s="116"/>
    </row>
    <row r="107" spans="1:46" x14ac:dyDescent="0.25">
      <c r="A107" s="34" t="s">
        <v>109</v>
      </c>
      <c r="B107" s="35" t="s">
        <v>237</v>
      </c>
      <c r="C107" s="36" t="s">
        <v>47</v>
      </c>
      <c r="D107" s="36" t="s">
        <v>48</v>
      </c>
      <c r="E107" s="37">
        <v>39</v>
      </c>
      <c r="F107" s="38">
        <v>2.2999999999999998</v>
      </c>
      <c r="G107" s="36" t="s">
        <v>49</v>
      </c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9">
        <v>2000</v>
      </c>
      <c r="S107" s="33">
        <v>2000</v>
      </c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107" s="33">
        <f>Programacion[[#This Row],[ENERO]]+Programacion[[#This Row],[FEBRERO]]+Programacion[[#This Row],[MARZO]]</f>
        <v>0</v>
      </c>
      <c r="AH107" s="33">
        <f>Programacion[[#This Row],[DEVENGADO ENERO]]+Programacion[[#This Row],[DEVENGADO FEBRERO]]+Programacion[[#This Row],[DEVENGADO MARZO]]</f>
        <v>0</v>
      </c>
      <c r="AI107" s="33">
        <f>Programacion[[#This Row],[ABRIL]]+Programacion[[#This Row],[MAYO]]+Programacion[[#This Row],[JUNIO]]</f>
        <v>2000</v>
      </c>
      <c r="AJ107" s="33">
        <f>Programacion[[#This Row],[DEVENGADO ABRIL]]+Programacion[[#This Row],[DEVENGADO MAYO]]+Programacion[[#This Row],[DEVENGADO JUNIO]]</f>
        <v>2000</v>
      </c>
      <c r="AK107" s="33">
        <f>Programacion[[#This Row],[JULIO]]+Programacion[[#This Row],[AGOSTO]]+Programacion[[#This Row],[SEPTIEMBRE]]</f>
        <v>0</v>
      </c>
      <c r="AL107" s="33">
        <f>Programacion[[#This Row],[DEVENGADO JULIO]]+Programacion[[#This Row],[DEVENGADO AGOSTO]]+Programacion[[#This Row],[DEVENGADO SEPTIEMBRE]]</f>
        <v>0</v>
      </c>
      <c r="AM107" s="33">
        <f>Programacion[[#This Row],[OCTUBRE]]+Programacion[[#This Row],[NOVIEMBRE]]+Programacion[[#This Row],[DICIEMBRE]]</f>
        <v>0</v>
      </c>
      <c r="AN107" s="21">
        <f>Programacion[[#This Row],[DEVENGADO OCTUBRE]]+Programacion[[#This Row],[DEVENGADO NOVIEMBRE]]+Programacion[[#This Row],[DEVENGADO DICIEMBRE]]</f>
        <v>0</v>
      </c>
      <c r="AO107" s="21">
        <f>Programacion[[#This Row],[ENERO]]+Programacion[[#This Row],[FEBRERO]]+Programacion[[#This Row],[MARZO]]+Programacion[[#This Row],[ABRIL]]+Programacion[[#This Row],[MAYO]]+Programacion[[#This Row],[JUNIO]]</f>
        <v>2000</v>
      </c>
      <c r="AP10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0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07" s="116"/>
    </row>
    <row r="108" spans="1:46" x14ac:dyDescent="0.25">
      <c r="A108" s="40" t="s">
        <v>109</v>
      </c>
      <c r="B108" s="35" t="s">
        <v>238</v>
      </c>
      <c r="C108" s="36" t="s">
        <v>47</v>
      </c>
      <c r="D108" s="36" t="s">
        <v>48</v>
      </c>
      <c r="E108" s="37">
        <v>39</v>
      </c>
      <c r="F108" s="38">
        <v>2.2999999999999998</v>
      </c>
      <c r="G108" s="36" t="s">
        <v>51</v>
      </c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9">
        <v>1080</v>
      </c>
      <c r="S108" s="33">
        <v>1080</v>
      </c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08" s="33">
        <f>Programacion[[#This Row],[ENERO]]+Programacion[[#This Row],[FEBRERO]]+Programacion[[#This Row],[MARZO]]</f>
        <v>0</v>
      </c>
      <c r="AH108" s="33">
        <f>Programacion[[#This Row],[DEVENGADO ENERO]]+Programacion[[#This Row],[DEVENGADO FEBRERO]]+Programacion[[#This Row],[DEVENGADO MARZO]]</f>
        <v>0</v>
      </c>
      <c r="AI108" s="33">
        <f>Programacion[[#This Row],[ABRIL]]+Programacion[[#This Row],[MAYO]]+Programacion[[#This Row],[JUNIO]]</f>
        <v>1080</v>
      </c>
      <c r="AJ108" s="33">
        <f>Programacion[[#This Row],[DEVENGADO ABRIL]]+Programacion[[#This Row],[DEVENGADO MAYO]]+Programacion[[#This Row],[DEVENGADO JUNIO]]</f>
        <v>1080</v>
      </c>
      <c r="AK108" s="33">
        <f>Programacion[[#This Row],[JULIO]]+Programacion[[#This Row],[AGOSTO]]+Programacion[[#This Row],[SEPTIEMBRE]]</f>
        <v>0</v>
      </c>
      <c r="AL108" s="33">
        <f>Programacion[[#This Row],[DEVENGADO JULIO]]+Programacion[[#This Row],[DEVENGADO AGOSTO]]+Programacion[[#This Row],[DEVENGADO SEPTIEMBRE]]</f>
        <v>0</v>
      </c>
      <c r="AM108" s="33">
        <f>Programacion[[#This Row],[OCTUBRE]]+Programacion[[#This Row],[NOVIEMBRE]]+Programacion[[#This Row],[DICIEMBRE]]</f>
        <v>0</v>
      </c>
      <c r="AN108" s="21">
        <f>Programacion[[#This Row],[DEVENGADO OCTUBRE]]+Programacion[[#This Row],[DEVENGADO NOVIEMBRE]]+Programacion[[#This Row],[DEVENGADO DICIEMBRE]]</f>
        <v>0</v>
      </c>
      <c r="AO108" s="21">
        <f>Programacion[[#This Row],[ENERO]]+Programacion[[#This Row],[FEBRERO]]+Programacion[[#This Row],[MARZO]]+Programacion[[#This Row],[ABRIL]]+Programacion[[#This Row],[MAYO]]+Programacion[[#This Row],[JUNIO]]</f>
        <v>1080</v>
      </c>
      <c r="AP10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0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08" s="116"/>
    </row>
    <row r="109" spans="1:46" x14ac:dyDescent="0.25">
      <c r="A109" s="40" t="s">
        <v>109</v>
      </c>
      <c r="B109" s="35" t="s">
        <v>111</v>
      </c>
      <c r="C109" s="36" t="s">
        <v>56</v>
      </c>
      <c r="D109" s="36" t="s">
        <v>48</v>
      </c>
      <c r="E109" s="37">
        <v>31</v>
      </c>
      <c r="F109" s="38">
        <v>2.2999999999999998</v>
      </c>
      <c r="G109" s="36" t="s">
        <v>70</v>
      </c>
      <c r="H109" s="39"/>
      <c r="I109" s="39"/>
      <c r="J109" s="39"/>
      <c r="K109" s="39"/>
      <c r="L109" s="39">
        <v>10000</v>
      </c>
      <c r="M109" s="39">
        <v>10000</v>
      </c>
      <c r="N109" s="39">
        <v>5000</v>
      </c>
      <c r="O109" s="39">
        <v>5000</v>
      </c>
      <c r="P109" s="39">
        <v>5000</v>
      </c>
      <c r="Q109" s="39">
        <v>5000</v>
      </c>
      <c r="R109" s="39">
        <v>5000</v>
      </c>
      <c r="S109" s="39">
        <v>5000</v>
      </c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09" s="19">
        <f>Programacion[[#This Row],[ENERO]]+Programacion[[#This Row],[FEBRERO]]+Programacion[[#This Row],[MARZO]]</f>
        <v>10000</v>
      </c>
      <c r="AH109" s="19">
        <f>Programacion[[#This Row],[DEVENGADO ENERO]]+Programacion[[#This Row],[DEVENGADO FEBRERO]]+Programacion[[#This Row],[DEVENGADO MARZO]]</f>
        <v>10000</v>
      </c>
      <c r="AI109" s="19">
        <f>Programacion[[#This Row],[ABRIL]]+Programacion[[#This Row],[MAYO]]+Programacion[[#This Row],[JUNIO]]</f>
        <v>15000</v>
      </c>
      <c r="AJ109" s="19">
        <f>Programacion[[#This Row],[DEVENGADO ABRIL]]+Programacion[[#This Row],[DEVENGADO MAYO]]+Programacion[[#This Row],[DEVENGADO JUNIO]]</f>
        <v>15000</v>
      </c>
      <c r="AK109" s="19">
        <f>Programacion[[#This Row],[JULIO]]+Programacion[[#This Row],[AGOSTO]]+Programacion[[#This Row],[SEPTIEMBRE]]</f>
        <v>0</v>
      </c>
      <c r="AL109" s="19">
        <f>Programacion[[#This Row],[DEVENGADO JULIO]]+Programacion[[#This Row],[DEVENGADO AGOSTO]]+Programacion[[#This Row],[DEVENGADO SEPTIEMBRE]]</f>
        <v>0</v>
      </c>
      <c r="AM109" s="19">
        <f>Programacion[[#This Row],[OCTUBRE]]+Programacion[[#This Row],[NOVIEMBRE]]+Programacion[[#This Row],[DICIEMBRE]]</f>
        <v>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25000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09" s="116"/>
    </row>
    <row r="110" spans="1:46" x14ac:dyDescent="0.25">
      <c r="A110" s="40" t="s">
        <v>109</v>
      </c>
      <c r="B110" s="35" t="s">
        <v>111</v>
      </c>
      <c r="C110" s="36" t="s">
        <v>56</v>
      </c>
      <c r="D110" s="36" t="s">
        <v>48</v>
      </c>
      <c r="E110" s="37">
        <v>31</v>
      </c>
      <c r="F110" s="38">
        <v>2.2999999999999998</v>
      </c>
      <c r="G110" s="36" t="s">
        <v>70</v>
      </c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>
        <v>5000</v>
      </c>
      <c r="U110" s="39">
        <v>5000</v>
      </c>
      <c r="V110" s="39">
        <v>5000</v>
      </c>
      <c r="W110" s="39">
        <v>5000</v>
      </c>
      <c r="X110" s="39">
        <v>5000</v>
      </c>
      <c r="Y110" s="39"/>
      <c r="Z110" s="39">
        <v>5000</v>
      </c>
      <c r="AA110" s="39"/>
      <c r="AB110" s="39">
        <v>5000</v>
      </c>
      <c r="AC110" s="39"/>
      <c r="AD110" s="39">
        <v>5000</v>
      </c>
      <c r="AE110" s="39"/>
      <c r="AF11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0" s="19">
        <f>Programacion[[#This Row],[ENERO]]+Programacion[[#This Row],[FEBRERO]]+Programacion[[#This Row],[MARZO]]</f>
        <v>0</v>
      </c>
      <c r="AH110" s="19">
        <f>Programacion[[#This Row],[DEVENGADO ENERO]]+Programacion[[#This Row],[DEVENGADO FEBRERO]]+Programacion[[#This Row],[DEVENGADO MARZO]]</f>
        <v>0</v>
      </c>
      <c r="AI110" s="19">
        <f>Programacion[[#This Row],[ABRIL]]+Programacion[[#This Row],[MAYO]]+Programacion[[#This Row],[JUNIO]]</f>
        <v>0</v>
      </c>
      <c r="AJ110" s="19">
        <f>Programacion[[#This Row],[DEVENGADO ABRIL]]+Programacion[[#This Row],[DEVENGADO MAYO]]+Programacion[[#This Row],[DEVENGADO JUNIO]]</f>
        <v>0</v>
      </c>
      <c r="AK110" s="19">
        <f>Programacion[[#This Row],[JULIO]]+Programacion[[#This Row],[AGOSTO]]+Programacion[[#This Row],[SEPTIEMBRE]]</f>
        <v>15000</v>
      </c>
      <c r="AL110" s="19">
        <f>Programacion[[#This Row],[DEVENGADO JULIO]]+Programacion[[#This Row],[DEVENGADO AGOSTO]]+Programacion[[#This Row],[DEVENGADO SEPTIEMBRE]]</f>
        <v>10000</v>
      </c>
      <c r="AM110" s="19">
        <f>Programacion[[#This Row],[OCTUBRE]]+Programacion[[#This Row],[NOVIEMBRE]]+Programacion[[#This Row],[DICIEMBRE]]</f>
        <v>15000</v>
      </c>
      <c r="AN110" s="20">
        <f>Programacion[[#This Row],[DEVENGADO OCTUBRE]]+Programacion[[#This Row],[DEVENGADO NOVIEMBRE]]+Programacion[[#This Row],[DEVENGADO DICIEMBRE]]</f>
        <v>0</v>
      </c>
      <c r="AO110" s="20">
        <f>Programacion[[#This Row],[ENERO]]+Programacion[[#This Row],[FEBRERO]]+Programacion[[#This Row],[MARZO]]+Programacion[[#This Row],[ABRIL]]+Programacion[[#This Row],[MAYO]]+Programacion[[#This Row],[JUNIO]]</f>
        <v>0</v>
      </c>
      <c r="AP11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10" s="116"/>
    </row>
    <row r="111" spans="1:46" ht="30" x14ac:dyDescent="0.25">
      <c r="A111" s="40" t="s">
        <v>109</v>
      </c>
      <c r="B111" s="35" t="s">
        <v>112</v>
      </c>
      <c r="C111" s="36" t="s">
        <v>56</v>
      </c>
      <c r="D111" s="36" t="s">
        <v>48</v>
      </c>
      <c r="E111" s="37">
        <v>31</v>
      </c>
      <c r="F111" s="38">
        <v>2.2999999999999998</v>
      </c>
      <c r="G111" s="36" t="s">
        <v>70</v>
      </c>
      <c r="H111" s="39"/>
      <c r="I111" s="39"/>
      <c r="J111" s="39"/>
      <c r="K111" s="39"/>
      <c r="L111" s="39">
        <v>10000</v>
      </c>
      <c r="M111" s="39">
        <v>10000</v>
      </c>
      <c r="N111" s="39">
        <v>5000</v>
      </c>
      <c r="O111" s="39">
        <v>5000</v>
      </c>
      <c r="P111" s="39">
        <v>5000</v>
      </c>
      <c r="Q111" s="39">
        <v>5000</v>
      </c>
      <c r="R111" s="39">
        <v>5000</v>
      </c>
      <c r="S111" s="39">
        <v>5000</v>
      </c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11" s="19">
        <f>Programacion[[#This Row],[ENERO]]+Programacion[[#This Row],[FEBRERO]]+Programacion[[#This Row],[MARZO]]</f>
        <v>10000</v>
      </c>
      <c r="AH111" s="19">
        <f>Programacion[[#This Row],[DEVENGADO ENERO]]+Programacion[[#This Row],[DEVENGADO FEBRERO]]+Programacion[[#This Row],[DEVENGADO MARZO]]</f>
        <v>10000</v>
      </c>
      <c r="AI111" s="19">
        <f>Programacion[[#This Row],[ABRIL]]+Programacion[[#This Row],[MAYO]]+Programacion[[#This Row],[JUNIO]]</f>
        <v>15000</v>
      </c>
      <c r="AJ111" s="19">
        <f>Programacion[[#This Row],[DEVENGADO ABRIL]]+Programacion[[#This Row],[DEVENGADO MAYO]]+Programacion[[#This Row],[DEVENGADO JUNIO]]</f>
        <v>15000</v>
      </c>
      <c r="AK111" s="19">
        <f>Programacion[[#This Row],[JULIO]]+Programacion[[#This Row],[AGOSTO]]+Programacion[[#This Row],[SEPTIEMBRE]]</f>
        <v>0</v>
      </c>
      <c r="AL111" s="19">
        <f>Programacion[[#This Row],[DEVENGADO JULIO]]+Programacion[[#This Row],[DEVENGADO AGOSTO]]+Programacion[[#This Row],[DEVENGADO SEPTIEMBRE]]</f>
        <v>0</v>
      </c>
      <c r="AM111" s="19">
        <f>Programacion[[#This Row],[OCTUBRE]]+Programacion[[#This Row],[NOVIEMBRE]]+Programacion[[#This Row],[DICIEMBRE]]</f>
        <v>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25000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11" s="116"/>
    </row>
    <row r="112" spans="1:46" ht="30" x14ac:dyDescent="0.25">
      <c r="A112" s="40" t="s">
        <v>109</v>
      </c>
      <c r="B112" s="35" t="s">
        <v>113</v>
      </c>
      <c r="C112" s="36" t="s">
        <v>56</v>
      </c>
      <c r="D112" s="36" t="s">
        <v>48</v>
      </c>
      <c r="E112" s="37">
        <v>31</v>
      </c>
      <c r="F112" s="38">
        <v>2.2999999999999998</v>
      </c>
      <c r="G112" s="36" t="s">
        <v>70</v>
      </c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>
        <v>5000</v>
      </c>
      <c r="U112" s="33">
        <v>5000</v>
      </c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12" s="33">
        <f>Programacion[[#This Row],[ENERO]]+Programacion[[#This Row],[FEBRERO]]+Programacion[[#This Row],[MARZO]]</f>
        <v>0</v>
      </c>
      <c r="AH112" s="33">
        <f>Programacion[[#This Row],[DEVENGADO ENERO]]+Programacion[[#This Row],[DEVENGADO FEBRERO]]+Programacion[[#This Row],[DEVENGADO MARZO]]</f>
        <v>0</v>
      </c>
      <c r="AI112" s="33">
        <f>Programacion[[#This Row],[ABRIL]]+Programacion[[#This Row],[MAYO]]+Programacion[[#This Row],[JUNIO]]</f>
        <v>0</v>
      </c>
      <c r="AJ112" s="33">
        <f>Programacion[[#This Row],[DEVENGADO ABRIL]]+Programacion[[#This Row],[DEVENGADO MAYO]]+Programacion[[#This Row],[DEVENGADO JUNIO]]</f>
        <v>0</v>
      </c>
      <c r="AK112" s="33">
        <f>Programacion[[#This Row],[JULIO]]+Programacion[[#This Row],[AGOSTO]]+Programacion[[#This Row],[SEPTIEMBRE]]</f>
        <v>5000</v>
      </c>
      <c r="AL112" s="33">
        <f>Programacion[[#This Row],[DEVENGADO JULIO]]+Programacion[[#This Row],[DEVENGADO AGOSTO]]+Programacion[[#This Row],[DEVENGADO SEPTIEMBRE]]</f>
        <v>5000</v>
      </c>
      <c r="AM112" s="33">
        <f>Programacion[[#This Row],[OCTUBRE]]+Programacion[[#This Row],[NOVIEMBRE]]+Programacion[[#This Row],[DICIEMBRE]]</f>
        <v>0</v>
      </c>
      <c r="AN112" s="21">
        <f>Programacion[[#This Row],[DEVENGADO OCTUBRE]]+Programacion[[#This Row],[DEVENGADO NOVIEMBRE]]+Programacion[[#This Row],[DEVENGADO DICIEMBRE]]</f>
        <v>0</v>
      </c>
      <c r="AO112" s="21">
        <f>Programacion[[#This Row],[ENERO]]+Programacion[[#This Row],[FEBRERO]]+Programacion[[#This Row],[MARZO]]+Programacion[[#This Row],[ABRIL]]+Programacion[[#This Row],[MAYO]]+Programacion[[#This Row],[JUNIO]]</f>
        <v>0</v>
      </c>
      <c r="AP11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1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2" s="116"/>
    </row>
    <row r="113" spans="1:46" ht="30.75" customHeight="1" x14ac:dyDescent="0.25">
      <c r="A113" s="40" t="s">
        <v>109</v>
      </c>
      <c r="B113" s="35" t="s">
        <v>113</v>
      </c>
      <c r="C113" s="36" t="s">
        <v>56</v>
      </c>
      <c r="D113" s="36" t="s">
        <v>48</v>
      </c>
      <c r="E113" s="37">
        <v>31</v>
      </c>
      <c r="F113" s="38">
        <v>2.2999999999999998</v>
      </c>
      <c r="G113" s="36" t="s">
        <v>70</v>
      </c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>
        <v>5000</v>
      </c>
      <c r="W113" s="39">
        <v>5000</v>
      </c>
      <c r="X113" s="39">
        <v>5000</v>
      </c>
      <c r="Y113" s="39"/>
      <c r="Z113" s="39"/>
      <c r="AA113" s="39"/>
      <c r="AB113" s="39"/>
      <c r="AC113" s="39"/>
      <c r="AD113" s="39"/>
      <c r="AE113" s="39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13" s="19">
        <f>Programacion[[#This Row],[ENERO]]+Programacion[[#This Row],[FEBRERO]]+Programacion[[#This Row],[MARZO]]</f>
        <v>0</v>
      </c>
      <c r="AH113" s="19">
        <f>Programacion[[#This Row],[DEVENGADO ENERO]]+Programacion[[#This Row],[DEVENGADO FEBRERO]]+Programacion[[#This Row],[DEVENGADO MARZO]]</f>
        <v>0</v>
      </c>
      <c r="AI113" s="19">
        <f>Programacion[[#This Row],[ABRIL]]+Programacion[[#This Row],[MAYO]]+Programacion[[#This Row],[JUNIO]]</f>
        <v>0</v>
      </c>
      <c r="AJ113" s="19">
        <f>Programacion[[#This Row],[DEVENGADO ABRIL]]+Programacion[[#This Row],[DEVENGADO MAYO]]+Programacion[[#This Row],[DEVENGADO JUNIO]]</f>
        <v>0</v>
      </c>
      <c r="AK113" s="19">
        <f>Programacion[[#This Row],[JULIO]]+Programacion[[#This Row],[AGOSTO]]+Programacion[[#This Row],[SEPTIEMBRE]]</f>
        <v>10000</v>
      </c>
      <c r="AL113" s="19">
        <f>Programacion[[#This Row],[DEVENGADO JULIO]]+Programacion[[#This Row],[DEVENGADO AGOSTO]]+Programacion[[#This Row],[DEVENGADO SEPTIEMBRE]]</f>
        <v>5000</v>
      </c>
      <c r="AM113" s="19">
        <f>Programacion[[#This Row],[OCTUBRE]]+Programacion[[#This Row],[NOVIEMBRE]]+Programacion[[#This Row],[DICIEMBRE]]</f>
        <v>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3" s="116"/>
    </row>
    <row r="114" spans="1:46" ht="30" x14ac:dyDescent="0.25">
      <c r="A114" s="40" t="s">
        <v>109</v>
      </c>
      <c r="B114" s="35" t="s">
        <v>116</v>
      </c>
      <c r="C114" s="36" t="s">
        <v>73</v>
      </c>
      <c r="D114" s="36" t="s">
        <v>48</v>
      </c>
      <c r="E114" s="37">
        <v>39</v>
      </c>
      <c r="F114" s="38">
        <v>2.2999999999999998</v>
      </c>
      <c r="G114" s="36" t="s">
        <v>74</v>
      </c>
      <c r="H114" s="39"/>
      <c r="I114" s="39"/>
      <c r="J114" s="39"/>
      <c r="K114" s="39"/>
      <c r="L114" s="39"/>
      <c r="M114" s="39"/>
      <c r="N114" s="39">
        <v>2500</v>
      </c>
      <c r="O114" s="39"/>
      <c r="P114" s="39"/>
      <c r="Q114" s="39">
        <v>2500</v>
      </c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14" s="19">
        <f>Programacion[[#This Row],[ENERO]]+Programacion[[#This Row],[FEBRERO]]+Programacion[[#This Row],[MARZO]]</f>
        <v>0</v>
      </c>
      <c r="AH114" s="19">
        <f>Programacion[[#This Row],[DEVENGADO ENERO]]+Programacion[[#This Row],[DEVENGADO FEBRERO]]+Programacion[[#This Row],[DEVENGADO MARZO]]</f>
        <v>0</v>
      </c>
      <c r="AI114" s="19">
        <f>Programacion[[#This Row],[ABRIL]]+Programacion[[#This Row],[MAYO]]+Programacion[[#This Row],[JUNIO]]</f>
        <v>2500</v>
      </c>
      <c r="AJ114" s="19">
        <f>Programacion[[#This Row],[DEVENGADO ABRIL]]+Programacion[[#This Row],[DEVENGADO MAYO]]+Programacion[[#This Row],[DEVENGADO JUNIO]]</f>
        <v>2500</v>
      </c>
      <c r="AK114" s="19">
        <f>Programacion[[#This Row],[JULIO]]+Programacion[[#This Row],[AGOSTO]]+Programacion[[#This Row],[SEPTIEMBRE]]</f>
        <v>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2500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14" s="116"/>
    </row>
    <row r="115" spans="1:46" ht="30" x14ac:dyDescent="0.25">
      <c r="A115" s="40" t="s">
        <v>109</v>
      </c>
      <c r="B115" s="35" t="s">
        <v>117</v>
      </c>
      <c r="C115" s="36" t="s">
        <v>73</v>
      </c>
      <c r="D115" s="36" t="s">
        <v>48</v>
      </c>
      <c r="E115" s="37">
        <v>39</v>
      </c>
      <c r="F115" s="38">
        <v>2.2999999999999998</v>
      </c>
      <c r="G115" s="36" t="s">
        <v>74</v>
      </c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>
        <v>4500</v>
      </c>
      <c r="S115" s="39">
        <v>4500</v>
      </c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15" s="19">
        <f>Programacion[[#This Row],[ENERO]]+Programacion[[#This Row],[FEBRERO]]+Programacion[[#This Row],[MARZO]]</f>
        <v>0</v>
      </c>
      <c r="AH115" s="19">
        <f>Programacion[[#This Row],[DEVENGADO ENERO]]+Programacion[[#This Row],[DEVENGADO FEBRERO]]+Programacion[[#This Row],[DEVENGADO MARZO]]</f>
        <v>0</v>
      </c>
      <c r="AI115" s="19">
        <f>Programacion[[#This Row],[ABRIL]]+Programacion[[#This Row],[MAYO]]+Programacion[[#This Row],[JUNIO]]</f>
        <v>4500</v>
      </c>
      <c r="AJ115" s="19">
        <f>Programacion[[#This Row],[DEVENGADO ABRIL]]+Programacion[[#This Row],[DEVENGADO MAYO]]+Programacion[[#This Row],[DEVENGADO JUNIO]]</f>
        <v>4500</v>
      </c>
      <c r="AK115" s="19">
        <f>Programacion[[#This Row],[JULIO]]+Programacion[[#This Row],[AGOSTO]]+Programacion[[#This Row],[SEPTIEMBRE]]</f>
        <v>0</v>
      </c>
      <c r="AL115" s="19">
        <f>Programacion[[#This Row],[DEVENGADO JULIO]]+Programacion[[#This Row],[DEVENGADO AGOSTO]]+Programacion[[#This Row],[DEVENGADO SEPTIEMBRE]]</f>
        <v>0</v>
      </c>
      <c r="AM115" s="19">
        <f>Programacion[[#This Row],[OCTUBRE]]+Programacion[[#This Row],[NOVIEMBRE]]+Programacion[[#This Row],[DICIEMBRE]]</f>
        <v>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4500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15" s="116"/>
    </row>
    <row r="116" spans="1:46" ht="30" x14ac:dyDescent="0.25">
      <c r="A116" s="40" t="s">
        <v>109</v>
      </c>
      <c r="B116" s="35" t="s">
        <v>118</v>
      </c>
      <c r="C116" s="36" t="s">
        <v>73</v>
      </c>
      <c r="D116" s="36" t="s">
        <v>48</v>
      </c>
      <c r="E116" s="37">
        <v>39</v>
      </c>
      <c r="F116" s="38">
        <v>2.2999999999999998</v>
      </c>
      <c r="G116" s="36" t="s">
        <v>74</v>
      </c>
      <c r="H116" s="39"/>
      <c r="I116" s="39"/>
      <c r="J116" s="39"/>
      <c r="K116" s="39"/>
      <c r="L116" s="39"/>
      <c r="M116" s="39"/>
      <c r="N116" s="39"/>
      <c r="O116" s="39"/>
      <c r="P116" s="39">
        <v>3000</v>
      </c>
      <c r="Q116" s="39">
        <v>3000</v>
      </c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16" s="19">
        <f>Programacion[[#This Row],[ENERO]]+Programacion[[#This Row],[FEBRERO]]+Programacion[[#This Row],[MARZO]]</f>
        <v>0</v>
      </c>
      <c r="AH116" s="19">
        <f>Programacion[[#This Row],[DEVENGADO ENERO]]+Programacion[[#This Row],[DEVENGADO FEBRERO]]+Programacion[[#This Row],[DEVENGADO MARZO]]</f>
        <v>0</v>
      </c>
      <c r="AI116" s="19">
        <f>Programacion[[#This Row],[ABRIL]]+Programacion[[#This Row],[MAYO]]+Programacion[[#This Row],[JUNIO]]</f>
        <v>3000</v>
      </c>
      <c r="AJ116" s="19">
        <f>Programacion[[#This Row],[DEVENGADO ABRIL]]+Programacion[[#This Row],[DEVENGADO MAYO]]+Programacion[[#This Row],[DEVENGADO JUNIO]]</f>
        <v>3000</v>
      </c>
      <c r="AK116" s="19">
        <f>Programacion[[#This Row],[JULIO]]+Programacion[[#This Row],[AGOSTO]]+Programacion[[#This Row],[SEPTIEMBRE]]</f>
        <v>0</v>
      </c>
      <c r="AL116" s="19">
        <f>Programacion[[#This Row],[DEVENGADO JULIO]]+Programacion[[#This Row],[DEVENGADO AGOSTO]]+Programacion[[#This Row],[DEVENGADO SEPTIEMBRE]]</f>
        <v>0</v>
      </c>
      <c r="AM116" s="19">
        <f>Programacion[[#This Row],[OCTUBRE]]+Programacion[[#This Row],[NOVIEMBRE]]+Programacion[[#This Row],[DICIEMBRE]]</f>
        <v>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3000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16" s="116"/>
    </row>
    <row r="117" spans="1:46" x14ac:dyDescent="0.25">
      <c r="A117" s="40" t="s">
        <v>109</v>
      </c>
      <c r="B117" s="35" t="s">
        <v>119</v>
      </c>
      <c r="C117" s="36" t="s">
        <v>56</v>
      </c>
      <c r="D117" s="36" t="s">
        <v>48</v>
      </c>
      <c r="E117" s="37">
        <v>39</v>
      </c>
      <c r="F117" s="38">
        <v>2.2999999999999998</v>
      </c>
      <c r="G117" s="36" t="s">
        <v>70</v>
      </c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>
        <v>4000</v>
      </c>
      <c r="S117" s="39">
        <v>4000</v>
      </c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4000</v>
      </c>
      <c r="AJ117" s="19">
        <f>Programacion[[#This Row],[DEVENGADO ABRIL]]+Programacion[[#This Row],[DEVENGADO MAYO]]+Programacion[[#This Row],[DEVENGADO JUNIO]]</f>
        <v>4000</v>
      </c>
      <c r="AK117" s="19">
        <f>Programacion[[#This Row],[JULIO]]+Programacion[[#This Row],[AGOSTO]]+Programacion[[#This Row],[SEPTIEMBRE]]</f>
        <v>0</v>
      </c>
      <c r="AL117" s="19">
        <f>Programacion[[#This Row],[DEVENGADO JULIO]]+Programacion[[#This Row],[DEVENGADO AGOSTO]]+Programacion[[#This Row],[DEVENGADO SEPTIEMBRE]]</f>
        <v>0</v>
      </c>
      <c r="AM117" s="19">
        <f>Programacion[[#This Row],[OCTUBRE]]+Programacion[[#This Row],[NOVIEMBRE]]+Programacion[[#This Row],[DICIEMBRE]]</f>
        <v>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4000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17" s="116"/>
    </row>
    <row r="118" spans="1:46" ht="30" x14ac:dyDescent="0.25">
      <c r="A118" s="40" t="s">
        <v>109</v>
      </c>
      <c r="B118" s="35" t="s">
        <v>116</v>
      </c>
      <c r="C118" s="36" t="s">
        <v>73</v>
      </c>
      <c r="D118" s="36" t="s">
        <v>48</v>
      </c>
      <c r="E118" s="37">
        <v>39</v>
      </c>
      <c r="F118" s="38">
        <v>2.2999999999999998</v>
      </c>
      <c r="G118" s="36" t="s">
        <v>74</v>
      </c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>
        <v>3800</v>
      </c>
      <c r="S118" s="33">
        <v>3800</v>
      </c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18" s="33">
        <f>Programacion[[#This Row],[ENERO]]+Programacion[[#This Row],[FEBRERO]]+Programacion[[#This Row],[MARZO]]</f>
        <v>0</v>
      </c>
      <c r="AH118" s="33">
        <f>Programacion[[#This Row],[DEVENGADO ENERO]]+Programacion[[#This Row],[DEVENGADO FEBRERO]]+Programacion[[#This Row],[DEVENGADO MARZO]]</f>
        <v>0</v>
      </c>
      <c r="AI118" s="33">
        <f>Programacion[[#This Row],[ABRIL]]+Programacion[[#This Row],[MAYO]]+Programacion[[#This Row],[JUNIO]]</f>
        <v>3800</v>
      </c>
      <c r="AJ118" s="33">
        <f>Programacion[[#This Row],[DEVENGADO ABRIL]]+Programacion[[#This Row],[DEVENGADO MAYO]]+Programacion[[#This Row],[DEVENGADO JUNIO]]</f>
        <v>3800</v>
      </c>
      <c r="AK118" s="33">
        <f>Programacion[[#This Row],[JULIO]]+Programacion[[#This Row],[AGOSTO]]+Programacion[[#This Row],[SEPTIEMBRE]]</f>
        <v>0</v>
      </c>
      <c r="AL118" s="33">
        <f>Programacion[[#This Row],[DEVENGADO JULIO]]+Programacion[[#This Row],[DEVENGADO AGOSTO]]+Programacion[[#This Row],[DEVENGADO SEPTIEMBRE]]</f>
        <v>0</v>
      </c>
      <c r="AM118" s="33">
        <f>Programacion[[#This Row],[OCTUBRE]]+Programacion[[#This Row],[NOVIEMBRE]]+Programacion[[#This Row],[DICIEMBRE]]</f>
        <v>0</v>
      </c>
      <c r="AN118" s="21">
        <f>Programacion[[#This Row],[DEVENGADO OCTUBRE]]+Programacion[[#This Row],[DEVENGADO NOVIEMBRE]]+Programacion[[#This Row],[DEVENGADO DICIEMBRE]]</f>
        <v>0</v>
      </c>
      <c r="AO118" s="21">
        <f>Programacion[[#This Row],[ENERO]]+Programacion[[#This Row],[FEBRERO]]+Programacion[[#This Row],[MARZO]]+Programacion[[#This Row],[ABRIL]]+Programacion[[#This Row],[MAYO]]+Programacion[[#This Row],[JUNIO]]</f>
        <v>3800</v>
      </c>
      <c r="AP1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1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18" s="116"/>
    </row>
    <row r="119" spans="1:46" ht="30" x14ac:dyDescent="0.25">
      <c r="A119" s="40" t="s">
        <v>109</v>
      </c>
      <c r="B119" s="35" t="s">
        <v>121</v>
      </c>
      <c r="C119" s="36" t="s">
        <v>106</v>
      </c>
      <c r="D119" s="36" t="s">
        <v>48</v>
      </c>
      <c r="E119" s="41">
        <v>39</v>
      </c>
      <c r="F119" s="42">
        <v>2.2999999999999998</v>
      </c>
      <c r="G119" s="43" t="s">
        <v>107</v>
      </c>
      <c r="H119" s="39"/>
      <c r="I119" s="39"/>
      <c r="J119" s="39"/>
      <c r="K119" s="39"/>
      <c r="L119" s="39"/>
      <c r="M119" s="39"/>
      <c r="N119" s="39"/>
      <c r="O119" s="39"/>
      <c r="P119" s="39">
        <v>1280.67</v>
      </c>
      <c r="Q119" s="39">
        <v>1280.67</v>
      </c>
      <c r="R119" s="39">
        <v>1130</v>
      </c>
      <c r="S119" s="39">
        <v>1130</v>
      </c>
      <c r="T119" s="39">
        <v>1130</v>
      </c>
      <c r="U119" s="39">
        <v>1130</v>
      </c>
      <c r="V119" s="39">
        <v>1130</v>
      </c>
      <c r="W119" s="39">
        <v>1130</v>
      </c>
      <c r="X119" s="39">
        <v>1130</v>
      </c>
      <c r="Y119" s="39"/>
      <c r="Z119" s="39">
        <v>1130</v>
      </c>
      <c r="AA119" s="39"/>
      <c r="AB119" s="39">
        <v>1130</v>
      </c>
      <c r="AC119" s="39"/>
      <c r="AD119" s="39">
        <v>1130</v>
      </c>
      <c r="AE119" s="39"/>
      <c r="AF1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19" s="19">
        <f>Programacion[[#This Row],[ENERO]]+Programacion[[#This Row],[FEBRERO]]+Programacion[[#This Row],[MARZO]]</f>
        <v>0</v>
      </c>
      <c r="AH119" s="19">
        <f>Programacion[[#This Row],[DEVENGADO ENERO]]+Programacion[[#This Row],[DEVENGADO FEBRERO]]+Programacion[[#This Row],[DEVENGADO MARZO]]</f>
        <v>0</v>
      </c>
      <c r="AI119" s="19">
        <f>Programacion[[#This Row],[ABRIL]]+Programacion[[#This Row],[MAYO]]+Programacion[[#This Row],[JUNIO]]</f>
        <v>2410.67</v>
      </c>
      <c r="AJ119" s="19">
        <f>Programacion[[#This Row],[DEVENGADO ABRIL]]+Programacion[[#This Row],[DEVENGADO MAYO]]+Programacion[[#This Row],[DEVENGADO JUNIO]]</f>
        <v>2410.67</v>
      </c>
      <c r="AK119" s="19">
        <f>Programacion[[#This Row],[JULIO]]+Programacion[[#This Row],[AGOSTO]]+Programacion[[#This Row],[SEPTIEMBRE]]</f>
        <v>3390</v>
      </c>
      <c r="AL119" s="19">
        <f>Programacion[[#This Row],[DEVENGADO JULIO]]+Programacion[[#This Row],[DEVENGADO AGOSTO]]+Programacion[[#This Row],[DEVENGADO SEPTIEMBRE]]</f>
        <v>2260</v>
      </c>
      <c r="AM119" s="19">
        <f>Programacion[[#This Row],[OCTUBRE]]+Programacion[[#This Row],[NOVIEMBRE]]+Programacion[[#This Row],[DICIEMBRE]]</f>
        <v>3390</v>
      </c>
      <c r="AN119" s="20">
        <f>Programacion[[#This Row],[DEVENGADO OCTUBRE]]+Programacion[[#This Row],[DEVENGADO NOVIEMBRE]]+Programacion[[#This Row],[DEVENGADO DICIEMBRE]]</f>
        <v>0</v>
      </c>
      <c r="AO119" s="20">
        <f>Programacion[[#This Row],[ENERO]]+Programacion[[#This Row],[FEBRERO]]+Programacion[[#This Row],[MARZO]]+Programacion[[#This Row],[ABRIL]]+Programacion[[#This Row],[MAYO]]+Programacion[[#This Row],[JUNIO]]</f>
        <v>2410.67</v>
      </c>
      <c r="AP1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19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2260</v>
      </c>
      <c r="AS1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4670.67</v>
      </c>
      <c r="AT119" s="116"/>
    </row>
    <row r="120" spans="1:46" x14ac:dyDescent="0.25">
      <c r="A120" s="128" t="s">
        <v>109</v>
      </c>
      <c r="B120" s="128" t="s">
        <v>230</v>
      </c>
      <c r="C120" s="128" t="s">
        <v>262</v>
      </c>
      <c r="D120" s="129" t="s">
        <v>48</v>
      </c>
      <c r="E120" s="130">
        <v>39</v>
      </c>
      <c r="F120" s="130">
        <v>23</v>
      </c>
      <c r="G120" s="129" t="s">
        <v>190</v>
      </c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>
        <v>3240</v>
      </c>
      <c r="W120" s="33"/>
      <c r="X120" s="33">
        <v>3240</v>
      </c>
      <c r="Y120" s="33"/>
      <c r="Z120" s="33"/>
      <c r="AA120" s="33"/>
      <c r="AB120" s="33"/>
      <c r="AC120" s="33"/>
      <c r="AD120" s="33"/>
      <c r="AE120" s="33"/>
      <c r="AF1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6480</v>
      </c>
      <c r="AG120" s="33">
        <f>Programacion[[#This Row],[ENERO]]+Programacion[[#This Row],[FEBRERO]]+Programacion[[#This Row],[MARZO]]</f>
        <v>0</v>
      </c>
      <c r="AH120" s="33">
        <f>Programacion[[#This Row],[DEVENGADO ENERO]]+Programacion[[#This Row],[DEVENGADO FEBRERO]]+Programacion[[#This Row],[DEVENGADO MARZO]]</f>
        <v>0</v>
      </c>
      <c r="AI120" s="33">
        <f>Programacion[[#This Row],[ABRIL]]+Programacion[[#This Row],[MAYO]]+Programacion[[#This Row],[JUNIO]]</f>
        <v>0</v>
      </c>
      <c r="AJ120" s="33">
        <f>Programacion[[#This Row],[DEVENGADO ABRIL]]+Programacion[[#This Row],[DEVENGADO MAYO]]+Programacion[[#This Row],[DEVENGADO JUNIO]]</f>
        <v>0</v>
      </c>
      <c r="AK120" s="33">
        <f>Programacion[[#This Row],[JULIO]]+Programacion[[#This Row],[AGOSTO]]+Programacion[[#This Row],[SEPTIEMBRE]]</f>
        <v>6480</v>
      </c>
      <c r="AL120" s="33">
        <f>Programacion[[#This Row],[DEVENGADO JULIO]]+Programacion[[#This Row],[DEVENGADO AGOSTO]]+Programacion[[#This Row],[DEVENGADO SEPTIEMBRE]]</f>
        <v>0</v>
      </c>
      <c r="AM120" s="33">
        <f>Programacion[[#This Row],[OCTUBRE]]+Programacion[[#This Row],[NOVIEMBRE]]+Programacion[[#This Row],[DICIEMBRE]]</f>
        <v>0</v>
      </c>
      <c r="AN120" s="21">
        <f>Programacion[[#This Row],[DEVENGADO OCTUBRE]]+Programacion[[#This Row],[DEVENGADO NOVIEMBRE]]+Programacion[[#This Row],[DEVENGADO DICIEMBRE]]</f>
        <v>0</v>
      </c>
      <c r="AO120" s="21">
        <f>Programacion[[#This Row],[ENERO]]+Programacion[[#This Row],[FEBRERO]]+Programacion[[#This Row],[MARZO]]+Programacion[[#This Row],[ABRIL]]+Programacion[[#This Row],[MAYO]]+Programacion[[#This Row],[JUNIO]]</f>
        <v>0</v>
      </c>
      <c r="AP1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0" s="21">
        <f>Programacion[[#This Row],[JULIO]]+Programacion[[#This Row],[AGOSTO]]+Programacion[[#This Row],[SEPTIEMBRE]]+Programacion[[#This Row],[OCTUBRE]]+Programacion[[#This Row],[NOVIEMBRE]]+Programacion[[#This Row],[DICIEMBRE]]</f>
        <v>6480</v>
      </c>
      <c r="AR1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0" s="116"/>
    </row>
    <row r="121" spans="1:46" x14ac:dyDescent="0.25">
      <c r="A121" s="44" t="s">
        <v>123</v>
      </c>
      <c r="B121" s="45" t="s">
        <v>124</v>
      </c>
      <c r="C121" s="46" t="s">
        <v>56</v>
      </c>
      <c r="D121" s="46" t="s">
        <v>48</v>
      </c>
      <c r="E121" s="47">
        <v>39</v>
      </c>
      <c r="F121" s="48">
        <v>2.2999999999999998</v>
      </c>
      <c r="G121" s="46" t="s">
        <v>70</v>
      </c>
      <c r="H121" s="49"/>
      <c r="I121" s="49"/>
      <c r="J121" s="49"/>
      <c r="K121" s="49"/>
      <c r="L121" s="49">
        <v>7920</v>
      </c>
      <c r="M121" s="49">
        <v>7920</v>
      </c>
      <c r="N121" s="49">
        <v>3960</v>
      </c>
      <c r="O121" s="49">
        <v>3960</v>
      </c>
      <c r="P121" s="49">
        <v>3960</v>
      </c>
      <c r="Q121" s="49">
        <v>3960</v>
      </c>
      <c r="R121" s="49">
        <v>3960</v>
      </c>
      <c r="S121" s="49">
        <v>3960</v>
      </c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21" s="19">
        <f>Programacion[[#This Row],[ENERO]]+Programacion[[#This Row],[FEBRERO]]+Programacion[[#This Row],[MARZO]]</f>
        <v>7920</v>
      </c>
      <c r="AH121" s="19">
        <f>Programacion[[#This Row],[DEVENGADO ENERO]]+Programacion[[#This Row],[DEVENGADO FEBRERO]]+Programacion[[#This Row],[DEVENGADO MARZO]]</f>
        <v>7920</v>
      </c>
      <c r="AI121" s="19">
        <f>Programacion[[#This Row],[ABRIL]]+Programacion[[#This Row],[MAYO]]+Programacion[[#This Row],[JUNIO]]</f>
        <v>11880</v>
      </c>
      <c r="AJ121" s="19">
        <f>Programacion[[#This Row],[DEVENGADO ABRIL]]+Programacion[[#This Row],[DEVENGADO MAYO]]+Programacion[[#This Row],[DEVENGADO JUNIO]]</f>
        <v>11880</v>
      </c>
      <c r="AK121" s="19">
        <f>Programacion[[#This Row],[JULIO]]+Programacion[[#This Row],[AGOSTO]]+Programacion[[#This Row],[SEPTIEMBRE]]</f>
        <v>0</v>
      </c>
      <c r="AL121" s="19">
        <f>Programacion[[#This Row],[DEVENGADO JULIO]]+Programacion[[#This Row],[DEVENGADO AGOSTO]]+Programacion[[#This Row],[DEVENGADO SEPTIEMBRE]]</f>
        <v>0</v>
      </c>
      <c r="AM121" s="19">
        <f>Programacion[[#This Row],[OCTUBRE]]+Programacion[[#This Row],[NOVIEMBRE]]+Programacion[[#This Row],[DICIEMBRE]]</f>
        <v>0</v>
      </c>
      <c r="AN121" s="20">
        <f>Programacion[[#This Row],[DEVENGADO OCTUBRE]]+Programacion[[#This Row],[DEVENGADO NOVIEMBRE]]+Programacion[[#This Row],[DEVENGADO DICIEMBRE]]</f>
        <v>0</v>
      </c>
      <c r="AO121" s="20">
        <f>Programacion[[#This Row],[ENERO]]+Programacion[[#This Row],[FEBRERO]]+Programacion[[#This Row],[MARZO]]+Programacion[[#This Row],[ABRIL]]+Programacion[[#This Row],[MAYO]]+Programacion[[#This Row],[JUNIO]]</f>
        <v>19800</v>
      </c>
      <c r="AP1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2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21" s="116"/>
    </row>
    <row r="122" spans="1:46" x14ac:dyDescent="0.25">
      <c r="A122" s="44" t="s">
        <v>123</v>
      </c>
      <c r="B122" s="45" t="s">
        <v>124</v>
      </c>
      <c r="C122" s="46" t="s">
        <v>56</v>
      </c>
      <c r="D122" s="46" t="s">
        <v>48</v>
      </c>
      <c r="E122" s="47">
        <v>39</v>
      </c>
      <c r="F122" s="48">
        <v>2.2999999999999998</v>
      </c>
      <c r="G122" s="46" t="s">
        <v>70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>
        <v>3600</v>
      </c>
      <c r="U122" s="33">
        <v>3600</v>
      </c>
      <c r="V122" s="33">
        <v>4080</v>
      </c>
      <c r="W122" s="33">
        <v>4080</v>
      </c>
      <c r="X122" s="33">
        <v>4080</v>
      </c>
      <c r="Y122" s="33"/>
      <c r="Z122" s="33">
        <v>4080</v>
      </c>
      <c r="AA122" s="33"/>
      <c r="AB122" s="33">
        <v>4080</v>
      </c>
      <c r="AC122" s="33"/>
      <c r="AD122" s="33">
        <v>4080</v>
      </c>
      <c r="AE122" s="33"/>
      <c r="AF1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22" s="33">
        <f>Programacion[[#This Row],[ENERO]]+Programacion[[#This Row],[FEBRERO]]+Programacion[[#This Row],[MARZO]]</f>
        <v>0</v>
      </c>
      <c r="AH122" s="33">
        <f>Programacion[[#This Row],[DEVENGADO ENERO]]+Programacion[[#This Row],[DEVENGADO FEBRERO]]+Programacion[[#This Row],[DEVENGADO MARZO]]</f>
        <v>0</v>
      </c>
      <c r="AI122" s="33">
        <f>Programacion[[#This Row],[ABRIL]]+Programacion[[#This Row],[MAYO]]+Programacion[[#This Row],[JUNIO]]</f>
        <v>0</v>
      </c>
      <c r="AJ122" s="33">
        <f>Programacion[[#This Row],[DEVENGADO ABRIL]]+Programacion[[#This Row],[DEVENGADO MAYO]]+Programacion[[#This Row],[DEVENGADO JUNIO]]</f>
        <v>0</v>
      </c>
      <c r="AK122" s="33">
        <f>Programacion[[#This Row],[JULIO]]+Programacion[[#This Row],[AGOSTO]]+Programacion[[#This Row],[SEPTIEMBRE]]</f>
        <v>11760</v>
      </c>
      <c r="AL122" s="33">
        <f>Programacion[[#This Row],[DEVENGADO JULIO]]+Programacion[[#This Row],[DEVENGADO AGOSTO]]+Programacion[[#This Row],[DEVENGADO SEPTIEMBRE]]</f>
        <v>7680</v>
      </c>
      <c r="AM122" s="33">
        <f>Programacion[[#This Row],[OCTUBRE]]+Programacion[[#This Row],[NOVIEMBRE]]+Programacion[[#This Row],[DICIEMBRE]]</f>
        <v>12240</v>
      </c>
      <c r="AN122" s="21">
        <f>Programacion[[#This Row],[DEVENGADO OCTUBRE]]+Programacion[[#This Row],[DEVENGADO NOVIEMBRE]]+Programacion[[#This Row],[DEVENGADO DICIEMBRE]]</f>
        <v>0</v>
      </c>
      <c r="AO122" s="21">
        <f>Programacion[[#This Row],[ENERO]]+Programacion[[#This Row],[FEBRERO]]+Programacion[[#This Row],[MARZO]]+Programacion[[#This Row],[ABRIL]]+Programacion[[#This Row],[MAYO]]+Programacion[[#This Row],[JUNIO]]</f>
        <v>0</v>
      </c>
      <c r="AP1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2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S1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T122" s="116"/>
    </row>
    <row r="123" spans="1:46" ht="30" x14ac:dyDescent="0.25">
      <c r="A123" s="44" t="s">
        <v>123</v>
      </c>
      <c r="B123" s="45" t="s">
        <v>125</v>
      </c>
      <c r="C123" s="46" t="s">
        <v>56</v>
      </c>
      <c r="D123" s="46" t="s">
        <v>48</v>
      </c>
      <c r="E123" s="47">
        <v>39</v>
      </c>
      <c r="F123" s="48">
        <v>2.2999999999999998</v>
      </c>
      <c r="G123" s="46" t="s">
        <v>70</v>
      </c>
      <c r="H123" s="49"/>
      <c r="I123" s="49"/>
      <c r="J123" s="49"/>
      <c r="K123" s="49"/>
      <c r="L123" s="49"/>
      <c r="M123" s="49"/>
      <c r="N123" s="49">
        <v>8500</v>
      </c>
      <c r="O123" s="49">
        <v>8500</v>
      </c>
      <c r="P123" s="49">
        <v>8500</v>
      </c>
      <c r="Q123" s="49">
        <v>8500</v>
      </c>
      <c r="R123" s="49">
        <v>8500</v>
      </c>
      <c r="S123" s="49">
        <v>8500</v>
      </c>
      <c r="T123" s="49">
        <v>8500</v>
      </c>
      <c r="U123" s="49">
        <v>8500</v>
      </c>
      <c r="V123" s="49">
        <v>8500</v>
      </c>
      <c r="W123" s="49">
        <v>8500</v>
      </c>
      <c r="X123" s="49"/>
      <c r="Y123" s="49"/>
      <c r="Z123" s="49"/>
      <c r="AA123" s="49"/>
      <c r="AB123" s="49"/>
      <c r="AC123" s="49"/>
      <c r="AD123" s="49"/>
      <c r="AE123" s="49"/>
      <c r="AF1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23" s="19">
        <f>Programacion[[#This Row],[ENERO]]+Programacion[[#This Row],[FEBRERO]]+Programacion[[#This Row],[MARZO]]</f>
        <v>0</v>
      </c>
      <c r="AH123" s="19">
        <f>Programacion[[#This Row],[DEVENGADO ENERO]]+Programacion[[#This Row],[DEVENGADO FEBRERO]]+Programacion[[#This Row],[DEVENGADO MARZO]]</f>
        <v>0</v>
      </c>
      <c r="AI123" s="19">
        <f>Programacion[[#This Row],[ABRIL]]+Programacion[[#This Row],[MAYO]]+Programacion[[#This Row],[JUNIO]]</f>
        <v>25500</v>
      </c>
      <c r="AJ123" s="19">
        <f>Programacion[[#This Row],[DEVENGADO ABRIL]]+Programacion[[#This Row],[DEVENGADO MAYO]]+Programacion[[#This Row],[DEVENGADO JUNIO]]</f>
        <v>25500</v>
      </c>
      <c r="AK123" s="19">
        <f>Programacion[[#This Row],[JULIO]]+Programacion[[#This Row],[AGOSTO]]+Programacion[[#This Row],[SEPTIEMBRE]]</f>
        <v>17000</v>
      </c>
      <c r="AL123" s="19">
        <f>Programacion[[#This Row],[DEVENGADO JULIO]]+Programacion[[#This Row],[DEVENGADO AGOSTO]]+Programacion[[#This Row],[DEVENGADO SEPTIEMBRE]]</f>
        <v>17000</v>
      </c>
      <c r="AM123" s="19">
        <f>Programacion[[#This Row],[OCTUBRE]]+Programacion[[#This Row],[NOVIEMBRE]]+Programacion[[#This Row],[DICIEMBRE]]</f>
        <v>0</v>
      </c>
      <c r="AN123" s="20">
        <f>Programacion[[#This Row],[DEVENGADO OCTUBRE]]+Programacion[[#This Row],[DEVENGADO NOVIEMBRE]]+Programacion[[#This Row],[DEVENGADO DICIEMBRE]]</f>
        <v>0</v>
      </c>
      <c r="AO123" s="20">
        <f>Programacion[[#This Row],[ENERO]]+Programacion[[#This Row],[FEBRERO]]+Programacion[[#This Row],[MARZO]]+Programacion[[#This Row],[ABRIL]]+Programacion[[#This Row],[MAYO]]+Programacion[[#This Row],[JUNIO]]</f>
        <v>25500</v>
      </c>
      <c r="AP1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23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23" s="116"/>
    </row>
    <row r="124" spans="1:46" x14ac:dyDescent="0.25">
      <c r="A124" s="44" t="s">
        <v>123</v>
      </c>
      <c r="B124" s="45" t="s">
        <v>124</v>
      </c>
      <c r="C124" s="46" t="s">
        <v>56</v>
      </c>
      <c r="D124" s="46" t="s">
        <v>48</v>
      </c>
      <c r="E124" s="47">
        <v>39</v>
      </c>
      <c r="F124" s="48">
        <v>2.2999999999999998</v>
      </c>
      <c r="G124" s="46" t="s">
        <v>70</v>
      </c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>
        <v>8500</v>
      </c>
      <c r="AA124" s="49"/>
      <c r="AB124" s="49">
        <v>8500</v>
      </c>
      <c r="AC124" s="49"/>
      <c r="AD124" s="49">
        <v>8500</v>
      </c>
      <c r="AE124" s="50"/>
      <c r="AF1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25500</v>
      </c>
      <c r="AG124" s="19">
        <f>Programacion[[#This Row],[ENERO]]+Programacion[[#This Row],[FEBRERO]]+Programacion[[#This Row],[MARZO]]</f>
        <v>0</v>
      </c>
      <c r="AH124" s="19">
        <f>Programacion[[#This Row],[DEVENGADO ENERO]]+Programacion[[#This Row],[DEVENGADO FEBRERO]]+Programacion[[#This Row],[DEVENGADO MARZO]]</f>
        <v>0</v>
      </c>
      <c r="AI124" s="19">
        <f>Programacion[[#This Row],[ABRIL]]+Programacion[[#This Row],[MAYO]]+Programacion[[#This Row],[JUNIO]]</f>
        <v>0</v>
      </c>
      <c r="AJ124" s="19">
        <f>Programacion[[#This Row],[DEVENGADO ABRIL]]+Programacion[[#This Row],[DEVENGADO MAYO]]+Programacion[[#This Row],[DEVENGADO JUNIO]]</f>
        <v>0</v>
      </c>
      <c r="AK124" s="19">
        <f>Programacion[[#This Row],[JULIO]]+Programacion[[#This Row],[AGOSTO]]+Programacion[[#This Row],[SEPTIEMBRE]]</f>
        <v>0</v>
      </c>
      <c r="AL124" s="19">
        <f>Programacion[[#This Row],[DEVENGADO JULIO]]+Programacion[[#This Row],[DEVENGADO AGOSTO]]+Programacion[[#This Row],[DEVENGADO SEPTIEMBRE]]</f>
        <v>0</v>
      </c>
      <c r="AM124" s="19">
        <f>Programacion[[#This Row],[OCTUBRE]]+Programacion[[#This Row],[NOVIEMBRE]]+Programacion[[#This Row],[DICIEMBRE]]</f>
        <v>25500</v>
      </c>
      <c r="AN124" s="20">
        <f>Programacion[[#This Row],[DEVENGADO OCTUBRE]]+Programacion[[#This Row],[DEVENGADO NOVIEMBRE]]+Programacion[[#This Row],[DEVENGADO DICIEMBRE]]</f>
        <v>0</v>
      </c>
      <c r="AO124" s="20">
        <f>Programacion[[#This Row],[ENERO]]+Programacion[[#This Row],[FEBRERO]]+Programacion[[#This Row],[MARZO]]+Programacion[[#This Row],[ABRIL]]+Programacion[[#This Row],[MAYO]]+Programacion[[#This Row],[JUNIO]]</f>
        <v>0</v>
      </c>
      <c r="AP1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20">
        <f>Programacion[[#This Row],[JULIO]]+Programacion[[#This Row],[AGOSTO]]+Programacion[[#This Row],[SEPTIEMBRE]]+Programacion[[#This Row],[OCTUBRE]]+Programacion[[#This Row],[NOVIEMBRE]]+Programacion[[#This Row],[DICIEMBRE]]</f>
        <v>25500</v>
      </c>
      <c r="AR1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4" s="116"/>
    </row>
    <row r="125" spans="1:46" x14ac:dyDescent="0.25">
      <c r="A125" s="44" t="s">
        <v>123</v>
      </c>
      <c r="B125" s="45" t="s">
        <v>111</v>
      </c>
      <c r="C125" s="46" t="s">
        <v>56</v>
      </c>
      <c r="D125" s="46" t="s">
        <v>48</v>
      </c>
      <c r="E125" s="47">
        <v>3</v>
      </c>
      <c r="F125" s="48">
        <v>2.2999999999999998</v>
      </c>
      <c r="G125" s="46" t="s">
        <v>70</v>
      </c>
      <c r="H125" s="49"/>
      <c r="I125" s="49"/>
      <c r="J125" s="49"/>
      <c r="K125" s="49"/>
      <c r="L125" s="49">
        <v>11760</v>
      </c>
      <c r="M125" s="49">
        <v>11760</v>
      </c>
      <c r="N125" s="49">
        <v>5880</v>
      </c>
      <c r="O125" s="49">
        <v>5880</v>
      </c>
      <c r="P125" s="49">
        <v>5880</v>
      </c>
      <c r="Q125" s="49">
        <v>5880</v>
      </c>
      <c r="R125" s="49">
        <v>5880</v>
      </c>
      <c r="S125" s="49">
        <v>5880</v>
      </c>
      <c r="T125" s="49">
        <v>6300</v>
      </c>
      <c r="U125" s="49">
        <v>6300</v>
      </c>
      <c r="V125" s="49">
        <v>6300</v>
      </c>
      <c r="W125" s="49">
        <v>6300</v>
      </c>
      <c r="X125" s="49"/>
      <c r="Y125" s="49"/>
      <c r="Z125" s="49"/>
      <c r="AA125" s="49"/>
      <c r="AB125" s="49"/>
      <c r="AC125" s="49"/>
      <c r="AD125" s="49"/>
      <c r="AE125" s="49"/>
      <c r="AF1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25" s="19">
        <f>Programacion[[#This Row],[ENERO]]+Programacion[[#This Row],[FEBRERO]]+Programacion[[#This Row],[MARZO]]</f>
        <v>11760</v>
      </c>
      <c r="AH125" s="19">
        <f>Programacion[[#This Row],[DEVENGADO ENERO]]+Programacion[[#This Row],[DEVENGADO FEBRERO]]+Programacion[[#This Row],[DEVENGADO MARZO]]</f>
        <v>11760</v>
      </c>
      <c r="AI125" s="19">
        <f>Programacion[[#This Row],[ABRIL]]+Programacion[[#This Row],[MAYO]]+Programacion[[#This Row],[JUNIO]]</f>
        <v>17640</v>
      </c>
      <c r="AJ125" s="19">
        <f>Programacion[[#This Row],[DEVENGADO ABRIL]]+Programacion[[#This Row],[DEVENGADO MAYO]]+Programacion[[#This Row],[DEVENGADO JUNIO]]</f>
        <v>17640</v>
      </c>
      <c r="AK125" s="19">
        <f>Programacion[[#This Row],[JULIO]]+Programacion[[#This Row],[AGOSTO]]+Programacion[[#This Row],[SEPTIEMBRE]]</f>
        <v>12600</v>
      </c>
      <c r="AL125" s="19">
        <f>Programacion[[#This Row],[DEVENGADO JULIO]]+Programacion[[#This Row],[DEVENGADO AGOSTO]]+Programacion[[#This Row],[DEVENGADO SEPTIEMBRE]]</f>
        <v>12600</v>
      </c>
      <c r="AM125" s="19">
        <f>Programacion[[#This Row],[OCTUBRE]]+Programacion[[#This Row],[NOVIEMBRE]]+Programacion[[#This Row],[DICIEMBRE]]</f>
        <v>0</v>
      </c>
      <c r="AN125" s="20">
        <f>Programacion[[#This Row],[DEVENGADO OCTUBRE]]+Programacion[[#This Row],[DEVENGADO NOVIEMBRE]]+Programacion[[#This Row],[DEVENGADO DICIEMBRE]]</f>
        <v>0</v>
      </c>
      <c r="AO125" s="20">
        <f>Programacion[[#This Row],[ENERO]]+Programacion[[#This Row],[FEBRERO]]+Programacion[[#This Row],[MARZO]]+Programacion[[#This Row],[ABRIL]]+Programacion[[#This Row],[MAYO]]+Programacion[[#This Row],[JUNIO]]</f>
        <v>29400</v>
      </c>
      <c r="AP1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25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25" s="116"/>
    </row>
    <row r="126" spans="1:46" x14ac:dyDescent="0.25">
      <c r="A126" s="44" t="s">
        <v>123</v>
      </c>
      <c r="B126" s="45" t="s">
        <v>111</v>
      </c>
      <c r="C126" s="46" t="s">
        <v>56</v>
      </c>
      <c r="D126" s="46" t="s">
        <v>48</v>
      </c>
      <c r="E126" s="47">
        <v>3</v>
      </c>
      <c r="F126" s="48">
        <v>2.2999999999999998</v>
      </c>
      <c r="G126" s="46" t="s">
        <v>70</v>
      </c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>
        <v>6000</v>
      </c>
      <c r="AA126" s="49"/>
      <c r="AB126" s="49">
        <v>6000</v>
      </c>
      <c r="AC126" s="49"/>
      <c r="AD126" s="49">
        <v>6000</v>
      </c>
      <c r="AE126" s="49"/>
      <c r="AF1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26" s="19">
        <f>Programacion[[#This Row],[ENERO]]+Programacion[[#This Row],[FEBRERO]]+Programacion[[#This Row],[MARZO]]</f>
        <v>0</v>
      </c>
      <c r="AH126" s="19">
        <f>Programacion[[#This Row],[DEVENGADO ENERO]]+Programacion[[#This Row],[DEVENGADO FEBRERO]]+Programacion[[#This Row],[DEVENGADO MARZO]]</f>
        <v>0</v>
      </c>
      <c r="AI126" s="19">
        <f>Programacion[[#This Row],[ABRIL]]+Programacion[[#This Row],[MAYO]]+Programacion[[#This Row],[JUNIO]]</f>
        <v>0</v>
      </c>
      <c r="AJ126" s="19">
        <f>Programacion[[#This Row],[DEVENGADO ABRIL]]+Programacion[[#This Row],[DEVENGADO MAYO]]+Programacion[[#This Row],[DEVENGADO JUNIO]]</f>
        <v>0</v>
      </c>
      <c r="AK126" s="19">
        <f>Programacion[[#This Row],[JULIO]]+Programacion[[#This Row],[AGOSTO]]+Programacion[[#This Row],[SEPTIEMBRE]]</f>
        <v>0</v>
      </c>
      <c r="AL126" s="19">
        <f>Programacion[[#This Row],[DEVENGADO JULIO]]+Programacion[[#This Row],[DEVENGADO AGOSTO]]+Programacion[[#This Row],[DEVENGADO SEPTIEMBRE]]</f>
        <v>0</v>
      </c>
      <c r="AM126" s="19">
        <f>Programacion[[#This Row],[OCTUBRE]]+Programacion[[#This Row],[NOVIEMBRE]]+Programacion[[#This Row],[DICIEMBRE]]</f>
        <v>18000</v>
      </c>
      <c r="AN126" s="20">
        <f>Programacion[[#This Row],[DEVENGADO OCTUBRE]]+Programacion[[#This Row],[DEVENGADO NOVIEMBRE]]+Programacion[[#This Row],[DEVENGADO DICIEMBRE]]</f>
        <v>0</v>
      </c>
      <c r="AO126" s="20">
        <f>Programacion[[#This Row],[ENERO]]+Programacion[[#This Row],[FEBRERO]]+Programacion[[#This Row],[MARZO]]+Programacion[[#This Row],[ABRIL]]+Programacion[[#This Row],[MAYO]]+Programacion[[#This Row],[JUNIO]]</f>
        <v>0</v>
      </c>
      <c r="AP1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6" s="2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6" s="116"/>
    </row>
    <row r="127" spans="1:46" ht="30" x14ac:dyDescent="0.25">
      <c r="A127" s="51" t="s">
        <v>123</v>
      </c>
      <c r="B127" s="45" t="s">
        <v>126</v>
      </c>
      <c r="C127" s="46" t="s">
        <v>56</v>
      </c>
      <c r="D127" s="46" t="s">
        <v>48</v>
      </c>
      <c r="E127" s="47">
        <v>3</v>
      </c>
      <c r="F127" s="48">
        <v>2.2999999999999998</v>
      </c>
      <c r="G127" s="46" t="s">
        <v>70</v>
      </c>
      <c r="H127" s="49"/>
      <c r="I127" s="49"/>
      <c r="J127" s="49"/>
      <c r="K127" s="49"/>
      <c r="L127" s="49">
        <v>8000</v>
      </c>
      <c r="M127" s="49">
        <v>8000</v>
      </c>
      <c r="N127" s="49">
        <v>4000</v>
      </c>
      <c r="O127" s="49">
        <v>4000</v>
      </c>
      <c r="P127" s="49">
        <v>4000</v>
      </c>
      <c r="Q127" s="49">
        <v>4000</v>
      </c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27" s="19">
        <f>Programacion[[#This Row],[ENERO]]+Programacion[[#This Row],[FEBRERO]]+Programacion[[#This Row],[MARZO]]</f>
        <v>8000</v>
      </c>
      <c r="AH127" s="19">
        <f>Programacion[[#This Row],[DEVENGADO ENERO]]+Programacion[[#This Row],[DEVENGADO FEBRERO]]+Programacion[[#This Row],[DEVENGADO MARZO]]</f>
        <v>8000</v>
      </c>
      <c r="AI127" s="19">
        <f>Programacion[[#This Row],[ABRIL]]+Programacion[[#This Row],[MAYO]]+Programacion[[#This Row],[JUNIO]]</f>
        <v>8000</v>
      </c>
      <c r="AJ127" s="19">
        <f>Programacion[[#This Row],[DEVENGADO ABRIL]]+Programacion[[#This Row],[DEVENGADO MAYO]]+Programacion[[#This Row],[DEVENGADO JUNIO]]</f>
        <v>8000</v>
      </c>
      <c r="AK127" s="19">
        <f>Programacion[[#This Row],[JULIO]]+Programacion[[#This Row],[AGOSTO]]+Programacion[[#This Row],[SEPTIEMBRE]]</f>
        <v>0</v>
      </c>
      <c r="AL127" s="19">
        <f>Programacion[[#This Row],[DEVENGADO JULIO]]+Programacion[[#This Row],[DEVENGADO AGOSTO]]+Programacion[[#This Row],[DEVENGADO SEPTIEMBRE]]</f>
        <v>0</v>
      </c>
      <c r="AM127" s="19">
        <f>Programacion[[#This Row],[OCTUBRE]]+Programacion[[#This Row],[NOVIEMBRE]]+Programacion[[#This Row],[DICIEMBRE]]</f>
        <v>0</v>
      </c>
      <c r="AN127" s="20">
        <f>Programacion[[#This Row],[DEVENGADO OCTUBRE]]+Programacion[[#This Row],[DEVENGADO NOVIEMBRE]]+Programacion[[#This Row],[DEVENGADO DICIEMBRE]]</f>
        <v>0</v>
      </c>
      <c r="AO127" s="20">
        <f>Programacion[[#This Row],[ENERO]]+Programacion[[#This Row],[FEBRERO]]+Programacion[[#This Row],[MARZO]]+Programacion[[#This Row],[ABRIL]]+Programacion[[#This Row],[MAYO]]+Programacion[[#This Row],[JUNIO]]</f>
        <v>16000</v>
      </c>
      <c r="AP1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27" s="116"/>
    </row>
    <row r="128" spans="1:46" ht="30" x14ac:dyDescent="0.25">
      <c r="A128" s="51" t="s">
        <v>123</v>
      </c>
      <c r="B128" s="45" t="s">
        <v>126</v>
      </c>
      <c r="C128" s="46" t="s">
        <v>56</v>
      </c>
      <c r="D128" s="46" t="s">
        <v>48</v>
      </c>
      <c r="E128" s="47">
        <v>3</v>
      </c>
      <c r="F128" s="48">
        <v>2.2999999999999998</v>
      </c>
      <c r="G128" s="46" t="s">
        <v>70</v>
      </c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>
        <v>4000</v>
      </c>
      <c r="S128" s="49">
        <v>4000</v>
      </c>
      <c r="T128" s="49">
        <v>4000</v>
      </c>
      <c r="U128" s="49">
        <v>4000</v>
      </c>
      <c r="V128" s="49">
        <v>4000</v>
      </c>
      <c r="W128" s="49">
        <v>4000</v>
      </c>
      <c r="X128" s="49">
        <v>4000</v>
      </c>
      <c r="Y128" s="49"/>
      <c r="Z128" s="49">
        <v>4000</v>
      </c>
      <c r="AA128" s="49"/>
      <c r="AB128" s="49"/>
      <c r="AC128" s="49"/>
      <c r="AD128" s="49"/>
      <c r="AE128" s="49"/>
      <c r="AF1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8" s="19">
        <f>Programacion[[#This Row],[ENERO]]+Programacion[[#This Row],[FEBRERO]]+Programacion[[#This Row],[MARZO]]</f>
        <v>0</v>
      </c>
      <c r="AH128" s="19">
        <f>Programacion[[#This Row],[DEVENGADO ENERO]]+Programacion[[#This Row],[DEVENGADO FEBRERO]]+Programacion[[#This Row],[DEVENGADO MARZO]]</f>
        <v>0</v>
      </c>
      <c r="AI128" s="19">
        <f>Programacion[[#This Row],[ABRIL]]+Programacion[[#This Row],[MAYO]]+Programacion[[#This Row],[JUNIO]]</f>
        <v>4000</v>
      </c>
      <c r="AJ128" s="19">
        <f>Programacion[[#This Row],[DEVENGADO ABRIL]]+Programacion[[#This Row],[DEVENGADO MAYO]]+Programacion[[#This Row],[DEVENGADO JUNIO]]</f>
        <v>4000</v>
      </c>
      <c r="AK128" s="19">
        <f>Programacion[[#This Row],[JULIO]]+Programacion[[#This Row],[AGOSTO]]+Programacion[[#This Row],[SEPTIEMBRE]]</f>
        <v>12000</v>
      </c>
      <c r="AL128" s="19">
        <f>Programacion[[#This Row],[DEVENGADO JULIO]]+Programacion[[#This Row],[DEVENGADO AGOSTO]]+Programacion[[#This Row],[DEVENGADO SEPTIEMBRE]]</f>
        <v>8000</v>
      </c>
      <c r="AM128" s="19">
        <f>Programacion[[#This Row],[OCTUBRE]]+Programacion[[#This Row],[NOVIEMBRE]]+Programacion[[#This Row],[DICIEMBRE]]</f>
        <v>4000</v>
      </c>
      <c r="AN128" s="20">
        <f>Programacion[[#This Row],[DEVENGADO OCTUBRE]]+Programacion[[#This Row],[DEVENGADO NOVIEMBRE]]+Programacion[[#This Row],[DEVENGADO DICIEMBRE]]</f>
        <v>0</v>
      </c>
      <c r="AO128" s="20">
        <f>Programacion[[#This Row],[ENERO]]+Programacion[[#This Row],[FEBRERO]]+Programacion[[#This Row],[MARZO]]+Programacion[[#This Row],[ABRIL]]+Programacion[[#This Row],[MAYO]]+Programacion[[#This Row],[JUNIO]]</f>
        <v>4000</v>
      </c>
      <c r="AP1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28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28" s="116"/>
    </row>
    <row r="129" spans="1:46" x14ac:dyDescent="0.25">
      <c r="A129" s="52" t="s">
        <v>123</v>
      </c>
      <c r="B129" s="45" t="s">
        <v>127</v>
      </c>
      <c r="C129" s="46" t="s">
        <v>56</v>
      </c>
      <c r="D129" s="46" t="s">
        <v>48</v>
      </c>
      <c r="E129" s="47">
        <v>3</v>
      </c>
      <c r="F129" s="48">
        <v>2.2999999999999998</v>
      </c>
      <c r="G129" s="46" t="s">
        <v>128</v>
      </c>
      <c r="H129" s="49"/>
      <c r="I129" s="49"/>
      <c r="J129" s="49"/>
      <c r="K129" s="49"/>
      <c r="L129" s="49"/>
      <c r="M129" s="49"/>
      <c r="N129" s="49"/>
      <c r="O129" s="49"/>
      <c r="P129" s="49">
        <v>7500</v>
      </c>
      <c r="Q129" s="49">
        <v>7500</v>
      </c>
      <c r="R129" s="49">
        <v>7500</v>
      </c>
      <c r="S129" s="49">
        <v>7500</v>
      </c>
      <c r="T129" s="49">
        <v>7500</v>
      </c>
      <c r="U129" s="49">
        <v>7500</v>
      </c>
      <c r="V129" s="49">
        <v>7500</v>
      </c>
      <c r="W129" s="49">
        <v>7500</v>
      </c>
      <c r="X129" s="49"/>
      <c r="Y129" s="49"/>
      <c r="Z129" s="49"/>
      <c r="AA129" s="49"/>
      <c r="AB129" s="49"/>
      <c r="AC129" s="49"/>
      <c r="AD129" s="49"/>
      <c r="AE129" s="50"/>
      <c r="AF1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29" s="19">
        <f>Programacion[[#This Row],[ENERO]]+Programacion[[#This Row],[FEBRERO]]+Programacion[[#This Row],[MARZO]]</f>
        <v>0</v>
      </c>
      <c r="AH129" s="19">
        <f>Programacion[[#This Row],[DEVENGADO ENERO]]+Programacion[[#This Row],[DEVENGADO FEBRERO]]+Programacion[[#This Row],[DEVENGADO MARZO]]</f>
        <v>0</v>
      </c>
      <c r="AI129" s="19">
        <f>Programacion[[#This Row],[ABRIL]]+Programacion[[#This Row],[MAYO]]+Programacion[[#This Row],[JUNIO]]</f>
        <v>15000</v>
      </c>
      <c r="AJ129" s="19">
        <f>Programacion[[#This Row],[DEVENGADO ABRIL]]+Programacion[[#This Row],[DEVENGADO MAYO]]+Programacion[[#This Row],[DEVENGADO JUNIO]]</f>
        <v>15000</v>
      </c>
      <c r="AK129" s="19">
        <f>Programacion[[#This Row],[JULIO]]+Programacion[[#This Row],[AGOSTO]]+Programacion[[#This Row],[SEPTIEMBRE]]</f>
        <v>15000</v>
      </c>
      <c r="AL129" s="19">
        <f>Programacion[[#This Row],[DEVENGADO JULIO]]+Programacion[[#This Row],[DEVENGADO AGOSTO]]+Programacion[[#This Row],[DEVENGADO SEPTIEMBRE]]</f>
        <v>15000</v>
      </c>
      <c r="AM129" s="19">
        <f>Programacion[[#This Row],[OCTUBRE]]+Programacion[[#This Row],[NOVIEMBRE]]+Programacion[[#This Row],[DICIEMBRE]]</f>
        <v>0</v>
      </c>
      <c r="AN129" s="20">
        <f>Programacion[[#This Row],[DEVENGADO OCTUBRE]]+Programacion[[#This Row],[DEVENGADO NOVIEMBRE]]+Programacion[[#This Row],[DEVENGADO DICIEMBRE]]</f>
        <v>0</v>
      </c>
      <c r="AO129" s="20">
        <f>Programacion[[#This Row],[ENERO]]+Programacion[[#This Row],[FEBRERO]]+Programacion[[#This Row],[MARZO]]+Programacion[[#This Row],[ABRIL]]+Programacion[[#This Row],[MAYO]]+Programacion[[#This Row],[JUNIO]]</f>
        <v>15000</v>
      </c>
      <c r="AP1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29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29" s="116"/>
    </row>
    <row r="130" spans="1:46" x14ac:dyDescent="0.25">
      <c r="A130" s="52" t="s">
        <v>123</v>
      </c>
      <c r="B130" s="45" t="s">
        <v>129</v>
      </c>
      <c r="C130" s="46" t="s">
        <v>56</v>
      </c>
      <c r="D130" s="46" t="s">
        <v>48</v>
      </c>
      <c r="E130" s="47">
        <v>3</v>
      </c>
      <c r="F130" s="48">
        <v>2.2999999999999998</v>
      </c>
      <c r="G130" s="46" t="s">
        <v>128</v>
      </c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>
        <v>7500</v>
      </c>
      <c r="Y130" s="49"/>
      <c r="Z130" s="49">
        <v>7500</v>
      </c>
      <c r="AA130" s="49"/>
      <c r="AB130" s="49">
        <v>7500</v>
      </c>
      <c r="AC130" s="49"/>
      <c r="AD130" s="49">
        <v>7500</v>
      </c>
      <c r="AE130" s="50"/>
      <c r="AF1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30" s="19">
        <f>Programacion[[#This Row],[ENERO]]+Programacion[[#This Row],[FEBRERO]]+Programacion[[#This Row],[MARZO]]</f>
        <v>0</v>
      </c>
      <c r="AH130" s="19">
        <f>Programacion[[#This Row],[DEVENGADO ENERO]]+Programacion[[#This Row],[DEVENGADO FEBRERO]]+Programacion[[#This Row],[DEVENGADO MARZO]]</f>
        <v>0</v>
      </c>
      <c r="AI130" s="19">
        <f>Programacion[[#This Row],[ABRIL]]+Programacion[[#This Row],[MAYO]]+Programacion[[#This Row],[JUNIO]]</f>
        <v>0</v>
      </c>
      <c r="AJ130" s="19">
        <f>Programacion[[#This Row],[DEVENGADO ABRIL]]+Programacion[[#This Row],[DEVENGADO MAYO]]+Programacion[[#This Row],[DEVENGADO JUNIO]]</f>
        <v>0</v>
      </c>
      <c r="AK130" s="19">
        <f>Programacion[[#This Row],[JULIO]]+Programacion[[#This Row],[AGOSTO]]+Programacion[[#This Row],[SEPTIEMBRE]]</f>
        <v>7500</v>
      </c>
      <c r="AL130" s="19">
        <f>Programacion[[#This Row],[DEVENGADO JULIO]]+Programacion[[#This Row],[DEVENGADO AGOSTO]]+Programacion[[#This Row],[DEVENGADO SEPTIEMBRE]]</f>
        <v>0</v>
      </c>
      <c r="AM130" s="19">
        <f>Programacion[[#This Row],[OCTUBRE]]+Programacion[[#This Row],[NOVIEMBRE]]+Programacion[[#This Row],[DICIEMBRE]]</f>
        <v>22500</v>
      </c>
      <c r="AN130" s="20">
        <f>Programacion[[#This Row],[DEVENGADO OCTUBRE]]+Programacion[[#This Row],[DEVENGADO NOVIEMBRE]]+Programacion[[#This Row],[DEVENGADO DICIEMBRE]]</f>
        <v>0</v>
      </c>
      <c r="AO130" s="20">
        <f>Programacion[[#This Row],[ENERO]]+Programacion[[#This Row],[FEBRERO]]+Programacion[[#This Row],[MARZO]]+Programacion[[#This Row],[ABRIL]]+Programacion[[#This Row],[MAYO]]+Programacion[[#This Row],[JUNIO]]</f>
        <v>0</v>
      </c>
      <c r="AP1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0" s="116"/>
    </row>
    <row r="131" spans="1:46" x14ac:dyDescent="0.25">
      <c r="A131" s="52" t="s">
        <v>123</v>
      </c>
      <c r="B131" s="45" t="s">
        <v>130</v>
      </c>
      <c r="C131" s="46" t="s">
        <v>56</v>
      </c>
      <c r="D131" s="46" t="s">
        <v>48</v>
      </c>
      <c r="E131" s="47">
        <v>3</v>
      </c>
      <c r="F131" s="48">
        <v>2.2999999999999998</v>
      </c>
      <c r="G131" s="46" t="s">
        <v>128</v>
      </c>
      <c r="H131" s="49"/>
      <c r="I131" s="49"/>
      <c r="J131" s="49"/>
      <c r="K131" s="49"/>
      <c r="L131" s="49"/>
      <c r="M131" s="49"/>
      <c r="N131" s="49">
        <v>7500</v>
      </c>
      <c r="O131" s="49">
        <v>7500</v>
      </c>
      <c r="P131" s="49">
        <v>7500</v>
      </c>
      <c r="Q131" s="49">
        <v>7500</v>
      </c>
      <c r="R131" s="49">
        <v>7500</v>
      </c>
      <c r="S131" s="49">
        <v>7500</v>
      </c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50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31" s="19">
        <f>Programacion[[#This Row],[ENERO]]+Programacion[[#This Row],[FEBRERO]]+Programacion[[#This Row],[MARZO]]</f>
        <v>0</v>
      </c>
      <c r="AH131" s="19">
        <f>Programacion[[#This Row],[DEVENGADO ENERO]]+Programacion[[#This Row],[DEVENGADO FEBRERO]]+Programacion[[#This Row],[DEVENGADO MARZO]]</f>
        <v>0</v>
      </c>
      <c r="AI131" s="19">
        <f>Programacion[[#This Row],[ABRIL]]+Programacion[[#This Row],[MAYO]]+Programacion[[#This Row],[JUNIO]]</f>
        <v>22500</v>
      </c>
      <c r="AJ131" s="19">
        <f>Programacion[[#This Row],[DEVENGADO ABRIL]]+Programacion[[#This Row],[DEVENGADO MAYO]]+Programacion[[#This Row],[DEVENGADO JUNIO]]</f>
        <v>22500</v>
      </c>
      <c r="AK131" s="19">
        <f>Programacion[[#This Row],[JULIO]]+Programacion[[#This Row],[AGOSTO]]+Programacion[[#This Row],[SEPTIEMBRE]]</f>
        <v>0</v>
      </c>
      <c r="AL131" s="19">
        <f>Programacion[[#This Row],[DEVENGADO JULIO]]+Programacion[[#This Row],[DEVENGADO AGOSTO]]+Programacion[[#This Row],[DEVENGADO SEPTIEMBRE]]</f>
        <v>0</v>
      </c>
      <c r="AM131" s="19">
        <f>Programacion[[#This Row],[OCTUBRE]]+Programacion[[#This Row],[NOVIEMBRE]]+Programacion[[#This Row],[DICIEMBRE]]</f>
        <v>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22500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31" s="116"/>
    </row>
    <row r="132" spans="1:46" x14ac:dyDescent="0.25">
      <c r="A132" s="52" t="s">
        <v>123</v>
      </c>
      <c r="B132" s="45" t="s">
        <v>131</v>
      </c>
      <c r="C132" s="46" t="s">
        <v>56</v>
      </c>
      <c r="D132" s="46" t="s">
        <v>48</v>
      </c>
      <c r="E132" s="47">
        <v>3</v>
      </c>
      <c r="F132" s="48">
        <v>2.2999999999999998</v>
      </c>
      <c r="G132" s="46" t="s">
        <v>128</v>
      </c>
      <c r="H132" s="49"/>
      <c r="I132" s="49"/>
      <c r="J132" s="49"/>
      <c r="K132" s="49"/>
      <c r="L132" s="49"/>
      <c r="M132" s="49"/>
      <c r="N132" s="49"/>
      <c r="O132" s="49"/>
      <c r="P132" s="49">
        <v>7500</v>
      </c>
      <c r="Q132" s="49">
        <v>7500</v>
      </c>
      <c r="R132" s="49">
        <v>7500</v>
      </c>
      <c r="S132" s="49">
        <v>7500</v>
      </c>
      <c r="T132" s="49">
        <v>7500</v>
      </c>
      <c r="U132" s="49">
        <v>7500</v>
      </c>
      <c r="V132" s="49"/>
      <c r="W132" s="49"/>
      <c r="X132" s="49"/>
      <c r="Y132" s="49"/>
      <c r="Z132" s="49"/>
      <c r="AA132" s="49"/>
      <c r="AB132" s="49"/>
      <c r="AC132" s="49"/>
      <c r="AD132" s="49"/>
      <c r="AE132" s="50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32" s="19">
        <f>Programacion[[#This Row],[ENERO]]+Programacion[[#This Row],[FEBRERO]]+Programacion[[#This Row],[MARZO]]</f>
        <v>0</v>
      </c>
      <c r="AH132" s="19">
        <f>Programacion[[#This Row],[DEVENGADO ENERO]]+Programacion[[#This Row],[DEVENGADO FEBRERO]]+Programacion[[#This Row],[DEVENGADO MARZO]]</f>
        <v>0</v>
      </c>
      <c r="AI132" s="19">
        <f>Programacion[[#This Row],[ABRIL]]+Programacion[[#This Row],[MAYO]]+Programacion[[#This Row],[JUNIO]]</f>
        <v>15000</v>
      </c>
      <c r="AJ132" s="19">
        <f>Programacion[[#This Row],[DEVENGADO ABRIL]]+Programacion[[#This Row],[DEVENGADO MAYO]]+Programacion[[#This Row],[DEVENGADO JUNIO]]</f>
        <v>15000</v>
      </c>
      <c r="AK132" s="19">
        <f>Programacion[[#This Row],[JULIO]]+Programacion[[#This Row],[AGOSTO]]+Programacion[[#This Row],[SEPTIEMBRE]]</f>
        <v>7500</v>
      </c>
      <c r="AL132" s="19">
        <f>Programacion[[#This Row],[DEVENGADO JULIO]]+Programacion[[#This Row],[DEVENGADO AGOSTO]]+Programacion[[#This Row],[DEVENGADO SEPTIEMBRE]]</f>
        <v>7500</v>
      </c>
      <c r="AM132" s="19">
        <f>Programacion[[#This Row],[OCTUBRE]]+Programacion[[#This Row],[NOVIEMBRE]]+Programacion[[#This Row],[DICIEMBRE]]</f>
        <v>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15000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32" s="116"/>
    </row>
    <row r="133" spans="1:46" ht="45" x14ac:dyDescent="0.25">
      <c r="A133" s="131" t="s">
        <v>123</v>
      </c>
      <c r="B133" s="131" t="s">
        <v>302</v>
      </c>
      <c r="C133" s="131" t="s">
        <v>255</v>
      </c>
      <c r="D133" s="131" t="s">
        <v>48</v>
      </c>
      <c r="E133" s="131">
        <v>3</v>
      </c>
      <c r="F133" s="131">
        <v>23</v>
      </c>
      <c r="G133" s="131" t="s">
        <v>70</v>
      </c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>
        <v>6000</v>
      </c>
      <c r="Y133" s="33"/>
      <c r="Z133" s="33">
        <v>6000</v>
      </c>
      <c r="AA133" s="33"/>
      <c r="AB133" s="33">
        <v>6000</v>
      </c>
      <c r="AC133" s="33"/>
      <c r="AD133" s="33">
        <v>6000</v>
      </c>
      <c r="AE133" s="33"/>
      <c r="AF13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33" s="33">
        <f>Programacion[[#This Row],[ENERO]]+Programacion[[#This Row],[FEBRERO]]+Programacion[[#This Row],[MARZO]]</f>
        <v>0</v>
      </c>
      <c r="AH133" s="33">
        <f>Programacion[[#This Row],[DEVENGADO ENERO]]+Programacion[[#This Row],[DEVENGADO FEBRERO]]+Programacion[[#This Row],[DEVENGADO MARZO]]</f>
        <v>0</v>
      </c>
      <c r="AI133" s="33">
        <f>Programacion[[#This Row],[ABRIL]]+Programacion[[#This Row],[MAYO]]+Programacion[[#This Row],[JUNIO]]</f>
        <v>0</v>
      </c>
      <c r="AJ133" s="33">
        <f>Programacion[[#This Row],[DEVENGADO ABRIL]]+Programacion[[#This Row],[DEVENGADO MAYO]]+Programacion[[#This Row],[DEVENGADO JUNIO]]</f>
        <v>0</v>
      </c>
      <c r="AK133" s="33">
        <f>Programacion[[#This Row],[JULIO]]+Programacion[[#This Row],[AGOSTO]]+Programacion[[#This Row],[SEPTIEMBRE]]</f>
        <v>6000</v>
      </c>
      <c r="AL133" s="33">
        <f>Programacion[[#This Row],[DEVENGADO JULIO]]+Programacion[[#This Row],[DEVENGADO AGOSTO]]+Programacion[[#This Row],[DEVENGADO SEPTIEMBRE]]</f>
        <v>0</v>
      </c>
      <c r="AM133" s="33">
        <f>Programacion[[#This Row],[OCTUBRE]]+Programacion[[#This Row],[NOVIEMBRE]]+Programacion[[#This Row],[DICIEMBRE]]</f>
        <v>18000</v>
      </c>
      <c r="AN133" s="21">
        <f>Programacion[[#This Row],[DEVENGADO OCTUBRE]]+Programacion[[#This Row],[DEVENGADO NOVIEMBRE]]+Programacion[[#This Row],[DEVENGADO DICIEMBRE]]</f>
        <v>0</v>
      </c>
      <c r="AO133" s="21">
        <f>Programacion[[#This Row],[ENERO]]+Programacion[[#This Row],[FEBRERO]]+Programacion[[#This Row],[MARZO]]+Programacion[[#This Row],[ABRIL]]+Programacion[[#This Row],[MAYO]]+Programacion[[#This Row],[JUNIO]]</f>
        <v>0</v>
      </c>
      <c r="AP13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3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3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3" s="116"/>
    </row>
    <row r="134" spans="1:46" ht="30" x14ac:dyDescent="0.25">
      <c r="A134" s="52" t="s">
        <v>123</v>
      </c>
      <c r="B134" s="45" t="s">
        <v>283</v>
      </c>
      <c r="C134" s="46" t="s">
        <v>47</v>
      </c>
      <c r="D134" s="46" t="s">
        <v>48</v>
      </c>
      <c r="E134" s="47">
        <v>39</v>
      </c>
      <c r="F134" s="48">
        <v>2.2999999999999998</v>
      </c>
      <c r="G134" s="46" t="s">
        <v>49</v>
      </c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>
        <v>800</v>
      </c>
      <c r="W134" s="33">
        <v>800</v>
      </c>
      <c r="X134" s="33"/>
      <c r="Y134" s="33"/>
      <c r="Z134" s="33"/>
      <c r="AA134" s="33"/>
      <c r="AB134" s="33"/>
      <c r="AC134" s="33"/>
      <c r="AD134" s="33"/>
      <c r="AE134" s="33"/>
      <c r="AF13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34" s="33">
        <f>Programacion[[#This Row],[ENERO]]+Programacion[[#This Row],[FEBRERO]]+Programacion[[#This Row],[MARZO]]</f>
        <v>0</v>
      </c>
      <c r="AH134" s="33">
        <f>Programacion[[#This Row],[DEVENGADO ENERO]]+Programacion[[#This Row],[DEVENGADO FEBRERO]]+Programacion[[#This Row],[DEVENGADO MARZO]]</f>
        <v>0</v>
      </c>
      <c r="AI134" s="33">
        <f>Programacion[[#This Row],[ABRIL]]+Programacion[[#This Row],[MAYO]]+Programacion[[#This Row],[JUNIO]]</f>
        <v>0</v>
      </c>
      <c r="AJ134" s="33">
        <f>Programacion[[#This Row],[DEVENGADO ABRIL]]+Programacion[[#This Row],[DEVENGADO MAYO]]+Programacion[[#This Row],[DEVENGADO JUNIO]]</f>
        <v>0</v>
      </c>
      <c r="AK134" s="33">
        <f>Programacion[[#This Row],[JULIO]]+Programacion[[#This Row],[AGOSTO]]+Programacion[[#This Row],[SEPTIEMBRE]]</f>
        <v>800</v>
      </c>
      <c r="AL134" s="33">
        <f>Programacion[[#This Row],[DEVENGADO JULIO]]+Programacion[[#This Row],[DEVENGADO AGOSTO]]+Programacion[[#This Row],[DEVENGADO SEPTIEMBRE]]</f>
        <v>800</v>
      </c>
      <c r="AM134" s="33">
        <f>Programacion[[#This Row],[OCTUBRE]]+Programacion[[#This Row],[NOVIEMBRE]]+Programacion[[#This Row],[DICIEMBRE]]</f>
        <v>0</v>
      </c>
      <c r="AN134" s="21">
        <f>Programacion[[#This Row],[DEVENGADO OCTUBRE]]+Programacion[[#This Row],[DEVENGADO NOVIEMBRE]]+Programacion[[#This Row],[DEVENGADO DICIEMBRE]]</f>
        <v>0</v>
      </c>
      <c r="AO134" s="21">
        <f>Programacion[[#This Row],[ENERO]]+Programacion[[#This Row],[FEBRERO]]+Programacion[[#This Row],[MARZO]]+Programacion[[#This Row],[ABRIL]]+Programacion[[#This Row],[MAYO]]+Programacion[[#This Row],[JUNIO]]</f>
        <v>0</v>
      </c>
      <c r="AP13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4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3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3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34" s="116"/>
    </row>
    <row r="135" spans="1:46" x14ac:dyDescent="0.25">
      <c r="A135" s="52" t="s">
        <v>123</v>
      </c>
      <c r="B135" s="45" t="s">
        <v>284</v>
      </c>
      <c r="C135" s="46" t="s">
        <v>47</v>
      </c>
      <c r="D135" s="46" t="s">
        <v>48</v>
      </c>
      <c r="E135" s="47">
        <v>39</v>
      </c>
      <c r="F135" s="48">
        <v>2.2999999999999998</v>
      </c>
      <c r="G135" s="46" t="s">
        <v>51</v>
      </c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>
        <v>540</v>
      </c>
      <c r="W135" s="33">
        <v>540</v>
      </c>
      <c r="X135" s="33"/>
      <c r="Y135" s="33"/>
      <c r="Z135" s="33"/>
      <c r="AA135" s="33"/>
      <c r="AB135" s="33"/>
      <c r="AC135" s="33"/>
      <c r="AD135" s="33"/>
      <c r="AE135" s="33"/>
      <c r="AF13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35" s="33">
        <f>Programacion[[#This Row],[ENERO]]+Programacion[[#This Row],[FEBRERO]]+Programacion[[#This Row],[MARZO]]</f>
        <v>0</v>
      </c>
      <c r="AH135" s="33">
        <f>Programacion[[#This Row],[DEVENGADO ENERO]]+Programacion[[#This Row],[DEVENGADO FEBRERO]]+Programacion[[#This Row],[DEVENGADO MARZO]]</f>
        <v>0</v>
      </c>
      <c r="AI135" s="33">
        <f>Programacion[[#This Row],[ABRIL]]+Programacion[[#This Row],[MAYO]]+Programacion[[#This Row],[JUNIO]]</f>
        <v>0</v>
      </c>
      <c r="AJ135" s="33">
        <f>Programacion[[#This Row],[DEVENGADO ABRIL]]+Programacion[[#This Row],[DEVENGADO MAYO]]+Programacion[[#This Row],[DEVENGADO JUNIO]]</f>
        <v>0</v>
      </c>
      <c r="AK135" s="33">
        <f>Programacion[[#This Row],[JULIO]]+Programacion[[#This Row],[AGOSTO]]+Programacion[[#This Row],[SEPTIEMBRE]]</f>
        <v>540</v>
      </c>
      <c r="AL135" s="33">
        <f>Programacion[[#This Row],[DEVENGADO JULIO]]+Programacion[[#This Row],[DEVENGADO AGOSTO]]+Programacion[[#This Row],[DEVENGADO SEPTIEMBRE]]</f>
        <v>540</v>
      </c>
      <c r="AM135" s="33">
        <f>Programacion[[#This Row],[OCTUBRE]]+Programacion[[#This Row],[NOVIEMBRE]]+Programacion[[#This Row],[DICIEMBRE]]</f>
        <v>0</v>
      </c>
      <c r="AN135" s="21">
        <f>Programacion[[#This Row],[DEVENGADO OCTUBRE]]+Programacion[[#This Row],[DEVENGADO NOVIEMBRE]]+Programacion[[#This Row],[DEVENGADO DICIEMBRE]]</f>
        <v>0</v>
      </c>
      <c r="AO135" s="21">
        <f>Programacion[[#This Row],[ENERO]]+Programacion[[#This Row],[FEBRERO]]+Programacion[[#This Row],[MARZO]]+Programacion[[#This Row],[ABRIL]]+Programacion[[#This Row],[MAYO]]+Programacion[[#This Row],[JUNIO]]</f>
        <v>0</v>
      </c>
      <c r="AP13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5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3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3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35" s="116"/>
    </row>
    <row r="136" spans="1:46" ht="30" x14ac:dyDescent="0.25">
      <c r="A136" s="131" t="s">
        <v>123</v>
      </c>
      <c r="B136" s="131" t="s">
        <v>303</v>
      </c>
      <c r="C136" s="131" t="s">
        <v>248</v>
      </c>
      <c r="D136" s="132" t="s">
        <v>48</v>
      </c>
      <c r="E136" s="133">
        <v>39</v>
      </c>
      <c r="F136" s="133">
        <v>23</v>
      </c>
      <c r="G136" s="132" t="s">
        <v>49</v>
      </c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>
        <v>1600</v>
      </c>
      <c r="Y136" s="147"/>
      <c r="Z136" s="147"/>
      <c r="AA136" s="147"/>
      <c r="AB136" s="147"/>
      <c r="AC136" s="147"/>
      <c r="AD136" s="147"/>
      <c r="AE136" s="147"/>
      <c r="AF136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36" s="147">
        <f>Programacion[[#This Row],[ENERO]]+Programacion[[#This Row],[FEBRERO]]+Programacion[[#This Row],[MARZO]]</f>
        <v>0</v>
      </c>
      <c r="AH136" s="147">
        <f>Programacion[[#This Row],[DEVENGADO ENERO]]+Programacion[[#This Row],[DEVENGADO FEBRERO]]+Programacion[[#This Row],[DEVENGADO MARZO]]</f>
        <v>0</v>
      </c>
      <c r="AI136" s="147">
        <f>Programacion[[#This Row],[ABRIL]]+Programacion[[#This Row],[MAYO]]+Programacion[[#This Row],[JUNIO]]</f>
        <v>0</v>
      </c>
      <c r="AJ136" s="147">
        <f>Programacion[[#This Row],[DEVENGADO ABRIL]]+Programacion[[#This Row],[DEVENGADO MAYO]]+Programacion[[#This Row],[DEVENGADO JUNIO]]</f>
        <v>0</v>
      </c>
      <c r="AK136" s="147">
        <f>Programacion[[#This Row],[JULIO]]+Programacion[[#This Row],[AGOSTO]]+Programacion[[#This Row],[SEPTIEMBRE]]</f>
        <v>1600</v>
      </c>
      <c r="AL136" s="147">
        <f>Programacion[[#This Row],[DEVENGADO JULIO]]+Programacion[[#This Row],[DEVENGADO AGOSTO]]+Programacion[[#This Row],[DEVENGADO SEPTIEMBRE]]</f>
        <v>0</v>
      </c>
      <c r="AM136" s="147">
        <f>Programacion[[#This Row],[OCTUBRE]]+Programacion[[#This Row],[NOVIEMBRE]]+Programacion[[#This Row],[DICIEMBRE]]</f>
        <v>0</v>
      </c>
      <c r="AN136" s="149">
        <f>Programacion[[#This Row],[DEVENGADO OCTUBRE]]+Programacion[[#This Row],[DEVENGADO NOVIEMBRE]]+Programacion[[#This Row],[DEVENGADO DICIEMBRE]]</f>
        <v>0</v>
      </c>
      <c r="AO136" s="149">
        <f>Programacion[[#This Row],[ENERO]]+Programacion[[#This Row],[FEBRERO]]+Programacion[[#This Row],[MARZO]]+Programacion[[#This Row],[ABRIL]]+Programacion[[#This Row],[MAYO]]+Programacion[[#This Row],[JUNIO]]</f>
        <v>0</v>
      </c>
      <c r="AP136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6" s="149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36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6" s="116"/>
    </row>
    <row r="137" spans="1:46" x14ac:dyDescent="0.25">
      <c r="A137" s="131" t="s">
        <v>123</v>
      </c>
      <c r="B137" s="131" t="s">
        <v>304</v>
      </c>
      <c r="C137" s="131" t="s">
        <v>246</v>
      </c>
      <c r="D137" s="132" t="s">
        <v>48</v>
      </c>
      <c r="E137" s="133">
        <v>39</v>
      </c>
      <c r="F137" s="133">
        <v>23</v>
      </c>
      <c r="G137" s="132" t="s">
        <v>51</v>
      </c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>
        <v>1080</v>
      </c>
      <c r="Y137" s="147">
        <v>1093.2</v>
      </c>
      <c r="Z137" s="147"/>
      <c r="AA137" s="147"/>
      <c r="AB137" s="147"/>
      <c r="AC137" s="147"/>
      <c r="AD137" s="147"/>
      <c r="AE137" s="147"/>
      <c r="AF137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37" s="147">
        <f>Programacion[[#This Row],[ENERO]]+Programacion[[#This Row],[FEBRERO]]+Programacion[[#This Row],[MARZO]]</f>
        <v>0</v>
      </c>
      <c r="AH137" s="147">
        <f>Programacion[[#This Row],[DEVENGADO ENERO]]+Programacion[[#This Row],[DEVENGADO FEBRERO]]+Programacion[[#This Row],[DEVENGADO MARZO]]</f>
        <v>0</v>
      </c>
      <c r="AI137" s="147">
        <f>Programacion[[#This Row],[ABRIL]]+Programacion[[#This Row],[MAYO]]+Programacion[[#This Row],[JUNIO]]</f>
        <v>0</v>
      </c>
      <c r="AJ137" s="147">
        <f>Programacion[[#This Row],[DEVENGADO ABRIL]]+Programacion[[#This Row],[DEVENGADO MAYO]]+Programacion[[#This Row],[DEVENGADO JUNIO]]</f>
        <v>0</v>
      </c>
      <c r="AK137" s="147">
        <f>Programacion[[#This Row],[JULIO]]+Programacion[[#This Row],[AGOSTO]]+Programacion[[#This Row],[SEPTIEMBRE]]</f>
        <v>1080</v>
      </c>
      <c r="AL137" s="147">
        <f>Programacion[[#This Row],[DEVENGADO JULIO]]+Programacion[[#This Row],[DEVENGADO AGOSTO]]+Programacion[[#This Row],[DEVENGADO SEPTIEMBRE]]</f>
        <v>1093.2</v>
      </c>
      <c r="AM137" s="147">
        <f>Programacion[[#This Row],[OCTUBRE]]+Programacion[[#This Row],[NOVIEMBRE]]+Programacion[[#This Row],[DICIEMBRE]]</f>
        <v>0</v>
      </c>
      <c r="AN137" s="149">
        <f>Programacion[[#This Row],[DEVENGADO OCTUBRE]]+Programacion[[#This Row],[DEVENGADO NOVIEMBRE]]+Programacion[[#This Row],[DEVENGADO DICIEMBRE]]</f>
        <v>0</v>
      </c>
      <c r="AO137" s="149">
        <f>Programacion[[#This Row],[ENERO]]+Programacion[[#This Row],[FEBRERO]]+Programacion[[#This Row],[MARZO]]+Programacion[[#This Row],[ABRIL]]+Programacion[[#This Row],[MAYO]]+Programacion[[#This Row],[JUNIO]]</f>
        <v>0</v>
      </c>
      <c r="AP137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7" s="149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37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1093.2</v>
      </c>
      <c r="AS137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1093.2</v>
      </c>
      <c r="AT137" s="116"/>
    </row>
    <row r="138" spans="1:46" ht="30" x14ac:dyDescent="0.25">
      <c r="A138" s="131" t="s">
        <v>123</v>
      </c>
      <c r="B138" s="131" t="s">
        <v>285</v>
      </c>
      <c r="C138" s="36" t="s">
        <v>73</v>
      </c>
      <c r="D138" s="103" t="s">
        <v>48</v>
      </c>
      <c r="E138" s="104">
        <v>39</v>
      </c>
      <c r="F138" s="105">
        <v>2.2999999999999998</v>
      </c>
      <c r="G138" s="103" t="s">
        <v>74</v>
      </c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>
        <v>1000</v>
      </c>
      <c r="Y138" s="33">
        <v>1000</v>
      </c>
      <c r="Z138" s="33"/>
      <c r="AA138" s="33"/>
      <c r="AB138" s="33"/>
      <c r="AC138" s="33"/>
      <c r="AD138" s="33"/>
      <c r="AE138" s="33"/>
      <c r="AF13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38" s="33">
        <f>Programacion[[#This Row],[ENERO]]+Programacion[[#This Row],[FEBRERO]]+Programacion[[#This Row],[MARZO]]</f>
        <v>0</v>
      </c>
      <c r="AH138" s="33">
        <f>Programacion[[#This Row],[DEVENGADO ENERO]]+Programacion[[#This Row],[DEVENGADO FEBRERO]]+Programacion[[#This Row],[DEVENGADO MARZO]]</f>
        <v>0</v>
      </c>
      <c r="AI138" s="33">
        <f>Programacion[[#This Row],[ABRIL]]+Programacion[[#This Row],[MAYO]]+Programacion[[#This Row],[JUNIO]]</f>
        <v>0</v>
      </c>
      <c r="AJ138" s="33">
        <f>Programacion[[#This Row],[DEVENGADO ABRIL]]+Programacion[[#This Row],[DEVENGADO MAYO]]+Programacion[[#This Row],[DEVENGADO JUNIO]]</f>
        <v>0</v>
      </c>
      <c r="AK138" s="33">
        <f>Programacion[[#This Row],[JULIO]]+Programacion[[#This Row],[AGOSTO]]+Programacion[[#This Row],[SEPTIEMBRE]]</f>
        <v>1000</v>
      </c>
      <c r="AL138" s="33">
        <f>Programacion[[#This Row],[DEVENGADO JULIO]]+Programacion[[#This Row],[DEVENGADO AGOSTO]]+Programacion[[#This Row],[DEVENGADO SEPTIEMBRE]]</f>
        <v>1000</v>
      </c>
      <c r="AM138" s="33">
        <f>Programacion[[#This Row],[OCTUBRE]]+Programacion[[#This Row],[NOVIEMBRE]]+Programacion[[#This Row],[DICIEMBRE]]</f>
        <v>0</v>
      </c>
      <c r="AN138" s="21">
        <f>Programacion[[#This Row],[DEVENGADO OCTUBRE]]+Programacion[[#This Row],[DEVENGADO NOVIEMBRE]]+Programacion[[#This Row],[DEVENGADO DICIEMBRE]]</f>
        <v>0</v>
      </c>
      <c r="AO138" s="21">
        <f>Programacion[[#This Row],[ENERO]]+Programacion[[#This Row],[FEBRERO]]+Programacion[[#This Row],[MARZO]]+Programacion[[#This Row],[ABRIL]]+Programacion[[#This Row],[MAYO]]+Programacion[[#This Row],[JUNIO]]</f>
        <v>0</v>
      </c>
      <c r="AP13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8" s="21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3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13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T138" s="116"/>
    </row>
    <row r="139" spans="1:46" x14ac:dyDescent="0.25">
      <c r="A139" s="131" t="s">
        <v>123</v>
      </c>
      <c r="B139" s="131" t="s">
        <v>263</v>
      </c>
      <c r="C139" s="131" t="s">
        <v>264</v>
      </c>
      <c r="D139" s="132" t="s">
        <v>48</v>
      </c>
      <c r="E139" s="133">
        <v>39</v>
      </c>
      <c r="F139" s="133">
        <v>23</v>
      </c>
      <c r="G139" s="132" t="s">
        <v>70</v>
      </c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>
        <v>7000</v>
      </c>
      <c r="Y139" s="33"/>
      <c r="Z139" s="33"/>
      <c r="AA139" s="33"/>
      <c r="AB139" s="33"/>
      <c r="AC139" s="33"/>
      <c r="AD139" s="33"/>
      <c r="AE139" s="33"/>
      <c r="AF13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39" s="33">
        <f>Programacion[[#This Row],[ENERO]]+Programacion[[#This Row],[FEBRERO]]+Programacion[[#This Row],[MARZO]]</f>
        <v>0</v>
      </c>
      <c r="AH139" s="33">
        <f>Programacion[[#This Row],[DEVENGADO ENERO]]+Programacion[[#This Row],[DEVENGADO FEBRERO]]+Programacion[[#This Row],[DEVENGADO MARZO]]</f>
        <v>0</v>
      </c>
      <c r="AI139" s="33">
        <f>Programacion[[#This Row],[ABRIL]]+Programacion[[#This Row],[MAYO]]+Programacion[[#This Row],[JUNIO]]</f>
        <v>0</v>
      </c>
      <c r="AJ139" s="33">
        <f>Programacion[[#This Row],[DEVENGADO ABRIL]]+Programacion[[#This Row],[DEVENGADO MAYO]]+Programacion[[#This Row],[DEVENGADO JUNIO]]</f>
        <v>0</v>
      </c>
      <c r="AK139" s="33">
        <f>Programacion[[#This Row],[JULIO]]+Programacion[[#This Row],[AGOSTO]]+Programacion[[#This Row],[SEPTIEMBRE]]</f>
        <v>7000</v>
      </c>
      <c r="AL139" s="33">
        <f>Programacion[[#This Row],[DEVENGADO JULIO]]+Programacion[[#This Row],[DEVENGADO AGOSTO]]+Programacion[[#This Row],[DEVENGADO SEPTIEMBRE]]</f>
        <v>0</v>
      </c>
      <c r="AM139" s="33">
        <f>Programacion[[#This Row],[OCTUBRE]]+Programacion[[#This Row],[NOVIEMBRE]]+Programacion[[#This Row],[DICIEMBRE]]</f>
        <v>0</v>
      </c>
      <c r="AN139" s="21">
        <f>Programacion[[#This Row],[DEVENGADO OCTUBRE]]+Programacion[[#This Row],[DEVENGADO NOVIEMBRE]]+Programacion[[#This Row],[DEVENGADO DICIEMBRE]]</f>
        <v>0</v>
      </c>
      <c r="AO139" s="21">
        <f>Programacion[[#This Row],[ENERO]]+Programacion[[#This Row],[FEBRERO]]+Programacion[[#This Row],[MARZO]]+Programacion[[#This Row],[ABRIL]]+Programacion[[#This Row],[MAYO]]+Programacion[[#This Row],[JUNIO]]</f>
        <v>0</v>
      </c>
      <c r="AP13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9" s="21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3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9" s="116"/>
    </row>
    <row r="140" spans="1:46" x14ac:dyDescent="0.25">
      <c r="A140" s="131" t="s">
        <v>123</v>
      </c>
      <c r="B140" s="131" t="s">
        <v>286</v>
      </c>
      <c r="C140" s="46" t="s">
        <v>64</v>
      </c>
      <c r="D140" s="103" t="s">
        <v>48</v>
      </c>
      <c r="E140" s="104">
        <v>39</v>
      </c>
      <c r="F140" s="105">
        <v>2.2999999999999998</v>
      </c>
      <c r="G140" s="103" t="s">
        <v>74</v>
      </c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>
        <v>2700</v>
      </c>
      <c r="W140" s="33">
        <v>2700</v>
      </c>
      <c r="X140" s="33"/>
      <c r="Y140" s="33"/>
      <c r="Z140" s="33"/>
      <c r="AA140" s="33"/>
      <c r="AB140" s="33"/>
      <c r="AC140" s="33"/>
      <c r="AD140" s="33"/>
      <c r="AE140" s="33"/>
      <c r="AF14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40" s="33">
        <f>Programacion[[#This Row],[ENERO]]+Programacion[[#This Row],[FEBRERO]]+Programacion[[#This Row],[MARZO]]</f>
        <v>0</v>
      </c>
      <c r="AH140" s="33">
        <f>Programacion[[#This Row],[DEVENGADO ENERO]]+Programacion[[#This Row],[DEVENGADO FEBRERO]]+Programacion[[#This Row],[DEVENGADO MARZO]]</f>
        <v>0</v>
      </c>
      <c r="AI140" s="33">
        <f>Programacion[[#This Row],[ABRIL]]+Programacion[[#This Row],[MAYO]]+Programacion[[#This Row],[JUNIO]]</f>
        <v>0</v>
      </c>
      <c r="AJ140" s="33">
        <f>Programacion[[#This Row],[DEVENGADO ABRIL]]+Programacion[[#This Row],[DEVENGADO MAYO]]+Programacion[[#This Row],[DEVENGADO JUNIO]]</f>
        <v>0</v>
      </c>
      <c r="AK140" s="33">
        <f>Programacion[[#This Row],[JULIO]]+Programacion[[#This Row],[AGOSTO]]+Programacion[[#This Row],[SEPTIEMBRE]]</f>
        <v>2700</v>
      </c>
      <c r="AL140" s="33">
        <f>Programacion[[#This Row],[DEVENGADO JULIO]]+Programacion[[#This Row],[DEVENGADO AGOSTO]]+Programacion[[#This Row],[DEVENGADO SEPTIEMBRE]]</f>
        <v>2700</v>
      </c>
      <c r="AM140" s="33">
        <f>Programacion[[#This Row],[OCTUBRE]]+Programacion[[#This Row],[NOVIEMBRE]]+Programacion[[#This Row],[DICIEMBRE]]</f>
        <v>0</v>
      </c>
      <c r="AN140" s="21">
        <f>Programacion[[#This Row],[DEVENGADO OCTUBRE]]+Programacion[[#This Row],[DEVENGADO NOVIEMBRE]]+Programacion[[#This Row],[DEVENGADO DICIEMBRE]]</f>
        <v>0</v>
      </c>
      <c r="AO140" s="21">
        <f>Programacion[[#This Row],[ENERO]]+Programacion[[#This Row],[FEBRERO]]+Programacion[[#This Row],[MARZO]]+Programacion[[#This Row],[ABRIL]]+Programacion[[#This Row],[MAYO]]+Programacion[[#This Row],[JUNIO]]</f>
        <v>0</v>
      </c>
      <c r="AP14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4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4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40" s="116"/>
    </row>
    <row r="141" spans="1:46" x14ac:dyDescent="0.25">
      <c r="A141" s="131" t="s">
        <v>123</v>
      </c>
      <c r="B141" s="131" t="s">
        <v>287</v>
      </c>
      <c r="C141" s="128" t="s">
        <v>262</v>
      </c>
      <c r="D141" s="103" t="s">
        <v>48</v>
      </c>
      <c r="E141" s="104">
        <v>39</v>
      </c>
      <c r="F141" s="105">
        <v>2.2999999999999998</v>
      </c>
      <c r="G141" s="103" t="s">
        <v>190</v>
      </c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>
        <v>150</v>
      </c>
      <c r="W141" s="33">
        <v>150</v>
      </c>
      <c r="X141" s="33"/>
      <c r="Y141" s="33"/>
      <c r="Z141" s="33"/>
      <c r="AA141" s="33"/>
      <c r="AB141" s="33"/>
      <c r="AC141" s="33"/>
      <c r="AD141" s="33"/>
      <c r="AE141" s="33"/>
      <c r="AF14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41" s="33">
        <f>Programacion[[#This Row],[ENERO]]+Programacion[[#This Row],[FEBRERO]]+Programacion[[#This Row],[MARZO]]</f>
        <v>0</v>
      </c>
      <c r="AH141" s="33">
        <f>Programacion[[#This Row],[DEVENGADO ENERO]]+Programacion[[#This Row],[DEVENGADO FEBRERO]]+Programacion[[#This Row],[DEVENGADO MARZO]]</f>
        <v>0</v>
      </c>
      <c r="AI141" s="33">
        <f>Programacion[[#This Row],[ABRIL]]+Programacion[[#This Row],[MAYO]]+Programacion[[#This Row],[JUNIO]]</f>
        <v>0</v>
      </c>
      <c r="AJ141" s="33">
        <f>Programacion[[#This Row],[DEVENGADO ABRIL]]+Programacion[[#This Row],[DEVENGADO MAYO]]+Programacion[[#This Row],[DEVENGADO JUNIO]]</f>
        <v>0</v>
      </c>
      <c r="AK141" s="33">
        <f>Programacion[[#This Row],[JULIO]]+Programacion[[#This Row],[AGOSTO]]+Programacion[[#This Row],[SEPTIEMBRE]]</f>
        <v>150</v>
      </c>
      <c r="AL141" s="33">
        <f>Programacion[[#This Row],[DEVENGADO JULIO]]+Programacion[[#This Row],[DEVENGADO AGOSTO]]+Programacion[[#This Row],[DEVENGADO SEPTIEMBRE]]</f>
        <v>150</v>
      </c>
      <c r="AM141" s="33">
        <f>Programacion[[#This Row],[OCTUBRE]]+Programacion[[#This Row],[NOVIEMBRE]]+Programacion[[#This Row],[DICIEMBRE]]</f>
        <v>0</v>
      </c>
      <c r="AN141" s="21">
        <f>Programacion[[#This Row],[DEVENGADO OCTUBRE]]+Programacion[[#This Row],[DEVENGADO NOVIEMBRE]]+Programacion[[#This Row],[DEVENGADO DICIEMBRE]]</f>
        <v>0</v>
      </c>
      <c r="AO141" s="21">
        <f>Programacion[[#This Row],[ENERO]]+Programacion[[#This Row],[FEBRERO]]+Programacion[[#This Row],[MARZO]]+Programacion[[#This Row],[ABRIL]]+Programacion[[#This Row],[MAYO]]+Programacion[[#This Row],[JUNIO]]</f>
        <v>0</v>
      </c>
      <c r="AP14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1" s="21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4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4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41" s="116"/>
    </row>
    <row r="142" spans="1:46" ht="30" x14ac:dyDescent="0.25">
      <c r="A142" s="131" t="s">
        <v>123</v>
      </c>
      <c r="B142" s="131" t="s">
        <v>265</v>
      </c>
      <c r="C142" s="131" t="s">
        <v>248</v>
      </c>
      <c r="D142" s="132" t="s">
        <v>48</v>
      </c>
      <c r="E142" s="133">
        <v>39</v>
      </c>
      <c r="F142" s="133">
        <v>23</v>
      </c>
      <c r="G142" s="132" t="s">
        <v>49</v>
      </c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>
        <v>1600</v>
      </c>
      <c r="Y142" s="33">
        <v>321.67</v>
      </c>
      <c r="Z142" s="33"/>
      <c r="AA142" s="33"/>
      <c r="AB142" s="33"/>
      <c r="AC142" s="33"/>
      <c r="AD142" s="33"/>
      <c r="AE142" s="33"/>
      <c r="AF14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2" s="33">
        <f>Programacion[[#This Row],[ENERO]]+Programacion[[#This Row],[FEBRERO]]+Programacion[[#This Row],[MARZO]]</f>
        <v>0</v>
      </c>
      <c r="AH142" s="33">
        <f>Programacion[[#This Row],[DEVENGADO ENERO]]+Programacion[[#This Row],[DEVENGADO FEBRERO]]+Programacion[[#This Row],[DEVENGADO MARZO]]</f>
        <v>0</v>
      </c>
      <c r="AI142" s="33">
        <f>Programacion[[#This Row],[ABRIL]]+Programacion[[#This Row],[MAYO]]+Programacion[[#This Row],[JUNIO]]</f>
        <v>0</v>
      </c>
      <c r="AJ142" s="33">
        <f>Programacion[[#This Row],[DEVENGADO ABRIL]]+Programacion[[#This Row],[DEVENGADO MAYO]]+Programacion[[#This Row],[DEVENGADO JUNIO]]</f>
        <v>0</v>
      </c>
      <c r="AK142" s="33">
        <f>Programacion[[#This Row],[JULIO]]+Programacion[[#This Row],[AGOSTO]]+Programacion[[#This Row],[SEPTIEMBRE]]</f>
        <v>1600</v>
      </c>
      <c r="AL142" s="33">
        <f>Programacion[[#This Row],[DEVENGADO JULIO]]+Programacion[[#This Row],[DEVENGADO AGOSTO]]+Programacion[[#This Row],[DEVENGADO SEPTIEMBRE]]</f>
        <v>321.67</v>
      </c>
      <c r="AM142" s="33">
        <f>Programacion[[#This Row],[OCTUBRE]]+Programacion[[#This Row],[NOVIEMBRE]]+Programacion[[#This Row],[DICIEMBRE]]</f>
        <v>0</v>
      </c>
      <c r="AN142" s="21">
        <f>Programacion[[#This Row],[DEVENGADO OCTUBRE]]+Programacion[[#This Row],[DEVENGADO NOVIEMBRE]]+Programacion[[#This Row],[DEVENGADO DICIEMBRE]]</f>
        <v>0</v>
      </c>
      <c r="AO142" s="21">
        <f>Programacion[[#This Row],[ENERO]]+Programacion[[#This Row],[FEBRERO]]+Programacion[[#This Row],[MARZO]]+Programacion[[#This Row],[ABRIL]]+Programacion[[#This Row],[MAYO]]+Programacion[[#This Row],[JUNIO]]</f>
        <v>0</v>
      </c>
      <c r="AP14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2" s="21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4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321.67</v>
      </c>
      <c r="AS14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321.67</v>
      </c>
      <c r="AT142" s="116"/>
    </row>
    <row r="143" spans="1:46" x14ac:dyDescent="0.25">
      <c r="A143" s="131" t="s">
        <v>123</v>
      </c>
      <c r="B143" s="131" t="s">
        <v>266</v>
      </c>
      <c r="C143" s="131" t="s">
        <v>246</v>
      </c>
      <c r="D143" s="132" t="s">
        <v>48</v>
      </c>
      <c r="E143" s="133">
        <v>39</v>
      </c>
      <c r="F143" s="133">
        <v>23</v>
      </c>
      <c r="G143" s="132" t="s">
        <v>51</v>
      </c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>
        <v>1200</v>
      </c>
      <c r="W143" s="33">
        <v>1200</v>
      </c>
      <c r="X143" s="33"/>
      <c r="Y143" s="33"/>
      <c r="Z143" s="33"/>
      <c r="AA143" s="33"/>
      <c r="AB143" s="33"/>
      <c r="AC143" s="33"/>
      <c r="AD143" s="33"/>
      <c r="AE143" s="33"/>
      <c r="AF14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43" s="33">
        <f>Programacion[[#This Row],[ENERO]]+Programacion[[#This Row],[FEBRERO]]+Programacion[[#This Row],[MARZO]]</f>
        <v>0</v>
      </c>
      <c r="AH143" s="33">
        <f>Programacion[[#This Row],[DEVENGADO ENERO]]+Programacion[[#This Row],[DEVENGADO FEBRERO]]+Programacion[[#This Row],[DEVENGADO MARZO]]</f>
        <v>0</v>
      </c>
      <c r="AI143" s="33">
        <f>Programacion[[#This Row],[ABRIL]]+Programacion[[#This Row],[MAYO]]+Programacion[[#This Row],[JUNIO]]</f>
        <v>0</v>
      </c>
      <c r="AJ143" s="33">
        <f>Programacion[[#This Row],[DEVENGADO ABRIL]]+Programacion[[#This Row],[DEVENGADO MAYO]]+Programacion[[#This Row],[DEVENGADO JUNIO]]</f>
        <v>0</v>
      </c>
      <c r="AK143" s="33">
        <f>Programacion[[#This Row],[JULIO]]+Programacion[[#This Row],[AGOSTO]]+Programacion[[#This Row],[SEPTIEMBRE]]</f>
        <v>1200</v>
      </c>
      <c r="AL143" s="33">
        <f>Programacion[[#This Row],[DEVENGADO JULIO]]+Programacion[[#This Row],[DEVENGADO AGOSTO]]+Programacion[[#This Row],[DEVENGADO SEPTIEMBRE]]</f>
        <v>1200</v>
      </c>
      <c r="AM143" s="33">
        <f>Programacion[[#This Row],[OCTUBRE]]+Programacion[[#This Row],[NOVIEMBRE]]+Programacion[[#This Row],[DICIEMBRE]]</f>
        <v>0</v>
      </c>
      <c r="AN143" s="21">
        <f>Programacion[[#This Row],[DEVENGADO OCTUBRE]]+Programacion[[#This Row],[DEVENGADO NOVIEMBRE]]+Programacion[[#This Row],[DEVENGADO DICIEMBRE]]</f>
        <v>0</v>
      </c>
      <c r="AO143" s="21">
        <f>Programacion[[#This Row],[ENERO]]+Programacion[[#This Row],[FEBRERO]]+Programacion[[#This Row],[MARZO]]+Programacion[[#This Row],[ABRIL]]+Programacion[[#This Row],[MAYO]]+Programacion[[#This Row],[JUNIO]]</f>
        <v>0</v>
      </c>
      <c r="AP14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3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4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4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43" s="116"/>
    </row>
    <row r="144" spans="1:46" ht="30" x14ac:dyDescent="0.25">
      <c r="A144" s="52" t="s">
        <v>123</v>
      </c>
      <c r="B144" s="45" t="s">
        <v>46</v>
      </c>
      <c r="C144" s="46" t="s">
        <v>47</v>
      </c>
      <c r="D144" s="46" t="s">
        <v>48</v>
      </c>
      <c r="E144" s="47">
        <v>39</v>
      </c>
      <c r="F144" s="48">
        <v>2.2999999999999998</v>
      </c>
      <c r="G144" s="46" t="s">
        <v>49</v>
      </c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>
        <v>6000</v>
      </c>
      <c r="AA144" s="49"/>
      <c r="AB144" s="49"/>
      <c r="AC144" s="49"/>
      <c r="AD144" s="49"/>
      <c r="AE144" s="49"/>
      <c r="AF1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44" s="19">
        <f>Programacion[[#This Row],[ENERO]]+Programacion[[#This Row],[FEBRERO]]+Programacion[[#This Row],[MARZO]]</f>
        <v>0</v>
      </c>
      <c r="AH144" s="19">
        <f>Programacion[[#This Row],[DEVENGADO ENERO]]+Programacion[[#This Row],[DEVENGADO FEBRERO]]+Programacion[[#This Row],[DEVENGADO MARZO]]</f>
        <v>0</v>
      </c>
      <c r="AI144" s="19">
        <f>Programacion[[#This Row],[ABRIL]]+Programacion[[#This Row],[MAYO]]+Programacion[[#This Row],[JUNIO]]</f>
        <v>0</v>
      </c>
      <c r="AJ144" s="19">
        <f>Programacion[[#This Row],[DEVENGADO ABRIL]]+Programacion[[#This Row],[DEVENGADO MAYO]]+Programacion[[#This Row],[DEVENGADO JUNIO]]</f>
        <v>0</v>
      </c>
      <c r="AK144" s="19">
        <f>Programacion[[#This Row],[JULIO]]+Programacion[[#This Row],[AGOSTO]]+Programacion[[#This Row],[SEPTIEMBRE]]</f>
        <v>0</v>
      </c>
      <c r="AL144" s="19">
        <f>Programacion[[#This Row],[DEVENGADO JULIO]]+Programacion[[#This Row],[DEVENGADO AGOSTO]]+Programacion[[#This Row],[DEVENGADO SEPTIEMBRE]]</f>
        <v>0</v>
      </c>
      <c r="AM144" s="19">
        <f>Programacion[[#This Row],[OCTUBRE]]+Programacion[[#This Row],[NOVIEMBRE]]+Programacion[[#This Row],[DICIEMBRE]]</f>
        <v>6000</v>
      </c>
      <c r="AN144" s="20">
        <f>Programacion[[#This Row],[DEVENGADO OCTUBRE]]+Programacion[[#This Row],[DEVENGADO NOVIEMBRE]]+Programacion[[#This Row],[DEVENGADO DICIEMBRE]]</f>
        <v>0</v>
      </c>
      <c r="AO144" s="20">
        <f>Programacion[[#This Row],[ENERO]]+Programacion[[#This Row],[FEBRERO]]+Programacion[[#This Row],[MARZO]]+Programacion[[#This Row],[ABRIL]]+Programacion[[#This Row],[MAYO]]+Programacion[[#This Row],[JUNIO]]</f>
        <v>0</v>
      </c>
      <c r="AP1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4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4" s="116"/>
    </row>
    <row r="145" spans="1:46" x14ac:dyDescent="0.25">
      <c r="A145" s="52" t="s">
        <v>123</v>
      </c>
      <c r="B145" s="45" t="s">
        <v>83</v>
      </c>
      <c r="C145" s="46" t="s">
        <v>47</v>
      </c>
      <c r="D145" s="46" t="s">
        <v>48</v>
      </c>
      <c r="E145" s="47">
        <v>39</v>
      </c>
      <c r="F145" s="48">
        <v>2.2999999999999998</v>
      </c>
      <c r="G145" s="46" t="s">
        <v>51</v>
      </c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>
        <v>4000</v>
      </c>
      <c r="AA145" s="49"/>
      <c r="AB145" s="49"/>
      <c r="AC145" s="49"/>
      <c r="AD145" s="49"/>
      <c r="AE145" s="50"/>
      <c r="AF1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45" s="19">
        <f>Programacion[[#This Row],[ENERO]]+Programacion[[#This Row],[FEBRERO]]+Programacion[[#This Row],[MARZO]]</f>
        <v>0</v>
      </c>
      <c r="AH145" s="19">
        <f>Programacion[[#This Row],[DEVENGADO ENERO]]+Programacion[[#This Row],[DEVENGADO FEBRERO]]+Programacion[[#This Row],[DEVENGADO MARZO]]</f>
        <v>0</v>
      </c>
      <c r="AI145" s="19">
        <f>Programacion[[#This Row],[ABRIL]]+Programacion[[#This Row],[MAYO]]+Programacion[[#This Row],[JUNIO]]</f>
        <v>0</v>
      </c>
      <c r="AJ145" s="19">
        <f>Programacion[[#This Row],[DEVENGADO ABRIL]]+Programacion[[#This Row],[DEVENGADO MAYO]]+Programacion[[#This Row],[DEVENGADO JUNIO]]</f>
        <v>0</v>
      </c>
      <c r="AK145" s="19">
        <f>Programacion[[#This Row],[JULIO]]+Programacion[[#This Row],[AGOSTO]]+Programacion[[#This Row],[SEPTIEMBRE]]</f>
        <v>0</v>
      </c>
      <c r="AL145" s="19">
        <f>Programacion[[#This Row],[DEVENGADO JULIO]]+Programacion[[#This Row],[DEVENGADO AGOSTO]]+Programacion[[#This Row],[DEVENGADO SEPTIEMBRE]]</f>
        <v>0</v>
      </c>
      <c r="AM145" s="19">
        <f>Programacion[[#This Row],[OCTUBRE]]+Programacion[[#This Row],[NOVIEMBRE]]+Programacion[[#This Row],[DICIEMBRE]]</f>
        <v>4000</v>
      </c>
      <c r="AN145" s="20">
        <f>Programacion[[#This Row],[DEVENGADO OCTUBRE]]+Programacion[[#This Row],[DEVENGADO NOVIEMBRE]]+Programacion[[#This Row],[DEVENGADO DICIEMBRE]]</f>
        <v>0</v>
      </c>
      <c r="AO145" s="20">
        <f>Programacion[[#This Row],[ENERO]]+Programacion[[#This Row],[FEBRERO]]+Programacion[[#This Row],[MARZO]]+Programacion[[#This Row],[ABRIL]]+Programacion[[#This Row],[MAYO]]+Programacion[[#This Row],[JUNIO]]</f>
        <v>0</v>
      </c>
      <c r="AP1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5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5" s="116"/>
    </row>
    <row r="146" spans="1:46" x14ac:dyDescent="0.25">
      <c r="A146" s="52" t="s">
        <v>123</v>
      </c>
      <c r="B146" s="45" t="s">
        <v>132</v>
      </c>
      <c r="C146" s="46" t="s">
        <v>64</v>
      </c>
      <c r="D146" s="46" t="s">
        <v>48</v>
      </c>
      <c r="E146" s="47">
        <v>39</v>
      </c>
      <c r="F146" s="48">
        <v>2.2999999999999998</v>
      </c>
      <c r="G146" s="46" t="s">
        <v>67</v>
      </c>
      <c r="H146" s="49"/>
      <c r="I146" s="49"/>
      <c r="J146" s="49"/>
      <c r="K146" s="49"/>
      <c r="L146" s="53">
        <v>4500</v>
      </c>
      <c r="M146" s="53">
        <v>4500</v>
      </c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50"/>
      <c r="AF1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46" s="19">
        <f>Programacion[[#This Row],[ENERO]]+Programacion[[#This Row],[FEBRERO]]+Programacion[[#This Row],[MARZO]]</f>
        <v>4500</v>
      </c>
      <c r="AH146" s="19">
        <f>Programacion[[#This Row],[DEVENGADO ENERO]]+Programacion[[#This Row],[DEVENGADO FEBRERO]]+Programacion[[#This Row],[DEVENGADO MARZO]]</f>
        <v>4500</v>
      </c>
      <c r="AI146" s="19">
        <f>Programacion[[#This Row],[ABRIL]]+Programacion[[#This Row],[MAYO]]+Programacion[[#This Row],[JUNIO]]</f>
        <v>0</v>
      </c>
      <c r="AJ146" s="19">
        <f>Programacion[[#This Row],[DEVENGADO ABRIL]]+Programacion[[#This Row],[DEVENGADO MAYO]]+Programacion[[#This Row],[DEVENGADO JUNIO]]</f>
        <v>0</v>
      </c>
      <c r="AK146" s="19">
        <f>Programacion[[#This Row],[JULIO]]+Programacion[[#This Row],[AGOSTO]]+Programacion[[#This Row],[SEPTIEMBRE]]</f>
        <v>0</v>
      </c>
      <c r="AL146" s="19">
        <f>Programacion[[#This Row],[DEVENGADO JULIO]]+Programacion[[#This Row],[DEVENGADO AGOSTO]]+Programacion[[#This Row],[DEVENGADO SEPTIEMBRE]]</f>
        <v>0</v>
      </c>
      <c r="AM146" s="19">
        <f>Programacion[[#This Row],[OCTUBRE]]+Programacion[[#This Row],[NOVIEMBRE]]+Programacion[[#This Row],[DICIEMBRE]]</f>
        <v>0</v>
      </c>
      <c r="AN146" s="20">
        <f>Programacion[[#This Row],[DEVENGADO OCTUBRE]]+Programacion[[#This Row],[DEVENGADO NOVIEMBRE]]+Programacion[[#This Row],[DEVENGADO DICIEMBRE]]</f>
        <v>0</v>
      </c>
      <c r="AO146" s="20">
        <f>Programacion[[#This Row],[ENERO]]+Programacion[[#This Row],[FEBRERO]]+Programacion[[#This Row],[MARZO]]+Programacion[[#This Row],[ABRIL]]+Programacion[[#This Row],[MAYO]]+Programacion[[#This Row],[JUNIO]]</f>
        <v>4500</v>
      </c>
      <c r="AP1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4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46" s="116"/>
    </row>
    <row r="147" spans="1:46" x14ac:dyDescent="0.25">
      <c r="A147" s="52" t="s">
        <v>123</v>
      </c>
      <c r="B147" s="45" t="s">
        <v>133</v>
      </c>
      <c r="C147" s="46" t="s">
        <v>56</v>
      </c>
      <c r="D147" s="46" t="s">
        <v>48</v>
      </c>
      <c r="E147" s="47">
        <v>3</v>
      </c>
      <c r="F147" s="48">
        <v>2.2999999999999998</v>
      </c>
      <c r="G147" s="46" t="s">
        <v>70</v>
      </c>
      <c r="H147" s="49"/>
      <c r="I147" s="49"/>
      <c r="J147" s="49"/>
      <c r="K147" s="49"/>
      <c r="L147" s="49"/>
      <c r="M147" s="49"/>
      <c r="N147" s="49">
        <v>15000</v>
      </c>
      <c r="O147" s="49">
        <v>15000</v>
      </c>
      <c r="P147" s="49">
        <v>7500</v>
      </c>
      <c r="Q147" s="49">
        <v>7500</v>
      </c>
      <c r="R147" s="49">
        <v>7500</v>
      </c>
      <c r="S147" s="49">
        <v>7500</v>
      </c>
      <c r="T147" s="49"/>
      <c r="U147" s="49"/>
      <c r="V147" s="49"/>
      <c r="W147" s="49"/>
      <c r="X147" s="49"/>
      <c r="Y147" s="49"/>
      <c r="Z147" s="49"/>
      <c r="AA147" s="49"/>
      <c r="AB147" s="49"/>
      <c r="AC147" s="49"/>
      <c r="AD147" s="49"/>
      <c r="AE147" s="50"/>
      <c r="AF14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7" s="19">
        <f>Programacion[[#This Row],[ENERO]]+Programacion[[#This Row],[FEBRERO]]+Programacion[[#This Row],[MARZO]]</f>
        <v>0</v>
      </c>
      <c r="AH147" s="19">
        <f>Programacion[[#This Row],[DEVENGADO ENERO]]+Programacion[[#This Row],[DEVENGADO FEBRERO]]+Programacion[[#This Row],[DEVENGADO MARZO]]</f>
        <v>0</v>
      </c>
      <c r="AI147" s="19">
        <f>Programacion[[#This Row],[ABRIL]]+Programacion[[#This Row],[MAYO]]+Programacion[[#This Row],[JUNIO]]</f>
        <v>30000</v>
      </c>
      <c r="AJ147" s="19">
        <f>Programacion[[#This Row],[DEVENGADO ABRIL]]+Programacion[[#This Row],[DEVENGADO MAYO]]+Programacion[[#This Row],[DEVENGADO JUNIO]]</f>
        <v>30000</v>
      </c>
      <c r="AK147" s="19">
        <f>Programacion[[#This Row],[JULIO]]+Programacion[[#This Row],[AGOSTO]]+Programacion[[#This Row],[SEPTIEMBRE]]</f>
        <v>0</v>
      </c>
      <c r="AL147" s="19">
        <f>Programacion[[#This Row],[DEVENGADO JULIO]]+Programacion[[#This Row],[DEVENGADO AGOSTO]]+Programacion[[#This Row],[DEVENGADO SEPTIEMBRE]]</f>
        <v>0</v>
      </c>
      <c r="AM147" s="19">
        <f>Programacion[[#This Row],[OCTUBRE]]+Programacion[[#This Row],[NOVIEMBRE]]+Programacion[[#This Row],[DICIEMBRE]]</f>
        <v>0</v>
      </c>
      <c r="AN147" s="20">
        <f>Programacion[[#This Row],[DEVENGADO OCTUBRE]]+Programacion[[#This Row],[DEVENGADO NOVIEMBRE]]+Programacion[[#This Row],[DEVENGADO DICIEMBRE]]</f>
        <v>0</v>
      </c>
      <c r="AO147" s="20">
        <f>Programacion[[#This Row],[ENERO]]+Programacion[[#This Row],[FEBRERO]]+Programacion[[#This Row],[MARZO]]+Programacion[[#This Row],[ABRIL]]+Programacion[[#This Row],[MAYO]]+Programacion[[#This Row],[JUNIO]]</f>
        <v>30000</v>
      </c>
      <c r="AP14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4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47" s="116"/>
    </row>
    <row r="148" spans="1:46" ht="30" x14ac:dyDescent="0.25">
      <c r="A148" s="51" t="s">
        <v>123</v>
      </c>
      <c r="B148" s="45" t="s">
        <v>134</v>
      </c>
      <c r="C148" s="46" t="s">
        <v>56</v>
      </c>
      <c r="D148" s="46" t="s">
        <v>48</v>
      </c>
      <c r="E148" s="47">
        <v>3</v>
      </c>
      <c r="F148" s="48">
        <v>2.2999999999999998</v>
      </c>
      <c r="G148" s="46" t="s">
        <v>70</v>
      </c>
      <c r="H148" s="49"/>
      <c r="I148" s="49"/>
      <c r="J148" s="49"/>
      <c r="K148" s="49"/>
      <c r="L148" s="49"/>
      <c r="M148" s="49"/>
      <c r="N148" s="49">
        <v>10000</v>
      </c>
      <c r="O148" s="49">
        <v>10000</v>
      </c>
      <c r="P148" s="49">
        <v>5000</v>
      </c>
      <c r="Q148" s="49">
        <v>5000</v>
      </c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  <c r="AD148" s="49"/>
      <c r="AE148" s="49"/>
      <c r="AF1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48" s="19">
        <f>Programacion[[#This Row],[ENERO]]+Programacion[[#This Row],[FEBRERO]]+Programacion[[#This Row],[MARZO]]</f>
        <v>0</v>
      </c>
      <c r="AH148" s="19">
        <f>Programacion[[#This Row],[DEVENGADO ENERO]]+Programacion[[#This Row],[DEVENGADO FEBRERO]]+Programacion[[#This Row],[DEVENGADO MARZO]]</f>
        <v>0</v>
      </c>
      <c r="AI148" s="19">
        <f>Programacion[[#This Row],[ABRIL]]+Programacion[[#This Row],[MAYO]]+Programacion[[#This Row],[JUNIO]]</f>
        <v>15000</v>
      </c>
      <c r="AJ148" s="19">
        <f>Programacion[[#This Row],[DEVENGADO ABRIL]]+Programacion[[#This Row],[DEVENGADO MAYO]]+Programacion[[#This Row],[DEVENGADO JUNIO]]</f>
        <v>15000</v>
      </c>
      <c r="AK148" s="19">
        <f>Programacion[[#This Row],[JULIO]]+Programacion[[#This Row],[AGOSTO]]+Programacion[[#This Row],[SEPTIEMBRE]]</f>
        <v>0</v>
      </c>
      <c r="AL148" s="19">
        <f>Programacion[[#This Row],[DEVENGADO JULIO]]+Programacion[[#This Row],[DEVENGADO AGOSTO]]+Programacion[[#This Row],[DEVENGADO SEPTIEMBRE]]</f>
        <v>0</v>
      </c>
      <c r="AM148" s="19">
        <f>Programacion[[#This Row],[OCTUBRE]]+Programacion[[#This Row],[NOVIEMBRE]]+Programacion[[#This Row],[DICIEMBRE]]</f>
        <v>0</v>
      </c>
      <c r="AN148" s="20">
        <f>Programacion[[#This Row],[DEVENGADO OCTUBRE]]+Programacion[[#This Row],[DEVENGADO NOVIEMBRE]]+Programacion[[#This Row],[DEVENGADO DICIEMBRE]]</f>
        <v>0</v>
      </c>
      <c r="AO148" s="20">
        <f>Programacion[[#This Row],[ENERO]]+Programacion[[#This Row],[FEBRERO]]+Programacion[[#This Row],[MARZO]]+Programacion[[#This Row],[ABRIL]]+Programacion[[#This Row],[MAYO]]+Programacion[[#This Row],[JUNIO]]</f>
        <v>15000</v>
      </c>
      <c r="AP1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48" s="116"/>
    </row>
    <row r="149" spans="1:46" ht="30" x14ac:dyDescent="0.25">
      <c r="A149" s="131" t="s">
        <v>123</v>
      </c>
      <c r="B149" s="150" t="s">
        <v>305</v>
      </c>
      <c r="C149" s="131" t="s">
        <v>264</v>
      </c>
      <c r="D149" s="151" t="s">
        <v>290</v>
      </c>
      <c r="E149" s="152">
        <v>135</v>
      </c>
      <c r="F149" s="153">
        <v>23</v>
      </c>
      <c r="G149" s="132" t="s">
        <v>70</v>
      </c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54">
        <v>9000</v>
      </c>
      <c r="Y149" s="147"/>
      <c r="Z149" s="154">
        <v>9000</v>
      </c>
      <c r="AA149" s="147"/>
      <c r="AB149" s="154">
        <v>9000</v>
      </c>
      <c r="AC149" s="147"/>
      <c r="AD149" s="147"/>
      <c r="AE149" s="147"/>
      <c r="AF149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149" s="147">
        <f>Programacion[[#This Row],[ENERO]]+Programacion[[#This Row],[FEBRERO]]+Programacion[[#This Row],[MARZO]]</f>
        <v>0</v>
      </c>
      <c r="AH149" s="147">
        <f>Programacion[[#This Row],[DEVENGADO ENERO]]+Programacion[[#This Row],[DEVENGADO FEBRERO]]+Programacion[[#This Row],[DEVENGADO MARZO]]</f>
        <v>0</v>
      </c>
      <c r="AI149" s="147">
        <f>Programacion[[#This Row],[ABRIL]]+Programacion[[#This Row],[MAYO]]+Programacion[[#This Row],[JUNIO]]</f>
        <v>0</v>
      </c>
      <c r="AJ149" s="147">
        <f>Programacion[[#This Row],[DEVENGADO ABRIL]]+Programacion[[#This Row],[DEVENGADO MAYO]]+Programacion[[#This Row],[DEVENGADO JUNIO]]</f>
        <v>0</v>
      </c>
      <c r="AK149" s="147">
        <f>Programacion[[#This Row],[JULIO]]+Programacion[[#This Row],[AGOSTO]]+Programacion[[#This Row],[SEPTIEMBRE]]</f>
        <v>9000</v>
      </c>
      <c r="AL149" s="147">
        <f>Programacion[[#This Row],[DEVENGADO JULIO]]+Programacion[[#This Row],[DEVENGADO AGOSTO]]+Programacion[[#This Row],[DEVENGADO SEPTIEMBRE]]</f>
        <v>0</v>
      </c>
      <c r="AM149" s="147">
        <f>Programacion[[#This Row],[OCTUBRE]]+Programacion[[#This Row],[NOVIEMBRE]]+Programacion[[#This Row],[DICIEMBRE]]</f>
        <v>18000</v>
      </c>
      <c r="AN149" s="149">
        <f>Programacion[[#This Row],[DEVENGADO OCTUBRE]]+Programacion[[#This Row],[DEVENGADO NOVIEMBRE]]+Programacion[[#This Row],[DEVENGADO DICIEMBRE]]</f>
        <v>0</v>
      </c>
      <c r="AO149" s="149">
        <f>Programacion[[#This Row],[ENERO]]+Programacion[[#This Row],[FEBRERO]]+Programacion[[#This Row],[MARZO]]+Programacion[[#This Row],[ABRIL]]+Programacion[[#This Row],[MAYO]]+Programacion[[#This Row],[JUNIO]]</f>
        <v>0</v>
      </c>
      <c r="AP149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149">
        <f>Programacion[[#This Row],[JULIO]]+Programacion[[#This Row],[AGOSTO]]+Programacion[[#This Row],[SEPTIEMBRE]]+Programacion[[#This Row],[OCTUBRE]]+Programacion[[#This Row],[NOVIEMBRE]]+Programacion[[#This Row],[DICIEMBRE]]</f>
        <v>27000</v>
      </c>
      <c r="AR149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9" s="116"/>
    </row>
    <row r="150" spans="1:46" ht="30" x14ac:dyDescent="0.25">
      <c r="A150" s="131" t="s">
        <v>123</v>
      </c>
      <c r="B150" s="150" t="s">
        <v>306</v>
      </c>
      <c r="C150" s="131" t="s">
        <v>264</v>
      </c>
      <c r="D150" s="151" t="s">
        <v>48</v>
      </c>
      <c r="E150" s="152">
        <v>39</v>
      </c>
      <c r="F150" s="153">
        <v>23</v>
      </c>
      <c r="G150" s="132" t="s">
        <v>70</v>
      </c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54">
        <v>3700</v>
      </c>
      <c r="Y150" s="147"/>
      <c r="Z150" s="154">
        <v>3700</v>
      </c>
      <c r="AA150" s="147"/>
      <c r="AB150" s="154">
        <v>3700</v>
      </c>
      <c r="AC150" s="147"/>
      <c r="AD150" s="154">
        <v>3700</v>
      </c>
      <c r="AE150" s="147"/>
      <c r="AF150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14800</v>
      </c>
      <c r="AG150" s="147">
        <f>Programacion[[#This Row],[ENERO]]+Programacion[[#This Row],[FEBRERO]]+Programacion[[#This Row],[MARZO]]</f>
        <v>0</v>
      </c>
      <c r="AH150" s="147">
        <f>Programacion[[#This Row],[DEVENGADO ENERO]]+Programacion[[#This Row],[DEVENGADO FEBRERO]]+Programacion[[#This Row],[DEVENGADO MARZO]]</f>
        <v>0</v>
      </c>
      <c r="AI150" s="147">
        <f>Programacion[[#This Row],[ABRIL]]+Programacion[[#This Row],[MAYO]]+Programacion[[#This Row],[JUNIO]]</f>
        <v>0</v>
      </c>
      <c r="AJ150" s="147">
        <f>Programacion[[#This Row],[DEVENGADO ABRIL]]+Programacion[[#This Row],[DEVENGADO MAYO]]+Programacion[[#This Row],[DEVENGADO JUNIO]]</f>
        <v>0</v>
      </c>
      <c r="AK150" s="147">
        <f>Programacion[[#This Row],[JULIO]]+Programacion[[#This Row],[AGOSTO]]+Programacion[[#This Row],[SEPTIEMBRE]]</f>
        <v>3700</v>
      </c>
      <c r="AL150" s="147">
        <f>Programacion[[#This Row],[DEVENGADO JULIO]]+Programacion[[#This Row],[DEVENGADO AGOSTO]]+Programacion[[#This Row],[DEVENGADO SEPTIEMBRE]]</f>
        <v>0</v>
      </c>
      <c r="AM150" s="147">
        <f>Programacion[[#This Row],[OCTUBRE]]+Programacion[[#This Row],[NOVIEMBRE]]+Programacion[[#This Row],[DICIEMBRE]]</f>
        <v>11100</v>
      </c>
      <c r="AN150" s="149">
        <f>Programacion[[#This Row],[DEVENGADO OCTUBRE]]+Programacion[[#This Row],[DEVENGADO NOVIEMBRE]]+Programacion[[#This Row],[DEVENGADO DICIEMBRE]]</f>
        <v>0</v>
      </c>
      <c r="AO150" s="149">
        <f>Programacion[[#This Row],[ENERO]]+Programacion[[#This Row],[FEBRERO]]+Programacion[[#This Row],[MARZO]]+Programacion[[#This Row],[ABRIL]]+Programacion[[#This Row],[MAYO]]+Programacion[[#This Row],[JUNIO]]</f>
        <v>0</v>
      </c>
      <c r="AP150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149">
        <f>Programacion[[#This Row],[JULIO]]+Programacion[[#This Row],[AGOSTO]]+Programacion[[#This Row],[SEPTIEMBRE]]+Programacion[[#This Row],[OCTUBRE]]+Programacion[[#This Row],[NOVIEMBRE]]+Programacion[[#This Row],[DICIEMBRE]]</f>
        <v>14800</v>
      </c>
      <c r="AR150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0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0" s="116"/>
    </row>
    <row r="151" spans="1:46" x14ac:dyDescent="0.25">
      <c r="A151" s="131" t="s">
        <v>123</v>
      </c>
      <c r="B151" s="150" t="s">
        <v>307</v>
      </c>
      <c r="C151" s="131" t="s">
        <v>264</v>
      </c>
      <c r="D151" s="151" t="s">
        <v>290</v>
      </c>
      <c r="E151" s="152">
        <v>135</v>
      </c>
      <c r="F151" s="153">
        <v>23</v>
      </c>
      <c r="G151" s="151" t="s">
        <v>57</v>
      </c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54">
        <v>7000</v>
      </c>
      <c r="Y151" s="147"/>
      <c r="Z151" s="154">
        <v>7000</v>
      </c>
      <c r="AA151" s="147"/>
      <c r="AB151" s="154">
        <v>7000</v>
      </c>
      <c r="AC151" s="147"/>
      <c r="AD151" s="154">
        <v>7000</v>
      </c>
      <c r="AE151" s="147"/>
      <c r="AF151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28000</v>
      </c>
      <c r="AG151" s="147">
        <f>Programacion[[#This Row],[ENERO]]+Programacion[[#This Row],[FEBRERO]]+Programacion[[#This Row],[MARZO]]</f>
        <v>0</v>
      </c>
      <c r="AH151" s="147">
        <f>Programacion[[#This Row],[DEVENGADO ENERO]]+Programacion[[#This Row],[DEVENGADO FEBRERO]]+Programacion[[#This Row],[DEVENGADO MARZO]]</f>
        <v>0</v>
      </c>
      <c r="AI151" s="147">
        <f>Programacion[[#This Row],[ABRIL]]+Programacion[[#This Row],[MAYO]]+Programacion[[#This Row],[JUNIO]]</f>
        <v>0</v>
      </c>
      <c r="AJ151" s="147">
        <f>Programacion[[#This Row],[DEVENGADO ABRIL]]+Programacion[[#This Row],[DEVENGADO MAYO]]+Programacion[[#This Row],[DEVENGADO JUNIO]]</f>
        <v>0</v>
      </c>
      <c r="AK151" s="147">
        <f>Programacion[[#This Row],[JULIO]]+Programacion[[#This Row],[AGOSTO]]+Programacion[[#This Row],[SEPTIEMBRE]]</f>
        <v>7000</v>
      </c>
      <c r="AL151" s="147">
        <f>Programacion[[#This Row],[DEVENGADO JULIO]]+Programacion[[#This Row],[DEVENGADO AGOSTO]]+Programacion[[#This Row],[DEVENGADO SEPTIEMBRE]]</f>
        <v>0</v>
      </c>
      <c r="AM151" s="147">
        <f>Programacion[[#This Row],[OCTUBRE]]+Programacion[[#This Row],[NOVIEMBRE]]+Programacion[[#This Row],[DICIEMBRE]]</f>
        <v>21000</v>
      </c>
      <c r="AN151" s="149">
        <f>Programacion[[#This Row],[DEVENGADO OCTUBRE]]+Programacion[[#This Row],[DEVENGADO NOVIEMBRE]]+Programacion[[#This Row],[DEVENGADO DICIEMBRE]]</f>
        <v>0</v>
      </c>
      <c r="AO151" s="149">
        <f>Programacion[[#This Row],[ENERO]]+Programacion[[#This Row],[FEBRERO]]+Programacion[[#This Row],[MARZO]]+Programacion[[#This Row],[ABRIL]]+Programacion[[#This Row],[MAYO]]+Programacion[[#This Row],[JUNIO]]</f>
        <v>0</v>
      </c>
      <c r="AP151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149">
        <f>Programacion[[#This Row],[JULIO]]+Programacion[[#This Row],[AGOSTO]]+Programacion[[#This Row],[SEPTIEMBRE]]+Programacion[[#This Row],[OCTUBRE]]+Programacion[[#This Row],[NOVIEMBRE]]+Programacion[[#This Row],[DICIEMBRE]]</f>
        <v>28000</v>
      </c>
      <c r="AR151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1" s="116"/>
    </row>
    <row r="152" spans="1:46" ht="30" x14ac:dyDescent="0.25">
      <c r="A152" s="131" t="s">
        <v>123</v>
      </c>
      <c r="B152" s="150" t="s">
        <v>308</v>
      </c>
      <c r="C152" s="131" t="s">
        <v>264</v>
      </c>
      <c r="D152" s="151" t="s">
        <v>48</v>
      </c>
      <c r="E152" s="152">
        <v>39</v>
      </c>
      <c r="F152" s="153">
        <v>23</v>
      </c>
      <c r="G152" s="151" t="s">
        <v>57</v>
      </c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54">
        <v>5000</v>
      </c>
      <c r="Y152" s="147"/>
      <c r="Z152" s="154">
        <v>5000</v>
      </c>
      <c r="AA152" s="147"/>
      <c r="AB152" s="154">
        <v>5000</v>
      </c>
      <c r="AC152" s="147"/>
      <c r="AD152" s="154">
        <v>5000</v>
      </c>
      <c r="AE152" s="147"/>
      <c r="AF152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52" s="147">
        <f>Programacion[[#This Row],[ENERO]]+Programacion[[#This Row],[FEBRERO]]+Programacion[[#This Row],[MARZO]]</f>
        <v>0</v>
      </c>
      <c r="AH152" s="147">
        <f>Programacion[[#This Row],[DEVENGADO ENERO]]+Programacion[[#This Row],[DEVENGADO FEBRERO]]+Programacion[[#This Row],[DEVENGADO MARZO]]</f>
        <v>0</v>
      </c>
      <c r="AI152" s="147">
        <f>Programacion[[#This Row],[ABRIL]]+Programacion[[#This Row],[MAYO]]+Programacion[[#This Row],[JUNIO]]</f>
        <v>0</v>
      </c>
      <c r="AJ152" s="147">
        <f>Programacion[[#This Row],[DEVENGADO ABRIL]]+Programacion[[#This Row],[DEVENGADO MAYO]]+Programacion[[#This Row],[DEVENGADO JUNIO]]</f>
        <v>0</v>
      </c>
      <c r="AK152" s="147">
        <f>Programacion[[#This Row],[JULIO]]+Programacion[[#This Row],[AGOSTO]]+Programacion[[#This Row],[SEPTIEMBRE]]</f>
        <v>5000</v>
      </c>
      <c r="AL152" s="147">
        <f>Programacion[[#This Row],[DEVENGADO JULIO]]+Programacion[[#This Row],[DEVENGADO AGOSTO]]+Programacion[[#This Row],[DEVENGADO SEPTIEMBRE]]</f>
        <v>0</v>
      </c>
      <c r="AM152" s="147">
        <f>Programacion[[#This Row],[OCTUBRE]]+Programacion[[#This Row],[NOVIEMBRE]]+Programacion[[#This Row],[DICIEMBRE]]</f>
        <v>15000</v>
      </c>
      <c r="AN152" s="149">
        <f>Programacion[[#This Row],[DEVENGADO OCTUBRE]]+Programacion[[#This Row],[DEVENGADO NOVIEMBRE]]+Programacion[[#This Row],[DEVENGADO DICIEMBRE]]</f>
        <v>0</v>
      </c>
      <c r="AO152" s="149">
        <f>Programacion[[#This Row],[ENERO]]+Programacion[[#This Row],[FEBRERO]]+Programacion[[#This Row],[MARZO]]+Programacion[[#This Row],[ABRIL]]+Programacion[[#This Row],[MAYO]]+Programacion[[#This Row],[JUNIO]]</f>
        <v>0</v>
      </c>
      <c r="AP152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2" s="149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52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2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2" s="116"/>
    </row>
    <row r="153" spans="1:46" ht="30" x14ac:dyDescent="0.25">
      <c r="A153" s="131" t="s">
        <v>123</v>
      </c>
      <c r="B153" s="150" t="s">
        <v>309</v>
      </c>
      <c r="C153" s="131" t="s">
        <v>264</v>
      </c>
      <c r="D153" s="151" t="s">
        <v>290</v>
      </c>
      <c r="E153" s="152">
        <v>135</v>
      </c>
      <c r="F153" s="153">
        <v>23</v>
      </c>
      <c r="G153" s="132" t="s">
        <v>70</v>
      </c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54">
        <v>8000</v>
      </c>
      <c r="Y153" s="147"/>
      <c r="Z153" s="154">
        <v>8000</v>
      </c>
      <c r="AA153" s="147"/>
      <c r="AB153" s="154">
        <v>8000</v>
      </c>
      <c r="AC153" s="147"/>
      <c r="AD153" s="154">
        <v>8000</v>
      </c>
      <c r="AE153" s="147"/>
      <c r="AF153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53" s="147">
        <f>Programacion[[#This Row],[ENERO]]+Programacion[[#This Row],[FEBRERO]]+Programacion[[#This Row],[MARZO]]</f>
        <v>0</v>
      </c>
      <c r="AH153" s="147">
        <f>Programacion[[#This Row],[DEVENGADO ENERO]]+Programacion[[#This Row],[DEVENGADO FEBRERO]]+Programacion[[#This Row],[DEVENGADO MARZO]]</f>
        <v>0</v>
      </c>
      <c r="AI153" s="147">
        <f>Programacion[[#This Row],[ABRIL]]+Programacion[[#This Row],[MAYO]]+Programacion[[#This Row],[JUNIO]]</f>
        <v>0</v>
      </c>
      <c r="AJ153" s="147">
        <f>Programacion[[#This Row],[DEVENGADO ABRIL]]+Programacion[[#This Row],[DEVENGADO MAYO]]+Programacion[[#This Row],[DEVENGADO JUNIO]]</f>
        <v>0</v>
      </c>
      <c r="AK153" s="147">
        <f>Programacion[[#This Row],[JULIO]]+Programacion[[#This Row],[AGOSTO]]+Programacion[[#This Row],[SEPTIEMBRE]]</f>
        <v>8000</v>
      </c>
      <c r="AL153" s="147">
        <f>Programacion[[#This Row],[DEVENGADO JULIO]]+Programacion[[#This Row],[DEVENGADO AGOSTO]]+Programacion[[#This Row],[DEVENGADO SEPTIEMBRE]]</f>
        <v>0</v>
      </c>
      <c r="AM153" s="147">
        <f>Programacion[[#This Row],[OCTUBRE]]+Programacion[[#This Row],[NOVIEMBRE]]+Programacion[[#This Row],[DICIEMBRE]]</f>
        <v>24000</v>
      </c>
      <c r="AN153" s="149">
        <f>Programacion[[#This Row],[DEVENGADO OCTUBRE]]+Programacion[[#This Row],[DEVENGADO NOVIEMBRE]]+Programacion[[#This Row],[DEVENGADO DICIEMBRE]]</f>
        <v>0</v>
      </c>
      <c r="AO153" s="149">
        <f>Programacion[[#This Row],[ENERO]]+Programacion[[#This Row],[FEBRERO]]+Programacion[[#This Row],[MARZO]]+Programacion[[#This Row],[ABRIL]]+Programacion[[#This Row],[MAYO]]+Programacion[[#This Row],[JUNIO]]</f>
        <v>0</v>
      </c>
      <c r="AP153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149">
        <f>Programacion[[#This Row],[JULIO]]+Programacion[[#This Row],[AGOSTO]]+Programacion[[#This Row],[SEPTIEMBRE]]+Programacion[[#This Row],[OCTUBRE]]+Programacion[[#This Row],[NOVIEMBRE]]+Programacion[[#This Row],[DICIEMBRE]]</f>
        <v>32000</v>
      </c>
      <c r="AR153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3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3" s="116"/>
    </row>
    <row r="154" spans="1:46" ht="45" x14ac:dyDescent="0.25">
      <c r="A154" s="131" t="s">
        <v>123</v>
      </c>
      <c r="B154" s="150" t="s">
        <v>310</v>
      </c>
      <c r="C154" s="131" t="s">
        <v>264</v>
      </c>
      <c r="D154" s="151" t="s">
        <v>290</v>
      </c>
      <c r="E154" s="152">
        <v>135</v>
      </c>
      <c r="F154" s="153">
        <v>23</v>
      </c>
      <c r="G154" s="151" t="s">
        <v>57</v>
      </c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54">
        <v>4000</v>
      </c>
      <c r="Y154" s="147"/>
      <c r="Z154" s="154">
        <v>4000</v>
      </c>
      <c r="AA154" s="147"/>
      <c r="AB154" s="154">
        <v>4000</v>
      </c>
      <c r="AC154" s="147"/>
      <c r="AD154" s="154">
        <v>4000</v>
      </c>
      <c r="AE154" s="147"/>
      <c r="AF154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54" s="147">
        <f>Programacion[[#This Row],[ENERO]]+Programacion[[#This Row],[FEBRERO]]+Programacion[[#This Row],[MARZO]]</f>
        <v>0</v>
      </c>
      <c r="AH154" s="147">
        <f>Programacion[[#This Row],[DEVENGADO ENERO]]+Programacion[[#This Row],[DEVENGADO FEBRERO]]+Programacion[[#This Row],[DEVENGADO MARZO]]</f>
        <v>0</v>
      </c>
      <c r="AI154" s="147">
        <f>Programacion[[#This Row],[ABRIL]]+Programacion[[#This Row],[MAYO]]+Programacion[[#This Row],[JUNIO]]</f>
        <v>0</v>
      </c>
      <c r="AJ154" s="147">
        <f>Programacion[[#This Row],[DEVENGADO ABRIL]]+Programacion[[#This Row],[DEVENGADO MAYO]]+Programacion[[#This Row],[DEVENGADO JUNIO]]</f>
        <v>0</v>
      </c>
      <c r="AK154" s="147">
        <f>Programacion[[#This Row],[JULIO]]+Programacion[[#This Row],[AGOSTO]]+Programacion[[#This Row],[SEPTIEMBRE]]</f>
        <v>4000</v>
      </c>
      <c r="AL154" s="147">
        <f>Programacion[[#This Row],[DEVENGADO JULIO]]+Programacion[[#This Row],[DEVENGADO AGOSTO]]+Programacion[[#This Row],[DEVENGADO SEPTIEMBRE]]</f>
        <v>0</v>
      </c>
      <c r="AM154" s="147">
        <f>Programacion[[#This Row],[OCTUBRE]]+Programacion[[#This Row],[NOVIEMBRE]]+Programacion[[#This Row],[DICIEMBRE]]</f>
        <v>12000</v>
      </c>
      <c r="AN154" s="149">
        <f>Programacion[[#This Row],[DEVENGADO OCTUBRE]]+Programacion[[#This Row],[DEVENGADO NOVIEMBRE]]+Programacion[[#This Row],[DEVENGADO DICIEMBRE]]</f>
        <v>0</v>
      </c>
      <c r="AO154" s="149">
        <f>Programacion[[#This Row],[ENERO]]+Programacion[[#This Row],[FEBRERO]]+Programacion[[#This Row],[MARZO]]+Programacion[[#This Row],[ABRIL]]+Programacion[[#This Row],[MAYO]]+Programacion[[#This Row],[JUNIO]]</f>
        <v>0</v>
      </c>
      <c r="AP154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149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54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4" s="116"/>
    </row>
    <row r="155" spans="1:46" ht="45" x14ac:dyDescent="0.25">
      <c r="A155" s="131" t="s">
        <v>123</v>
      </c>
      <c r="B155" s="150" t="s">
        <v>311</v>
      </c>
      <c r="C155" s="131" t="s">
        <v>264</v>
      </c>
      <c r="D155" s="151" t="s">
        <v>48</v>
      </c>
      <c r="E155" s="152">
        <v>39</v>
      </c>
      <c r="F155" s="153">
        <v>23</v>
      </c>
      <c r="G155" s="151" t="s">
        <v>57</v>
      </c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54">
        <v>5000</v>
      </c>
      <c r="Y155" s="147"/>
      <c r="Z155" s="154">
        <v>5000</v>
      </c>
      <c r="AA155" s="147"/>
      <c r="AB155" s="154">
        <v>5000</v>
      </c>
      <c r="AC155" s="147"/>
      <c r="AD155" s="154">
        <v>5000</v>
      </c>
      <c r="AE155" s="147"/>
      <c r="AF155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55" s="147">
        <f>Programacion[[#This Row],[ENERO]]+Programacion[[#This Row],[FEBRERO]]+Programacion[[#This Row],[MARZO]]</f>
        <v>0</v>
      </c>
      <c r="AH155" s="147">
        <f>Programacion[[#This Row],[DEVENGADO ENERO]]+Programacion[[#This Row],[DEVENGADO FEBRERO]]+Programacion[[#This Row],[DEVENGADO MARZO]]</f>
        <v>0</v>
      </c>
      <c r="AI155" s="147">
        <f>Programacion[[#This Row],[ABRIL]]+Programacion[[#This Row],[MAYO]]+Programacion[[#This Row],[JUNIO]]</f>
        <v>0</v>
      </c>
      <c r="AJ155" s="147">
        <f>Programacion[[#This Row],[DEVENGADO ABRIL]]+Programacion[[#This Row],[DEVENGADO MAYO]]+Programacion[[#This Row],[DEVENGADO JUNIO]]</f>
        <v>0</v>
      </c>
      <c r="AK155" s="147">
        <f>Programacion[[#This Row],[JULIO]]+Programacion[[#This Row],[AGOSTO]]+Programacion[[#This Row],[SEPTIEMBRE]]</f>
        <v>5000</v>
      </c>
      <c r="AL155" s="147">
        <f>Programacion[[#This Row],[DEVENGADO JULIO]]+Programacion[[#This Row],[DEVENGADO AGOSTO]]+Programacion[[#This Row],[DEVENGADO SEPTIEMBRE]]</f>
        <v>0</v>
      </c>
      <c r="AM155" s="147">
        <f>Programacion[[#This Row],[OCTUBRE]]+Programacion[[#This Row],[NOVIEMBRE]]+Programacion[[#This Row],[DICIEMBRE]]</f>
        <v>15000</v>
      </c>
      <c r="AN155" s="149">
        <f>Programacion[[#This Row],[DEVENGADO OCTUBRE]]+Programacion[[#This Row],[DEVENGADO NOVIEMBRE]]+Programacion[[#This Row],[DEVENGADO DICIEMBRE]]</f>
        <v>0</v>
      </c>
      <c r="AO155" s="149">
        <f>Programacion[[#This Row],[ENERO]]+Programacion[[#This Row],[FEBRERO]]+Programacion[[#This Row],[MARZO]]+Programacion[[#This Row],[ABRIL]]+Programacion[[#This Row],[MAYO]]+Programacion[[#This Row],[JUNIO]]</f>
        <v>0</v>
      </c>
      <c r="AP155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149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55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5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5" s="116"/>
    </row>
    <row r="156" spans="1:46" ht="45" x14ac:dyDescent="0.25">
      <c r="A156" s="131" t="s">
        <v>123</v>
      </c>
      <c r="B156" s="150" t="s">
        <v>310</v>
      </c>
      <c r="C156" s="131" t="s">
        <v>264</v>
      </c>
      <c r="D156" s="151" t="s">
        <v>48</v>
      </c>
      <c r="E156" s="152">
        <v>135</v>
      </c>
      <c r="F156" s="153">
        <v>23</v>
      </c>
      <c r="G156" s="151" t="s">
        <v>57</v>
      </c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54">
        <v>4000</v>
      </c>
      <c r="Y156" s="147"/>
      <c r="Z156" s="154">
        <v>4000</v>
      </c>
      <c r="AA156" s="147"/>
      <c r="AB156" s="154">
        <v>4000</v>
      </c>
      <c r="AC156" s="147"/>
      <c r="AD156" s="154">
        <v>4000</v>
      </c>
      <c r="AE156" s="147"/>
      <c r="AF156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56" s="147">
        <f>Programacion[[#This Row],[ENERO]]+Programacion[[#This Row],[FEBRERO]]+Programacion[[#This Row],[MARZO]]</f>
        <v>0</v>
      </c>
      <c r="AH156" s="147">
        <f>Programacion[[#This Row],[DEVENGADO ENERO]]+Programacion[[#This Row],[DEVENGADO FEBRERO]]+Programacion[[#This Row],[DEVENGADO MARZO]]</f>
        <v>0</v>
      </c>
      <c r="AI156" s="147">
        <f>Programacion[[#This Row],[ABRIL]]+Programacion[[#This Row],[MAYO]]+Programacion[[#This Row],[JUNIO]]</f>
        <v>0</v>
      </c>
      <c r="AJ156" s="147">
        <f>Programacion[[#This Row],[DEVENGADO ABRIL]]+Programacion[[#This Row],[DEVENGADO MAYO]]+Programacion[[#This Row],[DEVENGADO JUNIO]]</f>
        <v>0</v>
      </c>
      <c r="AK156" s="147">
        <f>Programacion[[#This Row],[JULIO]]+Programacion[[#This Row],[AGOSTO]]+Programacion[[#This Row],[SEPTIEMBRE]]</f>
        <v>4000</v>
      </c>
      <c r="AL156" s="147">
        <f>Programacion[[#This Row],[DEVENGADO JULIO]]+Programacion[[#This Row],[DEVENGADO AGOSTO]]+Programacion[[#This Row],[DEVENGADO SEPTIEMBRE]]</f>
        <v>0</v>
      </c>
      <c r="AM156" s="147">
        <f>Programacion[[#This Row],[OCTUBRE]]+Programacion[[#This Row],[NOVIEMBRE]]+Programacion[[#This Row],[DICIEMBRE]]</f>
        <v>12000</v>
      </c>
      <c r="AN156" s="149">
        <f>Programacion[[#This Row],[DEVENGADO OCTUBRE]]+Programacion[[#This Row],[DEVENGADO NOVIEMBRE]]+Programacion[[#This Row],[DEVENGADO DICIEMBRE]]</f>
        <v>0</v>
      </c>
      <c r="AO156" s="149">
        <f>Programacion[[#This Row],[ENERO]]+Programacion[[#This Row],[FEBRERO]]+Programacion[[#This Row],[MARZO]]+Programacion[[#This Row],[ABRIL]]+Programacion[[#This Row],[MAYO]]+Programacion[[#This Row],[JUNIO]]</f>
        <v>0</v>
      </c>
      <c r="AP156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149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56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116"/>
    </row>
    <row r="157" spans="1:46" ht="30" x14ac:dyDescent="0.25">
      <c r="A157" s="131" t="s">
        <v>123</v>
      </c>
      <c r="B157" s="150" t="s">
        <v>312</v>
      </c>
      <c r="C157" s="131" t="s">
        <v>264</v>
      </c>
      <c r="D157" s="151" t="s">
        <v>290</v>
      </c>
      <c r="E157" s="152">
        <v>135</v>
      </c>
      <c r="F157" s="153">
        <v>23</v>
      </c>
      <c r="G157" s="132" t="s">
        <v>70</v>
      </c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54">
        <v>6000</v>
      </c>
      <c r="Y157" s="147"/>
      <c r="Z157" s="154">
        <v>6000</v>
      </c>
      <c r="AA157" s="147"/>
      <c r="AB157" s="154">
        <v>6000</v>
      </c>
      <c r="AC157" s="147"/>
      <c r="AD157" s="154">
        <v>6000</v>
      </c>
      <c r="AE157" s="147"/>
      <c r="AF157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57" s="147">
        <f>Programacion[[#This Row],[ENERO]]+Programacion[[#This Row],[FEBRERO]]+Programacion[[#This Row],[MARZO]]</f>
        <v>0</v>
      </c>
      <c r="AH157" s="147">
        <f>Programacion[[#This Row],[DEVENGADO ENERO]]+Programacion[[#This Row],[DEVENGADO FEBRERO]]+Programacion[[#This Row],[DEVENGADO MARZO]]</f>
        <v>0</v>
      </c>
      <c r="AI157" s="147">
        <f>Programacion[[#This Row],[ABRIL]]+Programacion[[#This Row],[MAYO]]+Programacion[[#This Row],[JUNIO]]</f>
        <v>0</v>
      </c>
      <c r="AJ157" s="147">
        <f>Programacion[[#This Row],[DEVENGADO ABRIL]]+Programacion[[#This Row],[DEVENGADO MAYO]]+Programacion[[#This Row],[DEVENGADO JUNIO]]</f>
        <v>0</v>
      </c>
      <c r="AK157" s="147">
        <f>Programacion[[#This Row],[JULIO]]+Programacion[[#This Row],[AGOSTO]]+Programacion[[#This Row],[SEPTIEMBRE]]</f>
        <v>6000</v>
      </c>
      <c r="AL157" s="147">
        <f>Programacion[[#This Row],[DEVENGADO JULIO]]+Programacion[[#This Row],[DEVENGADO AGOSTO]]+Programacion[[#This Row],[DEVENGADO SEPTIEMBRE]]</f>
        <v>0</v>
      </c>
      <c r="AM157" s="147">
        <f>Programacion[[#This Row],[OCTUBRE]]+Programacion[[#This Row],[NOVIEMBRE]]+Programacion[[#This Row],[DICIEMBRE]]</f>
        <v>18000</v>
      </c>
      <c r="AN157" s="149">
        <f>Programacion[[#This Row],[DEVENGADO OCTUBRE]]+Programacion[[#This Row],[DEVENGADO NOVIEMBRE]]+Programacion[[#This Row],[DEVENGADO DICIEMBRE]]</f>
        <v>0</v>
      </c>
      <c r="AO157" s="149">
        <f>Programacion[[#This Row],[ENERO]]+Programacion[[#This Row],[FEBRERO]]+Programacion[[#This Row],[MARZO]]+Programacion[[#This Row],[ABRIL]]+Programacion[[#This Row],[MAYO]]+Programacion[[#This Row],[JUNIO]]</f>
        <v>0</v>
      </c>
      <c r="AP157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149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57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7" s="116"/>
    </row>
    <row r="158" spans="1:46" ht="30" x14ac:dyDescent="0.25">
      <c r="A158" s="131" t="s">
        <v>123</v>
      </c>
      <c r="B158" s="150" t="s">
        <v>313</v>
      </c>
      <c r="C158" s="131" t="s">
        <v>264</v>
      </c>
      <c r="D158" s="151" t="s">
        <v>290</v>
      </c>
      <c r="E158" s="152">
        <v>135</v>
      </c>
      <c r="F158" s="153">
        <v>23</v>
      </c>
      <c r="G158" s="132" t="s">
        <v>70</v>
      </c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54">
        <v>5000</v>
      </c>
      <c r="Y158" s="147"/>
      <c r="Z158" s="154">
        <v>5000</v>
      </c>
      <c r="AA158" s="147"/>
      <c r="AB158" s="154">
        <v>5000</v>
      </c>
      <c r="AC158" s="147"/>
      <c r="AD158" s="154">
        <v>5000</v>
      </c>
      <c r="AE158" s="147"/>
      <c r="AF158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58" s="147">
        <f>Programacion[[#This Row],[ENERO]]+Programacion[[#This Row],[FEBRERO]]+Programacion[[#This Row],[MARZO]]</f>
        <v>0</v>
      </c>
      <c r="AH158" s="147">
        <f>Programacion[[#This Row],[DEVENGADO ENERO]]+Programacion[[#This Row],[DEVENGADO FEBRERO]]+Programacion[[#This Row],[DEVENGADO MARZO]]</f>
        <v>0</v>
      </c>
      <c r="AI158" s="147">
        <f>Programacion[[#This Row],[ABRIL]]+Programacion[[#This Row],[MAYO]]+Programacion[[#This Row],[JUNIO]]</f>
        <v>0</v>
      </c>
      <c r="AJ158" s="147">
        <f>Programacion[[#This Row],[DEVENGADO ABRIL]]+Programacion[[#This Row],[DEVENGADO MAYO]]+Programacion[[#This Row],[DEVENGADO JUNIO]]</f>
        <v>0</v>
      </c>
      <c r="AK158" s="147">
        <f>Programacion[[#This Row],[JULIO]]+Programacion[[#This Row],[AGOSTO]]+Programacion[[#This Row],[SEPTIEMBRE]]</f>
        <v>5000</v>
      </c>
      <c r="AL158" s="147">
        <f>Programacion[[#This Row],[DEVENGADO JULIO]]+Programacion[[#This Row],[DEVENGADO AGOSTO]]+Programacion[[#This Row],[DEVENGADO SEPTIEMBRE]]</f>
        <v>0</v>
      </c>
      <c r="AM158" s="147">
        <f>Programacion[[#This Row],[OCTUBRE]]+Programacion[[#This Row],[NOVIEMBRE]]+Programacion[[#This Row],[DICIEMBRE]]</f>
        <v>15000</v>
      </c>
      <c r="AN158" s="149">
        <f>Programacion[[#This Row],[DEVENGADO OCTUBRE]]+Programacion[[#This Row],[DEVENGADO NOVIEMBRE]]+Programacion[[#This Row],[DEVENGADO DICIEMBRE]]</f>
        <v>0</v>
      </c>
      <c r="AO158" s="149">
        <f>Programacion[[#This Row],[ENERO]]+Programacion[[#This Row],[FEBRERO]]+Programacion[[#This Row],[MARZO]]+Programacion[[#This Row],[ABRIL]]+Programacion[[#This Row],[MAYO]]+Programacion[[#This Row],[JUNIO]]</f>
        <v>0</v>
      </c>
      <c r="AP158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8" s="149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58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8" s="116"/>
    </row>
    <row r="159" spans="1:46" x14ac:dyDescent="0.25">
      <c r="A159" s="54" t="s">
        <v>135</v>
      </c>
      <c r="B159" s="55" t="s">
        <v>111</v>
      </c>
      <c r="C159" s="54" t="s">
        <v>56</v>
      </c>
      <c r="D159" s="56" t="s">
        <v>48</v>
      </c>
      <c r="E159" s="57">
        <v>64</v>
      </c>
      <c r="F159" s="58">
        <v>2.2999999999999998</v>
      </c>
      <c r="G159" s="56" t="s">
        <v>70</v>
      </c>
      <c r="H159" s="59"/>
      <c r="I159" s="59"/>
      <c r="J159" s="59"/>
      <c r="K159" s="59"/>
      <c r="L159" s="59">
        <v>10000</v>
      </c>
      <c r="M159" s="59">
        <v>10000</v>
      </c>
      <c r="N159" s="59">
        <v>5000</v>
      </c>
      <c r="O159" s="59">
        <v>5000</v>
      </c>
      <c r="P159" s="59">
        <v>5000</v>
      </c>
      <c r="Q159" s="59">
        <v>5000</v>
      </c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59" s="19">
        <f>Programacion[[#This Row],[ENERO]]+Programacion[[#This Row],[FEBRERO]]+Programacion[[#This Row],[MARZO]]</f>
        <v>10000</v>
      </c>
      <c r="AH159" s="19">
        <f>Programacion[[#This Row],[DEVENGADO ENERO]]+Programacion[[#This Row],[DEVENGADO FEBRERO]]+Programacion[[#This Row],[DEVENGADO MARZO]]</f>
        <v>10000</v>
      </c>
      <c r="AI159" s="19">
        <f>Programacion[[#This Row],[ABRIL]]+Programacion[[#This Row],[MAYO]]+Programacion[[#This Row],[JUNIO]]</f>
        <v>10000</v>
      </c>
      <c r="AJ159" s="19">
        <f>Programacion[[#This Row],[DEVENGADO ABRIL]]+Programacion[[#This Row],[DEVENGADO MAYO]]+Programacion[[#This Row],[DEVENGADO JUNIO]]</f>
        <v>10000</v>
      </c>
      <c r="AK159" s="19">
        <f>Programacion[[#This Row],[JULIO]]+Programacion[[#This Row],[AGOSTO]]+Programacion[[#This Row],[SEPTIEMBRE]]</f>
        <v>0</v>
      </c>
      <c r="AL159" s="19">
        <f>Programacion[[#This Row],[DEVENGADO JULIO]]+Programacion[[#This Row],[DEVENGADO AGOSTO]]+Programacion[[#This Row],[DEVENGADO SEPTIEMBRE]]</f>
        <v>0</v>
      </c>
      <c r="AM159" s="19">
        <f>Programacion[[#This Row],[OCTUBRE]]+Programacion[[#This Row],[NOVIEMBRE]]+Programacion[[#This Row],[DICIEMBRE]]</f>
        <v>0</v>
      </c>
      <c r="AN159" s="20">
        <f>Programacion[[#This Row],[DEVENGADO OCTUBRE]]+Programacion[[#This Row],[DEVENGADO NOVIEMBRE]]+Programacion[[#This Row],[DEVENGADO DICIEMBRE]]</f>
        <v>0</v>
      </c>
      <c r="AO159" s="20">
        <f>Programacion[[#This Row],[ENERO]]+Programacion[[#This Row],[FEBRERO]]+Programacion[[#This Row],[MARZO]]+Programacion[[#This Row],[ABRIL]]+Programacion[[#This Row],[MAYO]]+Programacion[[#This Row],[JUNIO]]</f>
        <v>20000</v>
      </c>
      <c r="AP1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5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59" s="116"/>
    </row>
    <row r="160" spans="1:46" x14ac:dyDescent="0.25">
      <c r="A160" s="54" t="s">
        <v>135</v>
      </c>
      <c r="B160" s="55" t="s">
        <v>136</v>
      </c>
      <c r="C160" s="54" t="s">
        <v>56</v>
      </c>
      <c r="D160" s="56" t="s">
        <v>48</v>
      </c>
      <c r="E160" s="57">
        <v>64</v>
      </c>
      <c r="F160" s="58">
        <v>2.2999999999999998</v>
      </c>
      <c r="G160" s="56" t="s">
        <v>70</v>
      </c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>
        <v>5000</v>
      </c>
      <c r="S160" s="59">
        <v>5000</v>
      </c>
      <c r="T160" s="59">
        <v>5000</v>
      </c>
      <c r="U160" s="59">
        <v>5000</v>
      </c>
      <c r="V160" s="59">
        <v>5000</v>
      </c>
      <c r="W160" s="59">
        <v>5000</v>
      </c>
      <c r="X160" s="59">
        <v>5000</v>
      </c>
      <c r="Y160" s="59"/>
      <c r="Z160" s="59">
        <v>5000</v>
      </c>
      <c r="AA160" s="59"/>
      <c r="AB160" s="59">
        <v>5000</v>
      </c>
      <c r="AC160" s="59"/>
      <c r="AD160" s="59">
        <v>5000</v>
      </c>
      <c r="AE160" s="59"/>
      <c r="AF1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60" s="19">
        <f>Programacion[[#This Row],[ENERO]]+Programacion[[#This Row],[FEBRERO]]+Programacion[[#This Row],[MARZO]]</f>
        <v>0</v>
      </c>
      <c r="AH160" s="19">
        <f>Programacion[[#This Row],[DEVENGADO ENERO]]+Programacion[[#This Row],[DEVENGADO FEBRERO]]+Programacion[[#This Row],[DEVENGADO MARZO]]</f>
        <v>0</v>
      </c>
      <c r="AI160" s="19">
        <f>Programacion[[#This Row],[ABRIL]]+Programacion[[#This Row],[MAYO]]+Programacion[[#This Row],[JUNIO]]</f>
        <v>5000</v>
      </c>
      <c r="AJ160" s="19">
        <f>Programacion[[#This Row],[DEVENGADO ABRIL]]+Programacion[[#This Row],[DEVENGADO MAYO]]+Programacion[[#This Row],[DEVENGADO JUNIO]]</f>
        <v>5000</v>
      </c>
      <c r="AK160" s="19">
        <f>Programacion[[#This Row],[JULIO]]+Programacion[[#This Row],[AGOSTO]]+Programacion[[#This Row],[SEPTIEMBRE]]</f>
        <v>15000</v>
      </c>
      <c r="AL160" s="19">
        <f>Programacion[[#This Row],[DEVENGADO JULIO]]+Programacion[[#This Row],[DEVENGADO AGOSTO]]+Programacion[[#This Row],[DEVENGADO SEPTIEMBRE]]</f>
        <v>10000</v>
      </c>
      <c r="AM160" s="19">
        <f>Programacion[[#This Row],[OCTUBRE]]+Programacion[[#This Row],[NOVIEMBRE]]+Programacion[[#This Row],[DICIEMBRE]]</f>
        <v>15000</v>
      </c>
      <c r="AN160" s="20">
        <f>Programacion[[#This Row],[DEVENGADO OCTUBRE]]+Programacion[[#This Row],[DEVENGADO NOVIEMBRE]]+Programacion[[#This Row],[DEVENGADO DICIEMBRE]]</f>
        <v>0</v>
      </c>
      <c r="AO160" s="20">
        <f>Programacion[[#This Row],[ENERO]]+Programacion[[#This Row],[FEBRERO]]+Programacion[[#This Row],[MARZO]]+Programacion[[#This Row],[ABRIL]]+Programacion[[#This Row],[MAYO]]+Programacion[[#This Row],[JUNIO]]</f>
        <v>5000</v>
      </c>
      <c r="AP1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6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0" s="116"/>
    </row>
    <row r="161" spans="1:46" x14ac:dyDescent="0.25">
      <c r="A161" s="54" t="s">
        <v>135</v>
      </c>
      <c r="B161" s="27" t="s">
        <v>84</v>
      </c>
      <c r="C161" s="28" t="s">
        <v>47</v>
      </c>
      <c r="D161" s="28" t="s">
        <v>48</v>
      </c>
      <c r="E161" s="29">
        <v>39</v>
      </c>
      <c r="F161" s="30">
        <v>2.2999999999999998</v>
      </c>
      <c r="G161" s="28" t="s">
        <v>85</v>
      </c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>
        <v>1200</v>
      </c>
      <c r="W161" s="33">
        <v>1200</v>
      </c>
      <c r="X161" s="33"/>
      <c r="Y161" s="33"/>
      <c r="Z161" s="33"/>
      <c r="AA161" s="33"/>
      <c r="AB161" s="33"/>
      <c r="AC161" s="33"/>
      <c r="AD161" s="33"/>
      <c r="AE161" s="33"/>
      <c r="AF16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61" s="33">
        <f>Programacion[[#This Row],[ENERO]]+Programacion[[#This Row],[FEBRERO]]+Programacion[[#This Row],[MARZO]]</f>
        <v>0</v>
      </c>
      <c r="AH161" s="33">
        <f>Programacion[[#This Row],[DEVENGADO ENERO]]+Programacion[[#This Row],[DEVENGADO FEBRERO]]+Programacion[[#This Row],[DEVENGADO MARZO]]</f>
        <v>0</v>
      </c>
      <c r="AI161" s="33">
        <f>Programacion[[#This Row],[ABRIL]]+Programacion[[#This Row],[MAYO]]+Programacion[[#This Row],[JUNIO]]</f>
        <v>0</v>
      </c>
      <c r="AJ161" s="33">
        <f>Programacion[[#This Row],[DEVENGADO ABRIL]]+Programacion[[#This Row],[DEVENGADO MAYO]]+Programacion[[#This Row],[DEVENGADO JUNIO]]</f>
        <v>0</v>
      </c>
      <c r="AK161" s="33">
        <f>Programacion[[#This Row],[JULIO]]+Programacion[[#This Row],[AGOSTO]]+Programacion[[#This Row],[SEPTIEMBRE]]</f>
        <v>1200</v>
      </c>
      <c r="AL161" s="33">
        <f>Programacion[[#This Row],[DEVENGADO JULIO]]+Programacion[[#This Row],[DEVENGADO AGOSTO]]+Programacion[[#This Row],[DEVENGADO SEPTIEMBRE]]</f>
        <v>1200</v>
      </c>
      <c r="AM161" s="33">
        <f>Programacion[[#This Row],[OCTUBRE]]+Programacion[[#This Row],[NOVIEMBRE]]+Programacion[[#This Row],[DICIEMBRE]]</f>
        <v>0</v>
      </c>
      <c r="AN161" s="21">
        <f>Programacion[[#This Row],[DEVENGADO OCTUBRE]]+Programacion[[#This Row],[DEVENGADO NOVIEMBRE]]+Programacion[[#This Row],[DEVENGADO DICIEMBRE]]</f>
        <v>0</v>
      </c>
      <c r="AO161" s="21">
        <f>Programacion[[#This Row],[ENERO]]+Programacion[[#This Row],[FEBRERO]]+Programacion[[#This Row],[MARZO]]+Programacion[[#This Row],[ABRIL]]+Programacion[[#This Row],[MAYO]]+Programacion[[#This Row],[JUNIO]]</f>
        <v>0</v>
      </c>
      <c r="AP16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1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6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6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61" s="116"/>
    </row>
    <row r="162" spans="1:46" ht="30" x14ac:dyDescent="0.25">
      <c r="A162" s="54" t="s">
        <v>135</v>
      </c>
      <c r="B162" s="55" t="s">
        <v>46</v>
      </c>
      <c r="C162" s="54" t="s">
        <v>47</v>
      </c>
      <c r="D162" s="56" t="s">
        <v>48</v>
      </c>
      <c r="E162" s="57">
        <v>39</v>
      </c>
      <c r="F162" s="58">
        <v>2.2999999999999998</v>
      </c>
      <c r="G162" s="56" t="s">
        <v>49</v>
      </c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>
        <v>2000</v>
      </c>
      <c r="S162" s="59">
        <v>2000</v>
      </c>
      <c r="T162" s="59"/>
      <c r="U162" s="59"/>
      <c r="V162" s="59">
        <v>2200</v>
      </c>
      <c r="W162" s="59">
        <v>2200</v>
      </c>
      <c r="X162" s="59"/>
      <c r="Y162" s="59"/>
      <c r="Z162" s="59"/>
      <c r="AA162" s="59"/>
      <c r="AB162" s="59"/>
      <c r="AC162" s="59"/>
      <c r="AD162" s="59"/>
      <c r="AE162" s="59"/>
      <c r="AF1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62" s="19">
        <f>Programacion[[#This Row],[ENERO]]+Programacion[[#This Row],[FEBRERO]]+Programacion[[#This Row],[MARZO]]</f>
        <v>0</v>
      </c>
      <c r="AH162" s="19">
        <f>Programacion[[#This Row],[DEVENGADO ENERO]]+Programacion[[#This Row],[DEVENGADO FEBRERO]]+Programacion[[#This Row],[DEVENGADO MARZO]]</f>
        <v>0</v>
      </c>
      <c r="AI162" s="19">
        <f>Programacion[[#This Row],[ABRIL]]+Programacion[[#This Row],[MAYO]]+Programacion[[#This Row],[JUNIO]]</f>
        <v>2000</v>
      </c>
      <c r="AJ162" s="19">
        <f>Programacion[[#This Row],[DEVENGADO ABRIL]]+Programacion[[#This Row],[DEVENGADO MAYO]]+Programacion[[#This Row],[DEVENGADO JUNIO]]</f>
        <v>2000</v>
      </c>
      <c r="AK162" s="19">
        <f>Programacion[[#This Row],[JULIO]]+Programacion[[#This Row],[AGOSTO]]+Programacion[[#This Row],[SEPTIEMBRE]]</f>
        <v>2200</v>
      </c>
      <c r="AL162" s="19">
        <f>Programacion[[#This Row],[DEVENGADO JULIO]]+Programacion[[#This Row],[DEVENGADO AGOSTO]]+Programacion[[#This Row],[DEVENGADO SEPTIEMBRE]]</f>
        <v>2200</v>
      </c>
      <c r="AM162" s="19">
        <f>Programacion[[#This Row],[OCTUBRE]]+Programacion[[#This Row],[NOVIEMBRE]]+Programacion[[#This Row],[DICIEMBRE]]</f>
        <v>0</v>
      </c>
      <c r="AN162" s="20">
        <f>Programacion[[#This Row],[DEVENGADO OCTUBRE]]+Programacion[[#This Row],[DEVENGADO NOVIEMBRE]]+Programacion[[#This Row],[DEVENGADO DICIEMBRE]]</f>
        <v>0</v>
      </c>
      <c r="AO162" s="20">
        <f>Programacion[[#This Row],[ENERO]]+Programacion[[#This Row],[FEBRERO]]+Programacion[[#This Row],[MARZO]]+Programacion[[#This Row],[ABRIL]]+Programacion[[#This Row],[MAYO]]+Programacion[[#This Row],[JUNIO]]</f>
        <v>2000</v>
      </c>
      <c r="AP1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62" s="20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62" s="116"/>
    </row>
    <row r="163" spans="1:46" x14ac:dyDescent="0.25">
      <c r="A163" s="54" t="s">
        <v>135</v>
      </c>
      <c r="B163" s="55" t="s">
        <v>50</v>
      </c>
      <c r="C163" s="54" t="s">
        <v>47</v>
      </c>
      <c r="D163" s="56" t="s">
        <v>48</v>
      </c>
      <c r="E163" s="57">
        <v>39</v>
      </c>
      <c r="F163" s="58">
        <v>2.2999999999999998</v>
      </c>
      <c r="G163" s="56" t="s">
        <v>51</v>
      </c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>
        <v>1080</v>
      </c>
      <c r="S163" s="59">
        <v>1080</v>
      </c>
      <c r="T163" s="59"/>
      <c r="U163" s="59"/>
      <c r="V163" s="59">
        <v>4000</v>
      </c>
      <c r="W163" s="59">
        <v>4000</v>
      </c>
      <c r="X163" s="59"/>
      <c r="Y163" s="59"/>
      <c r="Z163" s="59"/>
      <c r="AA163" s="59"/>
      <c r="AB163" s="59"/>
      <c r="AC163" s="59"/>
      <c r="AD163" s="59"/>
      <c r="AE163" s="59"/>
      <c r="AF16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63" s="19">
        <f>Programacion[[#This Row],[ENERO]]+Programacion[[#This Row],[FEBRERO]]+Programacion[[#This Row],[MARZO]]</f>
        <v>0</v>
      </c>
      <c r="AH163" s="19">
        <f>Programacion[[#This Row],[DEVENGADO ENERO]]+Programacion[[#This Row],[DEVENGADO FEBRERO]]+Programacion[[#This Row],[DEVENGADO MARZO]]</f>
        <v>0</v>
      </c>
      <c r="AI163" s="19">
        <f>Programacion[[#This Row],[ABRIL]]+Programacion[[#This Row],[MAYO]]+Programacion[[#This Row],[JUNIO]]</f>
        <v>1080</v>
      </c>
      <c r="AJ163" s="19">
        <f>Programacion[[#This Row],[DEVENGADO ABRIL]]+Programacion[[#This Row],[DEVENGADO MAYO]]+Programacion[[#This Row],[DEVENGADO JUNIO]]</f>
        <v>1080</v>
      </c>
      <c r="AK163" s="19">
        <f>Programacion[[#This Row],[JULIO]]+Programacion[[#This Row],[AGOSTO]]+Programacion[[#This Row],[SEPTIEMBRE]]</f>
        <v>4000</v>
      </c>
      <c r="AL163" s="19">
        <f>Programacion[[#This Row],[DEVENGADO JULIO]]+Programacion[[#This Row],[DEVENGADO AGOSTO]]+Programacion[[#This Row],[DEVENGADO SEPTIEMBRE]]</f>
        <v>4000</v>
      </c>
      <c r="AM163" s="19">
        <f>Programacion[[#This Row],[OCTUBRE]]+Programacion[[#This Row],[NOVIEMBRE]]+Programacion[[#This Row],[DICIEMBRE]]</f>
        <v>0</v>
      </c>
      <c r="AN163" s="20">
        <f>Programacion[[#This Row],[DEVENGADO OCTUBRE]]+Programacion[[#This Row],[DEVENGADO NOVIEMBRE]]+Programacion[[#This Row],[DEVENGADO DICIEMBRE]]</f>
        <v>0</v>
      </c>
      <c r="AO163" s="20">
        <f>Programacion[[#This Row],[ENERO]]+Programacion[[#This Row],[FEBRERO]]+Programacion[[#This Row],[MARZO]]+Programacion[[#This Row],[ABRIL]]+Programacion[[#This Row],[MAYO]]+Programacion[[#This Row],[JUNIO]]</f>
        <v>1080</v>
      </c>
      <c r="AP16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63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6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63" s="116"/>
    </row>
    <row r="164" spans="1:46" ht="30" x14ac:dyDescent="0.25">
      <c r="A164" s="54" t="s">
        <v>135</v>
      </c>
      <c r="B164" s="55" t="s">
        <v>137</v>
      </c>
      <c r="C164" s="54" t="s">
        <v>73</v>
      </c>
      <c r="D164" s="56" t="s">
        <v>48</v>
      </c>
      <c r="E164" s="57">
        <v>39</v>
      </c>
      <c r="F164" s="58">
        <v>2.2999999999999998</v>
      </c>
      <c r="G164" s="56" t="s">
        <v>74</v>
      </c>
      <c r="H164" s="59"/>
      <c r="I164" s="59"/>
      <c r="J164" s="59"/>
      <c r="K164" s="59"/>
      <c r="L164" s="59">
        <v>1680</v>
      </c>
      <c r="M164" s="59">
        <v>1680</v>
      </c>
      <c r="N164" s="59">
        <v>1724.8</v>
      </c>
      <c r="O164" s="59">
        <v>1724.8</v>
      </c>
      <c r="P164" s="59"/>
      <c r="Q164" s="59"/>
      <c r="R164" s="59">
        <v>3460.8</v>
      </c>
      <c r="S164" s="59">
        <v>3460.8</v>
      </c>
      <c r="T164" s="59">
        <v>1730.4</v>
      </c>
      <c r="U164" s="59">
        <v>1730.4</v>
      </c>
      <c r="V164" s="59">
        <v>1730.4</v>
      </c>
      <c r="W164" s="59">
        <v>1730.4</v>
      </c>
      <c r="X164" s="59">
        <v>1730.4</v>
      </c>
      <c r="Y164" s="59"/>
      <c r="Z164" s="59">
        <v>1730.4</v>
      </c>
      <c r="AA164" s="59"/>
      <c r="AB164" s="59">
        <v>1730.4</v>
      </c>
      <c r="AC164" s="59"/>
      <c r="AD164" s="59">
        <v>1730.4</v>
      </c>
      <c r="AE164" s="59"/>
      <c r="AF1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64" s="19">
        <f>Programacion[[#This Row],[ENERO]]+Programacion[[#This Row],[FEBRERO]]+Programacion[[#This Row],[MARZO]]</f>
        <v>1680</v>
      </c>
      <c r="AH164" s="19">
        <f>Programacion[[#This Row],[DEVENGADO ENERO]]+Programacion[[#This Row],[DEVENGADO FEBRERO]]+Programacion[[#This Row],[DEVENGADO MARZO]]</f>
        <v>1680</v>
      </c>
      <c r="AI164" s="19">
        <f>Programacion[[#This Row],[ABRIL]]+Programacion[[#This Row],[MAYO]]+Programacion[[#This Row],[JUNIO]]</f>
        <v>5185.6000000000004</v>
      </c>
      <c r="AJ164" s="19">
        <f>Programacion[[#This Row],[DEVENGADO ABRIL]]+Programacion[[#This Row],[DEVENGADO MAYO]]+Programacion[[#This Row],[DEVENGADO JUNIO]]</f>
        <v>5185.6000000000004</v>
      </c>
      <c r="AK164" s="19">
        <f>Programacion[[#This Row],[JULIO]]+Programacion[[#This Row],[AGOSTO]]+Programacion[[#This Row],[SEPTIEMBRE]]</f>
        <v>5191.2000000000007</v>
      </c>
      <c r="AL164" s="19">
        <f>Programacion[[#This Row],[DEVENGADO JULIO]]+Programacion[[#This Row],[DEVENGADO AGOSTO]]+Programacion[[#This Row],[DEVENGADO SEPTIEMBRE]]</f>
        <v>3460.8</v>
      </c>
      <c r="AM164" s="19">
        <f>Programacion[[#This Row],[OCTUBRE]]+Programacion[[#This Row],[NOVIEMBRE]]+Programacion[[#This Row],[DICIEMBRE]]</f>
        <v>5191.2000000000007</v>
      </c>
      <c r="AN164" s="20">
        <f>Programacion[[#This Row],[DEVENGADO OCTUBRE]]+Programacion[[#This Row],[DEVENGADO NOVIEMBRE]]+Programacion[[#This Row],[DEVENGADO DICIEMBRE]]</f>
        <v>0</v>
      </c>
      <c r="AO164" s="20">
        <f>Programacion[[#This Row],[ENERO]]+Programacion[[#This Row],[FEBRERO]]+Programacion[[#This Row],[MARZO]]+Programacion[[#This Row],[ABRIL]]+Programacion[[#This Row],[MAYO]]+Programacion[[#This Row],[JUNIO]]</f>
        <v>6865.6</v>
      </c>
      <c r="AP1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64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3460.8</v>
      </c>
      <c r="AS1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10326.4</v>
      </c>
      <c r="AT164" s="116"/>
    </row>
    <row r="165" spans="1:46" ht="30" x14ac:dyDescent="0.25">
      <c r="A165" s="54" t="s">
        <v>135</v>
      </c>
      <c r="B165" s="55" t="s">
        <v>138</v>
      </c>
      <c r="C165" s="54" t="s">
        <v>73</v>
      </c>
      <c r="D165" s="56" t="s">
        <v>48</v>
      </c>
      <c r="E165" s="57">
        <v>39</v>
      </c>
      <c r="F165" s="58">
        <v>2.2999999999999998</v>
      </c>
      <c r="G165" s="56" t="s">
        <v>74</v>
      </c>
      <c r="H165" s="59">
        <v>810</v>
      </c>
      <c r="I165" s="59">
        <v>810</v>
      </c>
      <c r="J165" s="59">
        <v>810</v>
      </c>
      <c r="K165" s="59">
        <v>810</v>
      </c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65" s="19">
        <f>Programacion[[#This Row],[ENERO]]+Programacion[[#This Row],[FEBRERO]]+Programacion[[#This Row],[MARZO]]</f>
        <v>1620</v>
      </c>
      <c r="AH165" s="19">
        <f>Programacion[[#This Row],[DEVENGADO ENERO]]+Programacion[[#This Row],[DEVENGADO FEBRERO]]+Programacion[[#This Row],[DEVENGADO MARZO]]</f>
        <v>1620</v>
      </c>
      <c r="AI165" s="19">
        <f>Programacion[[#This Row],[ABRIL]]+Programacion[[#This Row],[MAYO]]+Programacion[[#This Row],[JUNIO]]</f>
        <v>0</v>
      </c>
      <c r="AJ165" s="19">
        <f>Programacion[[#This Row],[DEVENGADO ABRIL]]+Programacion[[#This Row],[DEVENGADO MAYO]]+Programacion[[#This Row],[DEVENGADO JUNIO]]</f>
        <v>0</v>
      </c>
      <c r="AK165" s="19">
        <f>Programacion[[#This Row],[JULIO]]+Programacion[[#This Row],[AGOSTO]]+Programacion[[#This Row],[SEPTIEMBRE]]</f>
        <v>0</v>
      </c>
      <c r="AL165" s="19">
        <f>Programacion[[#This Row],[DEVENGADO JULIO]]+Programacion[[#This Row],[DEVENGADO AGOSTO]]+Programacion[[#This Row],[DEVENGADO SEPTIEMBRE]]</f>
        <v>0</v>
      </c>
      <c r="AM165" s="19">
        <f>Programacion[[#This Row],[OCTUBRE]]+Programacion[[#This Row],[NOVIEMBRE]]+Programacion[[#This Row],[DICIEMBRE]]</f>
        <v>0</v>
      </c>
      <c r="AN165" s="20">
        <f>Programacion[[#This Row],[DEVENGADO OCTUBRE]]+Programacion[[#This Row],[DEVENGADO NOVIEMBRE]]+Programacion[[#This Row],[DEVENGADO DICIEMBRE]]</f>
        <v>0</v>
      </c>
      <c r="AO165" s="20">
        <f>Programacion[[#This Row],[ENERO]]+Programacion[[#This Row],[FEBRERO]]+Programacion[[#This Row],[MARZO]]+Programacion[[#This Row],[ABRIL]]+Programacion[[#This Row],[MAYO]]+Programacion[[#This Row],[JUNIO]]</f>
        <v>1620</v>
      </c>
      <c r="AP1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6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65" s="116"/>
    </row>
    <row r="166" spans="1:46" ht="30" x14ac:dyDescent="0.25">
      <c r="A166" s="54" t="s">
        <v>135</v>
      </c>
      <c r="B166" s="55" t="s">
        <v>139</v>
      </c>
      <c r="C166" s="54" t="s">
        <v>56</v>
      </c>
      <c r="D166" s="56" t="s">
        <v>48</v>
      </c>
      <c r="E166" s="57">
        <v>3</v>
      </c>
      <c r="F166" s="58">
        <v>2.2999999999999998</v>
      </c>
      <c r="G166" s="56" t="s">
        <v>70</v>
      </c>
      <c r="H166" s="59"/>
      <c r="I166" s="59"/>
      <c r="J166" s="59"/>
      <c r="K166" s="59"/>
      <c r="L166" s="59">
        <v>10000</v>
      </c>
      <c r="M166" s="59">
        <v>10000</v>
      </c>
      <c r="N166" s="59">
        <v>5000</v>
      </c>
      <c r="O166" s="59">
        <v>5000</v>
      </c>
      <c r="P166" s="59">
        <v>5000</v>
      </c>
      <c r="Q166" s="59">
        <v>5000</v>
      </c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6" s="19">
        <f>Programacion[[#This Row],[ENERO]]+Programacion[[#This Row],[FEBRERO]]+Programacion[[#This Row],[MARZO]]</f>
        <v>10000</v>
      </c>
      <c r="AH166" s="19">
        <f>Programacion[[#This Row],[DEVENGADO ENERO]]+Programacion[[#This Row],[DEVENGADO FEBRERO]]+Programacion[[#This Row],[DEVENGADO MARZO]]</f>
        <v>10000</v>
      </c>
      <c r="AI166" s="19">
        <f>Programacion[[#This Row],[ABRIL]]+Programacion[[#This Row],[MAYO]]+Programacion[[#This Row],[JUNIO]]</f>
        <v>10000</v>
      </c>
      <c r="AJ166" s="19">
        <f>Programacion[[#This Row],[DEVENGADO ABRIL]]+Programacion[[#This Row],[DEVENGADO MAYO]]+Programacion[[#This Row],[DEVENGADO JUNIO]]</f>
        <v>10000</v>
      </c>
      <c r="AK166" s="19">
        <f>Programacion[[#This Row],[JULIO]]+Programacion[[#This Row],[AGOSTO]]+Programacion[[#This Row],[SEPTIEMBRE]]</f>
        <v>0</v>
      </c>
      <c r="AL166" s="19">
        <f>Programacion[[#This Row],[DEVENGADO JULIO]]+Programacion[[#This Row],[DEVENGADO AGOSTO]]+Programacion[[#This Row],[DEVENGADO SEPTIEMBRE]]</f>
        <v>0</v>
      </c>
      <c r="AM166" s="19">
        <f>Programacion[[#This Row],[OCTUBRE]]+Programacion[[#This Row],[NOVIEMBRE]]+Programacion[[#This Row],[DICIEMBRE]]</f>
        <v>0</v>
      </c>
      <c r="AN166" s="20">
        <f>Programacion[[#This Row],[DEVENGADO OCTUBRE]]+Programacion[[#This Row],[DEVENGADO NOVIEMBRE]]+Programacion[[#This Row],[DEVENGADO DICIEMBRE]]</f>
        <v>0</v>
      </c>
      <c r="AO166" s="20">
        <f>Programacion[[#This Row],[ENERO]]+Programacion[[#This Row],[FEBRERO]]+Programacion[[#This Row],[MARZO]]+Programacion[[#This Row],[ABRIL]]+Programacion[[#This Row],[MAYO]]+Programacion[[#This Row],[JUNIO]]</f>
        <v>20000</v>
      </c>
      <c r="AP1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6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66" s="116"/>
    </row>
    <row r="167" spans="1:46" x14ac:dyDescent="0.25">
      <c r="A167" s="54" t="s">
        <v>135</v>
      </c>
      <c r="B167" s="55" t="s">
        <v>140</v>
      </c>
      <c r="C167" s="54" t="s">
        <v>56</v>
      </c>
      <c r="D167" s="56" t="s">
        <v>48</v>
      </c>
      <c r="E167" s="57">
        <v>3</v>
      </c>
      <c r="F167" s="58">
        <v>2.2999999999999998</v>
      </c>
      <c r="G167" s="56" t="s">
        <v>70</v>
      </c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>
        <v>5000</v>
      </c>
      <c r="S167" s="59">
        <v>5000</v>
      </c>
      <c r="T167" s="59">
        <v>5000</v>
      </c>
      <c r="U167" s="59">
        <v>5000</v>
      </c>
      <c r="V167" s="59">
        <v>5000</v>
      </c>
      <c r="W167" s="59">
        <v>5000</v>
      </c>
      <c r="X167" s="59">
        <v>5000</v>
      </c>
      <c r="Y167" s="59"/>
      <c r="Z167" s="59">
        <v>5000</v>
      </c>
      <c r="AA167" s="59"/>
      <c r="AB167" s="59">
        <v>5000</v>
      </c>
      <c r="AC167" s="59"/>
      <c r="AD167" s="59">
        <v>5000</v>
      </c>
      <c r="AE167" s="59"/>
      <c r="AF16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67" s="19">
        <f>Programacion[[#This Row],[ENERO]]+Programacion[[#This Row],[FEBRERO]]+Programacion[[#This Row],[MARZO]]</f>
        <v>0</v>
      </c>
      <c r="AH167" s="19">
        <f>Programacion[[#This Row],[DEVENGADO ENERO]]+Programacion[[#This Row],[DEVENGADO FEBRERO]]+Programacion[[#This Row],[DEVENGADO MARZO]]</f>
        <v>0</v>
      </c>
      <c r="AI167" s="19">
        <f>Programacion[[#This Row],[ABRIL]]+Programacion[[#This Row],[MAYO]]+Programacion[[#This Row],[JUNIO]]</f>
        <v>5000</v>
      </c>
      <c r="AJ167" s="19">
        <f>Programacion[[#This Row],[DEVENGADO ABRIL]]+Programacion[[#This Row],[DEVENGADO MAYO]]+Programacion[[#This Row],[DEVENGADO JUNIO]]</f>
        <v>5000</v>
      </c>
      <c r="AK167" s="19">
        <f>Programacion[[#This Row],[JULIO]]+Programacion[[#This Row],[AGOSTO]]+Programacion[[#This Row],[SEPTIEMBRE]]</f>
        <v>15000</v>
      </c>
      <c r="AL167" s="19">
        <f>Programacion[[#This Row],[DEVENGADO JULIO]]+Programacion[[#This Row],[DEVENGADO AGOSTO]]+Programacion[[#This Row],[DEVENGADO SEPTIEMBRE]]</f>
        <v>10000</v>
      </c>
      <c r="AM167" s="19">
        <f>Programacion[[#This Row],[OCTUBRE]]+Programacion[[#This Row],[NOVIEMBRE]]+Programacion[[#This Row],[DICIEMBRE]]</f>
        <v>15000</v>
      </c>
      <c r="AN167" s="20">
        <f>Programacion[[#This Row],[DEVENGADO OCTUBRE]]+Programacion[[#This Row],[DEVENGADO NOVIEMBRE]]+Programacion[[#This Row],[DEVENGADO DICIEMBRE]]</f>
        <v>0</v>
      </c>
      <c r="AO167" s="20">
        <f>Programacion[[#This Row],[ENERO]]+Programacion[[#This Row],[FEBRERO]]+Programacion[[#This Row],[MARZO]]+Programacion[[#This Row],[ABRIL]]+Programacion[[#This Row],[MAYO]]+Programacion[[#This Row],[JUNIO]]</f>
        <v>5000</v>
      </c>
      <c r="AP16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6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6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7" s="116"/>
    </row>
    <row r="168" spans="1:46" ht="30" x14ac:dyDescent="0.25">
      <c r="A168" s="54" t="s">
        <v>135</v>
      </c>
      <c r="B168" s="55" t="s">
        <v>141</v>
      </c>
      <c r="C168" s="54" t="s">
        <v>56</v>
      </c>
      <c r="D168" s="56" t="s">
        <v>48</v>
      </c>
      <c r="E168" s="57">
        <v>3</v>
      </c>
      <c r="F168" s="58">
        <v>2.2999999999999998</v>
      </c>
      <c r="G168" s="56" t="s">
        <v>70</v>
      </c>
      <c r="H168" s="59"/>
      <c r="I168" s="59"/>
      <c r="J168" s="59"/>
      <c r="K168" s="59"/>
      <c r="L168" s="59">
        <v>10000</v>
      </c>
      <c r="M168" s="59">
        <v>10000</v>
      </c>
      <c r="N168" s="59">
        <v>5000</v>
      </c>
      <c r="O168" s="59">
        <v>5000</v>
      </c>
      <c r="P168" s="59">
        <v>5000</v>
      </c>
      <c r="Q168" s="59">
        <v>5000</v>
      </c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8" s="19">
        <f>Programacion[[#This Row],[ENERO]]+Programacion[[#This Row],[FEBRERO]]+Programacion[[#This Row],[MARZO]]</f>
        <v>10000</v>
      </c>
      <c r="AH168" s="19">
        <f>Programacion[[#This Row],[DEVENGADO ENERO]]+Programacion[[#This Row],[DEVENGADO FEBRERO]]+Programacion[[#This Row],[DEVENGADO MARZO]]</f>
        <v>10000</v>
      </c>
      <c r="AI168" s="19">
        <f>Programacion[[#This Row],[ABRIL]]+Programacion[[#This Row],[MAYO]]+Programacion[[#This Row],[JUNIO]]</f>
        <v>10000</v>
      </c>
      <c r="AJ168" s="19">
        <f>Programacion[[#This Row],[DEVENGADO ABRIL]]+Programacion[[#This Row],[DEVENGADO MAYO]]+Programacion[[#This Row],[DEVENGADO JUNIO]]</f>
        <v>10000</v>
      </c>
      <c r="AK168" s="19">
        <f>Programacion[[#This Row],[JULIO]]+Programacion[[#This Row],[AGOSTO]]+Programacion[[#This Row],[SEPTIEMBRE]]</f>
        <v>0</v>
      </c>
      <c r="AL168" s="19">
        <f>Programacion[[#This Row],[DEVENGADO JULIO]]+Programacion[[#This Row],[DEVENGADO AGOSTO]]+Programacion[[#This Row],[DEVENGADO SEPTIEMBRE]]</f>
        <v>0</v>
      </c>
      <c r="AM168" s="19">
        <f>Programacion[[#This Row],[OCTUBRE]]+Programacion[[#This Row],[NOVIEMBRE]]+Programacion[[#This Row],[DICIEMBRE]]</f>
        <v>0</v>
      </c>
      <c r="AN168" s="20">
        <f>Programacion[[#This Row],[DEVENGADO OCTUBRE]]+Programacion[[#This Row],[DEVENGADO NOVIEMBRE]]+Programacion[[#This Row],[DEVENGADO DICIEMBRE]]</f>
        <v>0</v>
      </c>
      <c r="AO168" s="20">
        <f>Programacion[[#This Row],[ENERO]]+Programacion[[#This Row],[FEBRERO]]+Programacion[[#This Row],[MARZO]]+Programacion[[#This Row],[ABRIL]]+Programacion[[#This Row],[MAYO]]+Programacion[[#This Row],[JUNIO]]</f>
        <v>20000</v>
      </c>
      <c r="AP16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6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68" s="116"/>
    </row>
    <row r="169" spans="1:46" x14ac:dyDescent="0.25">
      <c r="A169" s="54" t="s">
        <v>135</v>
      </c>
      <c r="B169" s="55" t="s">
        <v>140</v>
      </c>
      <c r="C169" s="54" t="s">
        <v>56</v>
      </c>
      <c r="D169" s="56" t="s">
        <v>48</v>
      </c>
      <c r="E169" s="57">
        <v>3</v>
      </c>
      <c r="F169" s="58">
        <v>2.2999999999999998</v>
      </c>
      <c r="G169" s="56" t="s">
        <v>70</v>
      </c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>
        <v>5000</v>
      </c>
      <c r="S169" s="59">
        <v>5000</v>
      </c>
      <c r="T169" s="59">
        <v>5000</v>
      </c>
      <c r="U169" s="59">
        <v>5000</v>
      </c>
      <c r="V169" s="59">
        <v>5000</v>
      </c>
      <c r="W169" s="59">
        <v>5000</v>
      </c>
      <c r="X169" s="59">
        <v>5000</v>
      </c>
      <c r="Y169" s="59"/>
      <c r="Z169" s="59">
        <v>5000</v>
      </c>
      <c r="AA169" s="59"/>
      <c r="AB169" s="59">
        <v>5000</v>
      </c>
      <c r="AC169" s="59"/>
      <c r="AD169" s="59">
        <v>5000</v>
      </c>
      <c r="AE169" s="59"/>
      <c r="AF16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69" s="19">
        <f>Programacion[[#This Row],[ENERO]]+Programacion[[#This Row],[FEBRERO]]+Programacion[[#This Row],[MARZO]]</f>
        <v>0</v>
      </c>
      <c r="AH169" s="19">
        <f>Programacion[[#This Row],[DEVENGADO ENERO]]+Programacion[[#This Row],[DEVENGADO FEBRERO]]+Programacion[[#This Row],[DEVENGADO MARZO]]</f>
        <v>0</v>
      </c>
      <c r="AI169" s="19">
        <f>Programacion[[#This Row],[ABRIL]]+Programacion[[#This Row],[MAYO]]+Programacion[[#This Row],[JUNIO]]</f>
        <v>5000</v>
      </c>
      <c r="AJ169" s="19">
        <f>Programacion[[#This Row],[DEVENGADO ABRIL]]+Programacion[[#This Row],[DEVENGADO MAYO]]+Programacion[[#This Row],[DEVENGADO JUNIO]]</f>
        <v>5000</v>
      </c>
      <c r="AK169" s="19">
        <f>Programacion[[#This Row],[JULIO]]+Programacion[[#This Row],[AGOSTO]]+Programacion[[#This Row],[SEPTIEMBRE]]</f>
        <v>15000</v>
      </c>
      <c r="AL169" s="19">
        <f>Programacion[[#This Row],[DEVENGADO JULIO]]+Programacion[[#This Row],[DEVENGADO AGOSTO]]+Programacion[[#This Row],[DEVENGADO SEPTIEMBRE]]</f>
        <v>10000</v>
      </c>
      <c r="AM169" s="19">
        <f>Programacion[[#This Row],[OCTUBRE]]+Programacion[[#This Row],[NOVIEMBRE]]+Programacion[[#This Row],[DICIEMBRE]]</f>
        <v>15000</v>
      </c>
      <c r="AN169" s="20">
        <f>Programacion[[#This Row],[DEVENGADO OCTUBRE]]+Programacion[[#This Row],[DEVENGADO NOVIEMBRE]]+Programacion[[#This Row],[DEVENGADO DICIEMBRE]]</f>
        <v>0</v>
      </c>
      <c r="AO169" s="20">
        <f>Programacion[[#This Row],[ENERO]]+Programacion[[#This Row],[FEBRERO]]+Programacion[[#This Row],[MARZO]]+Programacion[[#This Row],[ABRIL]]+Programacion[[#This Row],[MAYO]]+Programacion[[#This Row],[JUNIO]]</f>
        <v>5000</v>
      </c>
      <c r="AP16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6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6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9" s="116"/>
    </row>
    <row r="170" spans="1:46" x14ac:dyDescent="0.25">
      <c r="A170" s="54" t="s">
        <v>135</v>
      </c>
      <c r="B170" s="55" t="s">
        <v>142</v>
      </c>
      <c r="C170" s="54" t="s">
        <v>56</v>
      </c>
      <c r="D170" s="56" t="s">
        <v>48</v>
      </c>
      <c r="E170" s="57">
        <v>39</v>
      </c>
      <c r="F170" s="58">
        <v>2.2999999999999998</v>
      </c>
      <c r="G170" s="56" t="s">
        <v>70</v>
      </c>
      <c r="H170" s="59"/>
      <c r="I170" s="59"/>
      <c r="J170" s="59"/>
      <c r="K170" s="59"/>
      <c r="L170" s="59">
        <v>4000</v>
      </c>
      <c r="M170" s="59">
        <v>4000</v>
      </c>
      <c r="N170" s="59">
        <v>4000</v>
      </c>
      <c r="O170" s="59">
        <v>4000</v>
      </c>
      <c r="P170" s="59">
        <v>4000</v>
      </c>
      <c r="Q170" s="59">
        <v>4000</v>
      </c>
      <c r="R170" s="59">
        <v>4000</v>
      </c>
      <c r="S170" s="59">
        <v>4000</v>
      </c>
      <c r="T170" s="59">
        <v>4000</v>
      </c>
      <c r="U170" s="59">
        <v>4000</v>
      </c>
      <c r="V170" s="59">
        <v>4000</v>
      </c>
      <c r="W170" s="59">
        <v>4000</v>
      </c>
      <c r="X170" s="59">
        <v>4000</v>
      </c>
      <c r="Y170" s="59"/>
      <c r="Z170" s="59">
        <v>4000</v>
      </c>
      <c r="AA170" s="59"/>
      <c r="AB170" s="59">
        <v>4000</v>
      </c>
      <c r="AC170" s="59"/>
      <c r="AD170" s="59">
        <v>4000</v>
      </c>
      <c r="AE170" s="59"/>
      <c r="AF17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70" s="19">
        <f>Programacion[[#This Row],[ENERO]]+Programacion[[#This Row],[FEBRERO]]+Programacion[[#This Row],[MARZO]]</f>
        <v>4000</v>
      </c>
      <c r="AH170" s="19">
        <f>Programacion[[#This Row],[DEVENGADO ENERO]]+Programacion[[#This Row],[DEVENGADO FEBRERO]]+Programacion[[#This Row],[DEVENGADO MARZO]]</f>
        <v>4000</v>
      </c>
      <c r="AI170" s="19">
        <f>Programacion[[#This Row],[ABRIL]]+Programacion[[#This Row],[MAYO]]+Programacion[[#This Row],[JUNIO]]</f>
        <v>12000</v>
      </c>
      <c r="AJ170" s="19">
        <f>Programacion[[#This Row],[DEVENGADO ABRIL]]+Programacion[[#This Row],[DEVENGADO MAYO]]+Programacion[[#This Row],[DEVENGADO JUNIO]]</f>
        <v>12000</v>
      </c>
      <c r="AK170" s="19">
        <f>Programacion[[#This Row],[JULIO]]+Programacion[[#This Row],[AGOSTO]]+Programacion[[#This Row],[SEPTIEMBRE]]</f>
        <v>12000</v>
      </c>
      <c r="AL170" s="19">
        <f>Programacion[[#This Row],[DEVENGADO JULIO]]+Programacion[[#This Row],[DEVENGADO AGOSTO]]+Programacion[[#This Row],[DEVENGADO SEPTIEMBRE]]</f>
        <v>8000</v>
      </c>
      <c r="AM170" s="19">
        <f>Programacion[[#This Row],[OCTUBRE]]+Programacion[[#This Row],[NOVIEMBRE]]+Programacion[[#This Row],[DICIEMBRE]]</f>
        <v>12000</v>
      </c>
      <c r="AN170" s="20">
        <f>Programacion[[#This Row],[DEVENGADO OCTUBRE]]+Programacion[[#This Row],[DEVENGADO NOVIEMBRE]]+Programacion[[#This Row],[DEVENGADO DICIEMBRE]]</f>
        <v>0</v>
      </c>
      <c r="AO170" s="20">
        <f>Programacion[[#This Row],[ENERO]]+Programacion[[#This Row],[FEBRERO]]+Programacion[[#This Row],[MARZO]]+Programacion[[#This Row],[ABRIL]]+Programacion[[#This Row],[MAYO]]+Programacion[[#This Row],[JUNIO]]</f>
        <v>16000</v>
      </c>
      <c r="AP17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7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70" s="116"/>
    </row>
    <row r="171" spans="1:46" x14ac:dyDescent="0.25">
      <c r="A171" s="54" t="s">
        <v>135</v>
      </c>
      <c r="B171" s="55" t="s">
        <v>143</v>
      </c>
      <c r="C171" s="54" t="s">
        <v>56</v>
      </c>
      <c r="D171" s="56" t="s">
        <v>48</v>
      </c>
      <c r="E171" s="57">
        <v>39</v>
      </c>
      <c r="F171" s="58">
        <v>2.2999999999999998</v>
      </c>
      <c r="G171" s="56" t="s">
        <v>70</v>
      </c>
      <c r="H171" s="59"/>
      <c r="I171" s="59"/>
      <c r="J171" s="59"/>
      <c r="K171" s="59"/>
      <c r="L171" s="59">
        <v>4000</v>
      </c>
      <c r="M171" s="59">
        <v>4000</v>
      </c>
      <c r="N171" s="59">
        <v>4000</v>
      </c>
      <c r="O171" s="59">
        <v>4000</v>
      </c>
      <c r="P171" s="59">
        <v>4000</v>
      </c>
      <c r="Q171" s="59">
        <v>4000</v>
      </c>
      <c r="R171" s="59">
        <v>4000</v>
      </c>
      <c r="S171" s="59">
        <v>4000</v>
      </c>
      <c r="T171" s="59">
        <v>4000</v>
      </c>
      <c r="U171" s="59">
        <v>4000</v>
      </c>
      <c r="V171" s="59">
        <v>4000</v>
      </c>
      <c r="W171" s="59">
        <v>4000</v>
      </c>
      <c r="X171" s="59">
        <v>4000</v>
      </c>
      <c r="Y171" s="59"/>
      <c r="Z171" s="59">
        <v>4000</v>
      </c>
      <c r="AA171" s="59"/>
      <c r="AB171" s="59">
        <v>4000</v>
      </c>
      <c r="AC171" s="59"/>
      <c r="AD171" s="59">
        <v>4000</v>
      </c>
      <c r="AE171" s="59"/>
      <c r="AF17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71" s="19">
        <f>Programacion[[#This Row],[ENERO]]+Programacion[[#This Row],[FEBRERO]]+Programacion[[#This Row],[MARZO]]</f>
        <v>4000</v>
      </c>
      <c r="AH171" s="19">
        <f>Programacion[[#This Row],[DEVENGADO ENERO]]+Programacion[[#This Row],[DEVENGADO FEBRERO]]+Programacion[[#This Row],[DEVENGADO MARZO]]</f>
        <v>4000</v>
      </c>
      <c r="AI171" s="19">
        <f>Programacion[[#This Row],[ABRIL]]+Programacion[[#This Row],[MAYO]]+Programacion[[#This Row],[JUNIO]]</f>
        <v>12000</v>
      </c>
      <c r="AJ171" s="19">
        <f>Programacion[[#This Row],[DEVENGADO ABRIL]]+Programacion[[#This Row],[DEVENGADO MAYO]]+Programacion[[#This Row],[DEVENGADO JUNIO]]</f>
        <v>12000</v>
      </c>
      <c r="AK171" s="19">
        <f>Programacion[[#This Row],[JULIO]]+Programacion[[#This Row],[AGOSTO]]+Programacion[[#This Row],[SEPTIEMBRE]]</f>
        <v>12000</v>
      </c>
      <c r="AL171" s="19">
        <f>Programacion[[#This Row],[DEVENGADO JULIO]]+Programacion[[#This Row],[DEVENGADO AGOSTO]]+Programacion[[#This Row],[DEVENGADO SEPTIEMBRE]]</f>
        <v>8000</v>
      </c>
      <c r="AM171" s="19">
        <f>Programacion[[#This Row],[OCTUBRE]]+Programacion[[#This Row],[NOVIEMBRE]]+Programacion[[#This Row],[DICIEMBRE]]</f>
        <v>12000</v>
      </c>
      <c r="AN171" s="20">
        <f>Programacion[[#This Row],[DEVENGADO OCTUBRE]]+Programacion[[#This Row],[DEVENGADO NOVIEMBRE]]+Programacion[[#This Row],[DEVENGADO DICIEMBRE]]</f>
        <v>0</v>
      </c>
      <c r="AO171" s="20">
        <f>Programacion[[#This Row],[ENERO]]+Programacion[[#This Row],[FEBRERO]]+Programacion[[#This Row],[MARZO]]+Programacion[[#This Row],[ABRIL]]+Programacion[[#This Row],[MAYO]]+Programacion[[#This Row],[JUNIO]]</f>
        <v>16000</v>
      </c>
      <c r="AP17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71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71" s="116"/>
    </row>
    <row r="172" spans="1:46" ht="45" x14ac:dyDescent="0.25">
      <c r="A172" s="54" t="s">
        <v>135</v>
      </c>
      <c r="B172" s="55" t="s">
        <v>144</v>
      </c>
      <c r="C172" s="54" t="s">
        <v>56</v>
      </c>
      <c r="D172" s="56" t="s">
        <v>48</v>
      </c>
      <c r="E172" s="57">
        <v>39</v>
      </c>
      <c r="F172" s="58">
        <v>2.2999999999999998</v>
      </c>
      <c r="G172" s="56" t="s">
        <v>70</v>
      </c>
      <c r="H172" s="59"/>
      <c r="I172" s="59"/>
      <c r="J172" s="59"/>
      <c r="K172" s="59"/>
      <c r="L172" s="59">
        <v>10000</v>
      </c>
      <c r="M172" s="59">
        <v>10000</v>
      </c>
      <c r="N172" s="59">
        <v>5000</v>
      </c>
      <c r="O172" s="59">
        <v>5000</v>
      </c>
      <c r="P172" s="59">
        <v>5000</v>
      </c>
      <c r="Q172" s="59">
        <v>5000</v>
      </c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2" s="19">
        <f>Programacion[[#This Row],[ENERO]]+Programacion[[#This Row],[FEBRERO]]+Programacion[[#This Row],[MARZO]]</f>
        <v>10000</v>
      </c>
      <c r="AH172" s="19">
        <f>Programacion[[#This Row],[DEVENGADO ENERO]]+Programacion[[#This Row],[DEVENGADO FEBRERO]]+Programacion[[#This Row],[DEVENGADO MARZO]]</f>
        <v>10000</v>
      </c>
      <c r="AI172" s="19">
        <f>Programacion[[#This Row],[ABRIL]]+Programacion[[#This Row],[MAYO]]+Programacion[[#This Row],[JUNIO]]</f>
        <v>10000</v>
      </c>
      <c r="AJ172" s="19">
        <f>Programacion[[#This Row],[DEVENGADO ABRIL]]+Programacion[[#This Row],[DEVENGADO MAYO]]+Programacion[[#This Row],[DEVENGADO JUNIO]]</f>
        <v>10000</v>
      </c>
      <c r="AK172" s="19">
        <f>Programacion[[#This Row],[JULIO]]+Programacion[[#This Row],[AGOSTO]]+Programacion[[#This Row],[SEPTIEMBRE]]</f>
        <v>0</v>
      </c>
      <c r="AL172" s="19">
        <f>Programacion[[#This Row],[DEVENGADO JULIO]]+Programacion[[#This Row],[DEVENGADO AGOSTO]]+Programacion[[#This Row],[DEVENGADO SEPTIEMBRE]]</f>
        <v>0</v>
      </c>
      <c r="AM172" s="19">
        <f>Programacion[[#This Row],[OCTUBRE]]+Programacion[[#This Row],[NOVIEMBRE]]+Programacion[[#This Row],[DICIEMBRE]]</f>
        <v>0</v>
      </c>
      <c r="AN172" s="20">
        <f>Programacion[[#This Row],[DEVENGADO OCTUBRE]]+Programacion[[#This Row],[DEVENGADO NOVIEMBRE]]+Programacion[[#This Row],[DEVENGADO DICIEMBRE]]</f>
        <v>0</v>
      </c>
      <c r="AO172" s="20">
        <f>Programacion[[#This Row],[ENERO]]+Programacion[[#This Row],[FEBRERO]]+Programacion[[#This Row],[MARZO]]+Programacion[[#This Row],[ABRIL]]+Programacion[[#This Row],[MAYO]]+Programacion[[#This Row],[JUNIO]]</f>
        <v>20000</v>
      </c>
      <c r="AP17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2" s="116"/>
    </row>
    <row r="173" spans="1:46" ht="45" x14ac:dyDescent="0.25">
      <c r="A173" s="54" t="s">
        <v>135</v>
      </c>
      <c r="B173" s="55" t="s">
        <v>145</v>
      </c>
      <c r="C173" s="54" t="s">
        <v>56</v>
      </c>
      <c r="D173" s="56" t="s">
        <v>48</v>
      </c>
      <c r="E173" s="57">
        <v>39</v>
      </c>
      <c r="F173" s="58">
        <v>2.2999999999999998</v>
      </c>
      <c r="G173" s="56" t="s">
        <v>70</v>
      </c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>
        <v>5000</v>
      </c>
      <c r="S173" s="59">
        <v>5000</v>
      </c>
      <c r="T173" s="59">
        <v>5000</v>
      </c>
      <c r="U173" s="59">
        <v>5000</v>
      </c>
      <c r="V173" s="59">
        <v>5000</v>
      </c>
      <c r="W173" s="59">
        <v>5000</v>
      </c>
      <c r="X173" s="59">
        <v>5000</v>
      </c>
      <c r="Y173" s="59"/>
      <c r="Z173" s="59">
        <v>5000</v>
      </c>
      <c r="AA173" s="59"/>
      <c r="AB173" s="59">
        <v>5000</v>
      </c>
      <c r="AC173" s="59"/>
      <c r="AD173" s="59">
        <v>5000</v>
      </c>
      <c r="AE173" s="59"/>
      <c r="AF17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3" s="19">
        <f>Programacion[[#This Row],[ENERO]]+Programacion[[#This Row],[FEBRERO]]+Programacion[[#This Row],[MARZO]]</f>
        <v>0</v>
      </c>
      <c r="AH173" s="19">
        <f>Programacion[[#This Row],[DEVENGADO ENERO]]+Programacion[[#This Row],[DEVENGADO FEBRERO]]+Programacion[[#This Row],[DEVENGADO MARZO]]</f>
        <v>0</v>
      </c>
      <c r="AI173" s="19">
        <f>Programacion[[#This Row],[ABRIL]]+Programacion[[#This Row],[MAYO]]+Programacion[[#This Row],[JUNIO]]</f>
        <v>5000</v>
      </c>
      <c r="AJ173" s="19">
        <f>Programacion[[#This Row],[DEVENGADO ABRIL]]+Programacion[[#This Row],[DEVENGADO MAYO]]+Programacion[[#This Row],[DEVENGADO JUNIO]]</f>
        <v>5000</v>
      </c>
      <c r="AK173" s="19">
        <f>Programacion[[#This Row],[JULIO]]+Programacion[[#This Row],[AGOSTO]]+Programacion[[#This Row],[SEPTIEMBRE]]</f>
        <v>15000</v>
      </c>
      <c r="AL173" s="19">
        <f>Programacion[[#This Row],[DEVENGADO JULIO]]+Programacion[[#This Row],[DEVENGADO AGOSTO]]+Programacion[[#This Row],[DEVENGADO SEPTIEMBRE]]</f>
        <v>10000</v>
      </c>
      <c r="AM173" s="19">
        <f>Programacion[[#This Row],[OCTUBRE]]+Programacion[[#This Row],[NOVIEMBRE]]+Programacion[[#This Row],[DICIEMBRE]]</f>
        <v>15000</v>
      </c>
      <c r="AN173" s="20">
        <f>Programacion[[#This Row],[DEVENGADO OCTUBRE]]+Programacion[[#This Row],[DEVENGADO NOVIEMBRE]]+Programacion[[#This Row],[DEVENGADO DICIEMBRE]]</f>
        <v>0</v>
      </c>
      <c r="AO173" s="20">
        <f>Programacion[[#This Row],[ENERO]]+Programacion[[#This Row],[FEBRERO]]+Programacion[[#This Row],[MARZO]]+Programacion[[#This Row],[ABRIL]]+Programacion[[#This Row],[MAYO]]+Programacion[[#This Row],[JUNIO]]</f>
        <v>5000</v>
      </c>
      <c r="AP17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73" s="116"/>
    </row>
    <row r="174" spans="1:46" ht="45" x14ac:dyDescent="0.25">
      <c r="A174" s="54" t="s">
        <v>135</v>
      </c>
      <c r="B174" s="60" t="s">
        <v>146</v>
      </c>
      <c r="C174" s="54" t="s">
        <v>56</v>
      </c>
      <c r="D174" s="61" t="s">
        <v>48</v>
      </c>
      <c r="E174" s="62">
        <v>39</v>
      </c>
      <c r="F174" s="58">
        <v>2.2999999999999998</v>
      </c>
      <c r="G174" s="61" t="s">
        <v>70</v>
      </c>
      <c r="H174" s="63"/>
      <c r="I174" s="63"/>
      <c r="J174" s="63"/>
      <c r="K174" s="63"/>
      <c r="L174" s="63">
        <v>10000</v>
      </c>
      <c r="M174" s="63">
        <v>10000</v>
      </c>
      <c r="N174" s="63">
        <v>5000</v>
      </c>
      <c r="O174" s="63">
        <v>5000</v>
      </c>
      <c r="P174" s="63">
        <v>5000</v>
      </c>
      <c r="Q174" s="63">
        <v>5000</v>
      </c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63"/>
      <c r="AF17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4" s="19">
        <f>Programacion[[#This Row],[ENERO]]+Programacion[[#This Row],[FEBRERO]]+Programacion[[#This Row],[MARZO]]</f>
        <v>10000</v>
      </c>
      <c r="AH174" s="19">
        <f>Programacion[[#This Row],[DEVENGADO ENERO]]+Programacion[[#This Row],[DEVENGADO FEBRERO]]+Programacion[[#This Row],[DEVENGADO MARZO]]</f>
        <v>10000</v>
      </c>
      <c r="AI174" s="19">
        <f>Programacion[[#This Row],[ABRIL]]+Programacion[[#This Row],[MAYO]]+Programacion[[#This Row],[JUNIO]]</f>
        <v>10000</v>
      </c>
      <c r="AJ174" s="19">
        <f>Programacion[[#This Row],[DEVENGADO ABRIL]]+Programacion[[#This Row],[DEVENGADO MAYO]]+Programacion[[#This Row],[DEVENGADO JUNIO]]</f>
        <v>10000</v>
      </c>
      <c r="AK174" s="19">
        <f>Programacion[[#This Row],[JULIO]]+Programacion[[#This Row],[AGOSTO]]+Programacion[[#This Row],[SEPTIEMBRE]]</f>
        <v>0</v>
      </c>
      <c r="AL174" s="19">
        <f>Programacion[[#This Row],[DEVENGADO JULIO]]+Programacion[[#This Row],[DEVENGADO AGOSTO]]+Programacion[[#This Row],[DEVENGADO SEPTIEMBRE]]</f>
        <v>0</v>
      </c>
      <c r="AM174" s="19">
        <f>Programacion[[#This Row],[OCTUBRE]]+Programacion[[#This Row],[NOVIEMBRE]]+Programacion[[#This Row],[DICIEMBRE]]</f>
        <v>0</v>
      </c>
      <c r="AN174" s="20">
        <f>Programacion[[#This Row],[DEVENGADO OCTUBRE]]+Programacion[[#This Row],[DEVENGADO NOVIEMBRE]]+Programacion[[#This Row],[DEVENGADO DICIEMBRE]]</f>
        <v>0</v>
      </c>
      <c r="AO174" s="20">
        <f>Programacion[[#This Row],[ENERO]]+Programacion[[#This Row],[FEBRERO]]+Programacion[[#This Row],[MARZO]]+Programacion[[#This Row],[ABRIL]]+Programacion[[#This Row],[MAYO]]+Programacion[[#This Row],[JUNIO]]</f>
        <v>20000</v>
      </c>
      <c r="AP17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4" s="116"/>
    </row>
    <row r="175" spans="1:46" ht="45" x14ac:dyDescent="0.25">
      <c r="A175" s="64" t="s">
        <v>135</v>
      </c>
      <c r="B175" s="65" t="s">
        <v>147</v>
      </c>
      <c r="C175" s="54" t="s">
        <v>56</v>
      </c>
      <c r="D175" s="66" t="s">
        <v>48</v>
      </c>
      <c r="E175" s="67">
        <v>39</v>
      </c>
      <c r="F175" s="68">
        <v>2.2999999999999998</v>
      </c>
      <c r="G175" s="69" t="s">
        <v>70</v>
      </c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>
        <v>5000</v>
      </c>
      <c r="S175" s="70">
        <v>5000</v>
      </c>
      <c r="T175" s="70">
        <v>5000</v>
      </c>
      <c r="U175" s="70">
        <v>5000</v>
      </c>
      <c r="V175" s="70">
        <v>5000</v>
      </c>
      <c r="W175" s="70">
        <v>5000</v>
      </c>
      <c r="X175" s="70">
        <v>5000</v>
      </c>
      <c r="Y175" s="70"/>
      <c r="Z175" s="70">
        <v>5000</v>
      </c>
      <c r="AA175" s="70"/>
      <c r="AB175" s="70">
        <v>5000</v>
      </c>
      <c r="AC175" s="70"/>
      <c r="AD175" s="70">
        <v>5000</v>
      </c>
      <c r="AE175" s="70"/>
      <c r="AF17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5" s="19">
        <f>Programacion[[#This Row],[ENERO]]+Programacion[[#This Row],[FEBRERO]]+Programacion[[#This Row],[MARZO]]</f>
        <v>0</v>
      </c>
      <c r="AH175" s="19">
        <f>Programacion[[#This Row],[DEVENGADO ENERO]]+Programacion[[#This Row],[DEVENGADO FEBRERO]]+Programacion[[#This Row],[DEVENGADO MARZO]]</f>
        <v>0</v>
      </c>
      <c r="AI175" s="19">
        <f>Programacion[[#This Row],[ABRIL]]+Programacion[[#This Row],[MAYO]]+Programacion[[#This Row],[JUNIO]]</f>
        <v>5000</v>
      </c>
      <c r="AJ175" s="19">
        <f>Programacion[[#This Row],[DEVENGADO ABRIL]]+Programacion[[#This Row],[DEVENGADO MAYO]]+Programacion[[#This Row],[DEVENGADO JUNIO]]</f>
        <v>5000</v>
      </c>
      <c r="AK175" s="19">
        <f>Programacion[[#This Row],[JULIO]]+Programacion[[#This Row],[AGOSTO]]+Programacion[[#This Row],[SEPTIEMBRE]]</f>
        <v>15000</v>
      </c>
      <c r="AL175" s="19">
        <f>Programacion[[#This Row],[DEVENGADO JULIO]]+Programacion[[#This Row],[DEVENGADO AGOSTO]]+Programacion[[#This Row],[DEVENGADO SEPTIEMBRE]]</f>
        <v>10000</v>
      </c>
      <c r="AM175" s="19">
        <f>Programacion[[#This Row],[OCTUBRE]]+Programacion[[#This Row],[NOVIEMBRE]]+Programacion[[#This Row],[DICIEMBRE]]</f>
        <v>15000</v>
      </c>
      <c r="AN175" s="20">
        <f>Programacion[[#This Row],[DEVENGADO OCTUBRE]]+Programacion[[#This Row],[DEVENGADO NOVIEMBRE]]+Programacion[[#This Row],[DEVENGADO DICIEMBRE]]</f>
        <v>0</v>
      </c>
      <c r="AO175" s="20">
        <f>Programacion[[#This Row],[ENERO]]+Programacion[[#This Row],[FEBRERO]]+Programacion[[#This Row],[MARZO]]+Programacion[[#This Row],[ABRIL]]+Programacion[[#This Row],[MAYO]]+Programacion[[#This Row],[JUNIO]]</f>
        <v>5000</v>
      </c>
      <c r="AP17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5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75" s="116"/>
    </row>
    <row r="176" spans="1:46" x14ac:dyDescent="0.25">
      <c r="A176" s="134" t="s">
        <v>135</v>
      </c>
      <c r="B176" s="135" t="s">
        <v>245</v>
      </c>
      <c r="C176" s="134" t="s">
        <v>255</v>
      </c>
      <c r="D176" s="136" t="s">
        <v>48</v>
      </c>
      <c r="E176" s="135">
        <v>39</v>
      </c>
      <c r="F176" s="137">
        <v>23</v>
      </c>
      <c r="G176" s="135" t="s">
        <v>65</v>
      </c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>
        <v>7300</v>
      </c>
      <c r="W176" s="33">
        <v>7300</v>
      </c>
      <c r="X176" s="33"/>
      <c r="Y176" s="33"/>
      <c r="Z176" s="33"/>
      <c r="AA176" s="33"/>
      <c r="AB176" s="33"/>
      <c r="AC176" s="33"/>
      <c r="AD176" s="33"/>
      <c r="AE176" s="33"/>
      <c r="AF17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176" s="33">
        <f>Programacion[[#This Row],[ENERO]]+Programacion[[#This Row],[FEBRERO]]+Programacion[[#This Row],[MARZO]]</f>
        <v>0</v>
      </c>
      <c r="AH176" s="33">
        <f>Programacion[[#This Row],[DEVENGADO ENERO]]+Programacion[[#This Row],[DEVENGADO FEBRERO]]+Programacion[[#This Row],[DEVENGADO MARZO]]</f>
        <v>0</v>
      </c>
      <c r="AI176" s="33">
        <f>Programacion[[#This Row],[ABRIL]]+Programacion[[#This Row],[MAYO]]+Programacion[[#This Row],[JUNIO]]</f>
        <v>0</v>
      </c>
      <c r="AJ176" s="33">
        <f>Programacion[[#This Row],[DEVENGADO ABRIL]]+Programacion[[#This Row],[DEVENGADO MAYO]]+Programacion[[#This Row],[DEVENGADO JUNIO]]</f>
        <v>0</v>
      </c>
      <c r="AK176" s="33">
        <f>Programacion[[#This Row],[JULIO]]+Programacion[[#This Row],[AGOSTO]]+Programacion[[#This Row],[SEPTIEMBRE]]</f>
        <v>7300</v>
      </c>
      <c r="AL176" s="33">
        <f>Programacion[[#This Row],[DEVENGADO JULIO]]+Programacion[[#This Row],[DEVENGADO AGOSTO]]+Programacion[[#This Row],[DEVENGADO SEPTIEMBRE]]</f>
        <v>7300</v>
      </c>
      <c r="AM176" s="33">
        <f>Programacion[[#This Row],[OCTUBRE]]+Programacion[[#This Row],[NOVIEMBRE]]+Programacion[[#This Row],[DICIEMBRE]]</f>
        <v>0</v>
      </c>
      <c r="AN176" s="21">
        <f>Programacion[[#This Row],[DEVENGADO OCTUBRE]]+Programacion[[#This Row],[DEVENGADO NOVIEMBRE]]+Programacion[[#This Row],[DEVENGADO DICIEMBRE]]</f>
        <v>0</v>
      </c>
      <c r="AO176" s="21">
        <f>Programacion[[#This Row],[ENERO]]+Programacion[[#This Row],[FEBRERO]]+Programacion[[#This Row],[MARZO]]+Programacion[[#This Row],[ABRIL]]+Programacion[[#This Row],[MAYO]]+Programacion[[#This Row],[JUNIO]]</f>
        <v>0</v>
      </c>
      <c r="AP17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21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17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17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176" s="116"/>
    </row>
    <row r="177" spans="1:46" x14ac:dyDescent="0.25">
      <c r="A177" s="71" t="s">
        <v>135</v>
      </c>
      <c r="B177" s="72" t="s">
        <v>148</v>
      </c>
      <c r="C177" s="54" t="s">
        <v>80</v>
      </c>
      <c r="D177" s="73" t="s">
        <v>48</v>
      </c>
      <c r="E177" s="73">
        <v>39</v>
      </c>
      <c r="F177" s="74">
        <v>2.6</v>
      </c>
      <c r="G177" s="71" t="s">
        <v>120</v>
      </c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>
        <v>15587.09</v>
      </c>
      <c r="W177" s="75">
        <v>15587.09</v>
      </c>
      <c r="X177" s="75"/>
      <c r="Y177" s="75"/>
      <c r="Z177" s="75"/>
      <c r="AA177" s="75"/>
      <c r="AB177" s="75"/>
      <c r="AC177" s="75"/>
      <c r="AD177" s="75"/>
      <c r="AE177" s="75"/>
      <c r="AF17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177" s="19">
        <f>Programacion[[#This Row],[ENERO]]+Programacion[[#This Row],[FEBRERO]]+Programacion[[#This Row],[MARZO]]</f>
        <v>0</v>
      </c>
      <c r="AH177" s="19">
        <f>Programacion[[#This Row],[DEVENGADO ENERO]]+Programacion[[#This Row],[DEVENGADO FEBRERO]]+Programacion[[#This Row],[DEVENGADO MARZO]]</f>
        <v>0</v>
      </c>
      <c r="AI177" s="19">
        <f>Programacion[[#This Row],[ABRIL]]+Programacion[[#This Row],[MAYO]]+Programacion[[#This Row],[JUNIO]]</f>
        <v>0</v>
      </c>
      <c r="AJ177" s="19">
        <f>Programacion[[#This Row],[DEVENGADO ABRIL]]+Programacion[[#This Row],[DEVENGADO MAYO]]+Programacion[[#This Row],[DEVENGADO JUNIO]]</f>
        <v>0</v>
      </c>
      <c r="AK177" s="19">
        <f>Programacion[[#This Row],[JULIO]]+Programacion[[#This Row],[AGOSTO]]+Programacion[[#This Row],[SEPTIEMBRE]]</f>
        <v>15587.09</v>
      </c>
      <c r="AL177" s="19">
        <f>Programacion[[#This Row],[DEVENGADO JULIO]]+Programacion[[#This Row],[DEVENGADO AGOSTO]]+Programacion[[#This Row],[DEVENGADO SEPTIEMBRE]]</f>
        <v>15587.09</v>
      </c>
      <c r="AM177" s="19">
        <f>Programacion[[#This Row],[OCTUBRE]]+Programacion[[#This Row],[NOVIEMBRE]]+Programacion[[#This Row],[DICIEMBRE]]</f>
        <v>0</v>
      </c>
      <c r="AN177" s="20">
        <f>Programacion[[#This Row],[DEVENGADO OCTUBRE]]+Programacion[[#This Row],[DEVENGADO NOVIEMBRE]]+Programacion[[#This Row],[DEVENGADO DICIEMBRE]]</f>
        <v>0</v>
      </c>
      <c r="AO177" s="20">
        <f>Programacion[[#This Row],[ENERO]]+Programacion[[#This Row],[FEBRERO]]+Programacion[[#This Row],[MARZO]]+Programacion[[#This Row],[ABRIL]]+Programacion[[#This Row],[MAYO]]+Programacion[[#This Row],[JUNIO]]</f>
        <v>0</v>
      </c>
      <c r="AP17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20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17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7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77" s="116"/>
    </row>
    <row r="178" spans="1:46" x14ac:dyDescent="0.25">
      <c r="A178" s="134" t="s">
        <v>135</v>
      </c>
      <c r="B178" s="134" t="s">
        <v>267</v>
      </c>
      <c r="C178" s="135" t="s">
        <v>259</v>
      </c>
      <c r="D178" s="135" t="s">
        <v>48</v>
      </c>
      <c r="E178" s="135">
        <v>3</v>
      </c>
      <c r="F178" s="138">
        <v>26</v>
      </c>
      <c r="G178" s="135" t="s">
        <v>268</v>
      </c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>
        <v>44000</v>
      </c>
      <c r="AC178" s="33"/>
      <c r="AD178" s="33"/>
      <c r="AE178" s="33"/>
      <c r="AF17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78" s="33">
        <f>Programacion[[#This Row],[ENERO]]+Programacion[[#This Row],[FEBRERO]]+Programacion[[#This Row],[MARZO]]</f>
        <v>0</v>
      </c>
      <c r="AH178" s="33">
        <f>Programacion[[#This Row],[DEVENGADO ENERO]]+Programacion[[#This Row],[DEVENGADO FEBRERO]]+Programacion[[#This Row],[DEVENGADO MARZO]]</f>
        <v>0</v>
      </c>
      <c r="AI178" s="33">
        <f>Programacion[[#This Row],[ABRIL]]+Programacion[[#This Row],[MAYO]]+Programacion[[#This Row],[JUNIO]]</f>
        <v>0</v>
      </c>
      <c r="AJ178" s="33">
        <f>Programacion[[#This Row],[DEVENGADO ABRIL]]+Programacion[[#This Row],[DEVENGADO MAYO]]+Programacion[[#This Row],[DEVENGADO JUNIO]]</f>
        <v>0</v>
      </c>
      <c r="AK178" s="33">
        <f>Programacion[[#This Row],[JULIO]]+Programacion[[#This Row],[AGOSTO]]+Programacion[[#This Row],[SEPTIEMBRE]]</f>
        <v>0</v>
      </c>
      <c r="AL178" s="33">
        <f>Programacion[[#This Row],[DEVENGADO JULIO]]+Programacion[[#This Row],[DEVENGADO AGOSTO]]+Programacion[[#This Row],[DEVENGADO SEPTIEMBRE]]</f>
        <v>0</v>
      </c>
      <c r="AM178" s="33">
        <f>Programacion[[#This Row],[OCTUBRE]]+Programacion[[#This Row],[NOVIEMBRE]]+Programacion[[#This Row],[DICIEMBRE]]</f>
        <v>44000</v>
      </c>
      <c r="AN178" s="21">
        <f>Programacion[[#This Row],[DEVENGADO OCTUBRE]]+Programacion[[#This Row],[DEVENGADO NOVIEMBRE]]+Programacion[[#This Row],[DEVENGADO DICIEMBRE]]</f>
        <v>0</v>
      </c>
      <c r="AO178" s="21">
        <f>Programacion[[#This Row],[ENERO]]+Programacion[[#This Row],[FEBRERO]]+Programacion[[#This Row],[MARZO]]+Programacion[[#This Row],[ABRIL]]+Programacion[[#This Row],[MAYO]]+Programacion[[#This Row],[JUNIO]]</f>
        <v>0</v>
      </c>
      <c r="AP17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8" s="21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17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8" s="116"/>
    </row>
    <row r="179" spans="1:46" x14ac:dyDescent="0.25">
      <c r="A179" s="76" t="s">
        <v>135</v>
      </c>
      <c r="B179" s="65" t="s">
        <v>149</v>
      </c>
      <c r="C179" s="54" t="s">
        <v>114</v>
      </c>
      <c r="D179" s="54" t="s">
        <v>48</v>
      </c>
      <c r="E179" s="54">
        <v>39</v>
      </c>
      <c r="F179" s="77">
        <v>2.2999999999999998</v>
      </c>
      <c r="G179" s="76" t="s">
        <v>115</v>
      </c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>
        <v>42500</v>
      </c>
      <c r="AC179" s="78"/>
      <c r="AD179" s="78"/>
      <c r="AE179" s="78"/>
      <c r="AF17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79" s="19">
        <f>Programacion[[#This Row],[ENERO]]+Programacion[[#This Row],[FEBRERO]]+Programacion[[#This Row],[MARZO]]</f>
        <v>0</v>
      </c>
      <c r="AH179" s="19">
        <f>Programacion[[#This Row],[DEVENGADO ENERO]]+Programacion[[#This Row],[DEVENGADO FEBRERO]]+Programacion[[#This Row],[DEVENGADO MARZO]]</f>
        <v>0</v>
      </c>
      <c r="AI179" s="19">
        <f>Programacion[[#This Row],[ABRIL]]+Programacion[[#This Row],[MAYO]]+Programacion[[#This Row],[JUNIO]]</f>
        <v>0</v>
      </c>
      <c r="AJ179" s="19">
        <f>Programacion[[#This Row],[DEVENGADO ABRIL]]+Programacion[[#This Row],[DEVENGADO MAYO]]+Programacion[[#This Row],[DEVENGADO JUNIO]]</f>
        <v>0</v>
      </c>
      <c r="AK179" s="19">
        <f>Programacion[[#This Row],[JULIO]]+Programacion[[#This Row],[AGOSTO]]+Programacion[[#This Row],[SEPTIEMBRE]]</f>
        <v>0</v>
      </c>
      <c r="AL179" s="19">
        <f>Programacion[[#This Row],[DEVENGADO JULIO]]+Programacion[[#This Row],[DEVENGADO AGOSTO]]+Programacion[[#This Row],[DEVENGADO SEPTIEMBRE]]</f>
        <v>0</v>
      </c>
      <c r="AM179" s="19">
        <f>Programacion[[#This Row],[OCTUBRE]]+Programacion[[#This Row],[NOVIEMBRE]]+Programacion[[#This Row],[DICIEMBRE]]</f>
        <v>42500</v>
      </c>
      <c r="AN179" s="20">
        <f>Programacion[[#This Row],[DEVENGADO OCTUBRE]]+Programacion[[#This Row],[DEVENGADO NOVIEMBRE]]+Programacion[[#This Row],[DEVENGADO DICIEMBRE]]</f>
        <v>0</v>
      </c>
      <c r="AO179" s="20">
        <f>Programacion[[#This Row],[ENERO]]+Programacion[[#This Row],[FEBRERO]]+Programacion[[#This Row],[MARZO]]+Programacion[[#This Row],[ABRIL]]+Programacion[[#This Row],[MAYO]]+Programacion[[#This Row],[JUNIO]]</f>
        <v>0</v>
      </c>
      <c r="AP17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9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7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9" s="116"/>
    </row>
    <row r="180" spans="1:46" ht="30" x14ac:dyDescent="0.25">
      <c r="A180" s="134" t="s">
        <v>135</v>
      </c>
      <c r="B180" s="135" t="s">
        <v>314</v>
      </c>
      <c r="C180" s="134" t="s">
        <v>264</v>
      </c>
      <c r="D180" s="136" t="s">
        <v>290</v>
      </c>
      <c r="E180" s="155">
        <v>136</v>
      </c>
      <c r="F180" s="137">
        <v>23</v>
      </c>
      <c r="G180" s="136" t="s">
        <v>70</v>
      </c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56">
        <v>6000</v>
      </c>
      <c r="Y180" s="147"/>
      <c r="Z180" s="156">
        <v>6000</v>
      </c>
      <c r="AA180" s="147"/>
      <c r="AB180" s="156">
        <v>6000</v>
      </c>
      <c r="AC180" s="147"/>
      <c r="AD180" s="156">
        <v>6000</v>
      </c>
      <c r="AE180" s="147"/>
      <c r="AF180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0" s="147">
        <f>Programacion[[#This Row],[ENERO]]+Programacion[[#This Row],[FEBRERO]]+Programacion[[#This Row],[MARZO]]</f>
        <v>0</v>
      </c>
      <c r="AH180" s="147">
        <f>Programacion[[#This Row],[DEVENGADO ENERO]]+Programacion[[#This Row],[DEVENGADO FEBRERO]]+Programacion[[#This Row],[DEVENGADO MARZO]]</f>
        <v>0</v>
      </c>
      <c r="AI180" s="147">
        <f>Programacion[[#This Row],[ABRIL]]+Programacion[[#This Row],[MAYO]]+Programacion[[#This Row],[JUNIO]]</f>
        <v>0</v>
      </c>
      <c r="AJ180" s="147">
        <f>Programacion[[#This Row],[DEVENGADO ABRIL]]+Programacion[[#This Row],[DEVENGADO MAYO]]+Programacion[[#This Row],[DEVENGADO JUNIO]]</f>
        <v>0</v>
      </c>
      <c r="AK180" s="147">
        <f>Programacion[[#This Row],[JULIO]]+Programacion[[#This Row],[AGOSTO]]+Programacion[[#This Row],[SEPTIEMBRE]]</f>
        <v>6000</v>
      </c>
      <c r="AL180" s="147">
        <f>Programacion[[#This Row],[DEVENGADO JULIO]]+Programacion[[#This Row],[DEVENGADO AGOSTO]]+Programacion[[#This Row],[DEVENGADO SEPTIEMBRE]]</f>
        <v>0</v>
      </c>
      <c r="AM180" s="147">
        <f>Programacion[[#This Row],[OCTUBRE]]+Programacion[[#This Row],[NOVIEMBRE]]+Programacion[[#This Row],[DICIEMBRE]]</f>
        <v>18000</v>
      </c>
      <c r="AN180" s="149">
        <f>Programacion[[#This Row],[DEVENGADO OCTUBRE]]+Programacion[[#This Row],[DEVENGADO NOVIEMBRE]]+Programacion[[#This Row],[DEVENGADO DICIEMBRE]]</f>
        <v>0</v>
      </c>
      <c r="AO180" s="149">
        <f>Programacion[[#This Row],[ENERO]]+Programacion[[#This Row],[FEBRERO]]+Programacion[[#This Row],[MARZO]]+Programacion[[#This Row],[ABRIL]]+Programacion[[#This Row],[MAYO]]+Programacion[[#This Row],[JUNIO]]</f>
        <v>0</v>
      </c>
      <c r="AP180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0" s="149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0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0" s="116"/>
    </row>
    <row r="181" spans="1:46" ht="30" x14ac:dyDescent="0.25">
      <c r="A181" s="134" t="s">
        <v>135</v>
      </c>
      <c r="B181" s="135" t="s">
        <v>315</v>
      </c>
      <c r="C181" s="134" t="s">
        <v>264</v>
      </c>
      <c r="D181" s="136" t="s">
        <v>290</v>
      </c>
      <c r="E181" s="155">
        <v>136</v>
      </c>
      <c r="F181" s="137">
        <v>23</v>
      </c>
      <c r="G181" s="136" t="s">
        <v>70</v>
      </c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56">
        <v>6000</v>
      </c>
      <c r="Y181" s="147"/>
      <c r="Z181" s="156">
        <v>6000</v>
      </c>
      <c r="AA181" s="147"/>
      <c r="AB181" s="156">
        <v>6000</v>
      </c>
      <c r="AC181" s="147"/>
      <c r="AD181" s="156">
        <v>6000</v>
      </c>
      <c r="AE181" s="147"/>
      <c r="AF181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1" s="147">
        <f>Programacion[[#This Row],[ENERO]]+Programacion[[#This Row],[FEBRERO]]+Programacion[[#This Row],[MARZO]]</f>
        <v>0</v>
      </c>
      <c r="AH181" s="147">
        <f>Programacion[[#This Row],[DEVENGADO ENERO]]+Programacion[[#This Row],[DEVENGADO FEBRERO]]+Programacion[[#This Row],[DEVENGADO MARZO]]</f>
        <v>0</v>
      </c>
      <c r="AI181" s="147">
        <f>Programacion[[#This Row],[ABRIL]]+Programacion[[#This Row],[MAYO]]+Programacion[[#This Row],[JUNIO]]</f>
        <v>0</v>
      </c>
      <c r="AJ181" s="147">
        <f>Programacion[[#This Row],[DEVENGADO ABRIL]]+Programacion[[#This Row],[DEVENGADO MAYO]]+Programacion[[#This Row],[DEVENGADO JUNIO]]</f>
        <v>0</v>
      </c>
      <c r="AK181" s="147">
        <f>Programacion[[#This Row],[JULIO]]+Programacion[[#This Row],[AGOSTO]]+Programacion[[#This Row],[SEPTIEMBRE]]</f>
        <v>6000</v>
      </c>
      <c r="AL181" s="147">
        <f>Programacion[[#This Row],[DEVENGADO JULIO]]+Programacion[[#This Row],[DEVENGADO AGOSTO]]+Programacion[[#This Row],[DEVENGADO SEPTIEMBRE]]</f>
        <v>0</v>
      </c>
      <c r="AM181" s="147">
        <f>Programacion[[#This Row],[OCTUBRE]]+Programacion[[#This Row],[NOVIEMBRE]]+Programacion[[#This Row],[DICIEMBRE]]</f>
        <v>18000</v>
      </c>
      <c r="AN181" s="149">
        <f>Programacion[[#This Row],[DEVENGADO OCTUBRE]]+Programacion[[#This Row],[DEVENGADO NOVIEMBRE]]+Programacion[[#This Row],[DEVENGADO DICIEMBRE]]</f>
        <v>0</v>
      </c>
      <c r="AO181" s="149">
        <f>Programacion[[#This Row],[ENERO]]+Programacion[[#This Row],[FEBRERO]]+Programacion[[#This Row],[MARZO]]+Programacion[[#This Row],[ABRIL]]+Programacion[[#This Row],[MAYO]]+Programacion[[#This Row],[JUNIO]]</f>
        <v>0</v>
      </c>
      <c r="AP181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1" s="149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1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1" s="116"/>
    </row>
    <row r="182" spans="1:46" ht="30" x14ac:dyDescent="0.25">
      <c r="A182" s="134" t="s">
        <v>135</v>
      </c>
      <c r="B182" s="135" t="s">
        <v>316</v>
      </c>
      <c r="C182" s="134" t="s">
        <v>264</v>
      </c>
      <c r="D182" s="136" t="s">
        <v>290</v>
      </c>
      <c r="E182" s="155">
        <v>136</v>
      </c>
      <c r="F182" s="137">
        <v>23</v>
      </c>
      <c r="G182" s="136" t="s">
        <v>70</v>
      </c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56">
        <v>6000</v>
      </c>
      <c r="Y182" s="147"/>
      <c r="Z182" s="156">
        <v>6000</v>
      </c>
      <c r="AA182" s="147"/>
      <c r="AB182" s="156">
        <v>6000</v>
      </c>
      <c r="AC182" s="147"/>
      <c r="AD182" s="156">
        <v>6000</v>
      </c>
      <c r="AE182" s="147"/>
      <c r="AF182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2" s="147">
        <f>Programacion[[#This Row],[ENERO]]+Programacion[[#This Row],[FEBRERO]]+Programacion[[#This Row],[MARZO]]</f>
        <v>0</v>
      </c>
      <c r="AH182" s="147">
        <f>Programacion[[#This Row],[DEVENGADO ENERO]]+Programacion[[#This Row],[DEVENGADO FEBRERO]]+Programacion[[#This Row],[DEVENGADO MARZO]]</f>
        <v>0</v>
      </c>
      <c r="AI182" s="147">
        <f>Programacion[[#This Row],[ABRIL]]+Programacion[[#This Row],[MAYO]]+Programacion[[#This Row],[JUNIO]]</f>
        <v>0</v>
      </c>
      <c r="AJ182" s="147">
        <f>Programacion[[#This Row],[DEVENGADO ABRIL]]+Programacion[[#This Row],[DEVENGADO MAYO]]+Programacion[[#This Row],[DEVENGADO JUNIO]]</f>
        <v>0</v>
      </c>
      <c r="AK182" s="147">
        <f>Programacion[[#This Row],[JULIO]]+Programacion[[#This Row],[AGOSTO]]+Programacion[[#This Row],[SEPTIEMBRE]]</f>
        <v>6000</v>
      </c>
      <c r="AL182" s="147">
        <f>Programacion[[#This Row],[DEVENGADO JULIO]]+Programacion[[#This Row],[DEVENGADO AGOSTO]]+Programacion[[#This Row],[DEVENGADO SEPTIEMBRE]]</f>
        <v>0</v>
      </c>
      <c r="AM182" s="147">
        <f>Programacion[[#This Row],[OCTUBRE]]+Programacion[[#This Row],[NOVIEMBRE]]+Programacion[[#This Row],[DICIEMBRE]]</f>
        <v>18000</v>
      </c>
      <c r="AN182" s="149">
        <f>Programacion[[#This Row],[DEVENGADO OCTUBRE]]+Programacion[[#This Row],[DEVENGADO NOVIEMBRE]]+Programacion[[#This Row],[DEVENGADO DICIEMBRE]]</f>
        <v>0</v>
      </c>
      <c r="AO182" s="149">
        <f>Programacion[[#This Row],[ENERO]]+Programacion[[#This Row],[FEBRERO]]+Programacion[[#This Row],[MARZO]]+Programacion[[#This Row],[ABRIL]]+Programacion[[#This Row],[MAYO]]+Programacion[[#This Row],[JUNIO]]</f>
        <v>0</v>
      </c>
      <c r="AP182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149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2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2" s="116"/>
    </row>
    <row r="183" spans="1:46" ht="45" x14ac:dyDescent="0.25">
      <c r="A183" s="134" t="s">
        <v>135</v>
      </c>
      <c r="B183" s="135" t="s">
        <v>317</v>
      </c>
      <c r="C183" s="134" t="s">
        <v>264</v>
      </c>
      <c r="D183" s="136" t="s">
        <v>290</v>
      </c>
      <c r="E183" s="155">
        <v>136</v>
      </c>
      <c r="F183" s="137">
        <v>23</v>
      </c>
      <c r="G183" s="136" t="s">
        <v>57</v>
      </c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56">
        <v>6000</v>
      </c>
      <c r="Y183" s="147"/>
      <c r="Z183" s="156">
        <v>6000</v>
      </c>
      <c r="AA183" s="147"/>
      <c r="AB183" s="156">
        <v>6000</v>
      </c>
      <c r="AC183" s="147"/>
      <c r="AD183" s="156">
        <v>6000</v>
      </c>
      <c r="AE183" s="147"/>
      <c r="AF183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3" s="147">
        <f>Programacion[[#This Row],[ENERO]]+Programacion[[#This Row],[FEBRERO]]+Programacion[[#This Row],[MARZO]]</f>
        <v>0</v>
      </c>
      <c r="AH183" s="147">
        <f>Programacion[[#This Row],[DEVENGADO ENERO]]+Programacion[[#This Row],[DEVENGADO FEBRERO]]+Programacion[[#This Row],[DEVENGADO MARZO]]</f>
        <v>0</v>
      </c>
      <c r="AI183" s="147">
        <f>Programacion[[#This Row],[ABRIL]]+Programacion[[#This Row],[MAYO]]+Programacion[[#This Row],[JUNIO]]</f>
        <v>0</v>
      </c>
      <c r="AJ183" s="147">
        <f>Programacion[[#This Row],[DEVENGADO ABRIL]]+Programacion[[#This Row],[DEVENGADO MAYO]]+Programacion[[#This Row],[DEVENGADO JUNIO]]</f>
        <v>0</v>
      </c>
      <c r="AK183" s="147">
        <f>Programacion[[#This Row],[JULIO]]+Programacion[[#This Row],[AGOSTO]]+Programacion[[#This Row],[SEPTIEMBRE]]</f>
        <v>6000</v>
      </c>
      <c r="AL183" s="147">
        <f>Programacion[[#This Row],[DEVENGADO JULIO]]+Programacion[[#This Row],[DEVENGADO AGOSTO]]+Programacion[[#This Row],[DEVENGADO SEPTIEMBRE]]</f>
        <v>0</v>
      </c>
      <c r="AM183" s="147">
        <f>Programacion[[#This Row],[OCTUBRE]]+Programacion[[#This Row],[NOVIEMBRE]]+Programacion[[#This Row],[DICIEMBRE]]</f>
        <v>18000</v>
      </c>
      <c r="AN183" s="149">
        <f>Programacion[[#This Row],[DEVENGADO OCTUBRE]]+Programacion[[#This Row],[DEVENGADO NOVIEMBRE]]+Programacion[[#This Row],[DEVENGADO DICIEMBRE]]</f>
        <v>0</v>
      </c>
      <c r="AO183" s="149">
        <f>Programacion[[#This Row],[ENERO]]+Programacion[[#This Row],[FEBRERO]]+Programacion[[#This Row],[MARZO]]+Programacion[[#This Row],[ABRIL]]+Programacion[[#This Row],[MAYO]]+Programacion[[#This Row],[JUNIO]]</f>
        <v>0</v>
      </c>
      <c r="AP183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149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3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116"/>
    </row>
    <row r="184" spans="1:46" ht="45" x14ac:dyDescent="0.25">
      <c r="A184" s="134" t="s">
        <v>135</v>
      </c>
      <c r="B184" s="135" t="s">
        <v>318</v>
      </c>
      <c r="C184" s="134" t="s">
        <v>264</v>
      </c>
      <c r="D184" s="136" t="s">
        <v>290</v>
      </c>
      <c r="E184" s="155">
        <v>136</v>
      </c>
      <c r="F184" s="137">
        <v>23</v>
      </c>
      <c r="G184" s="136" t="s">
        <v>57</v>
      </c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56">
        <v>6000</v>
      </c>
      <c r="Y184" s="147"/>
      <c r="Z184" s="156">
        <v>6000</v>
      </c>
      <c r="AA184" s="147"/>
      <c r="AB184" s="156">
        <v>6000</v>
      </c>
      <c r="AC184" s="147"/>
      <c r="AD184" s="156">
        <v>6000</v>
      </c>
      <c r="AE184" s="147"/>
      <c r="AF184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4" s="147">
        <f>Programacion[[#This Row],[ENERO]]+Programacion[[#This Row],[FEBRERO]]+Programacion[[#This Row],[MARZO]]</f>
        <v>0</v>
      </c>
      <c r="AH184" s="147">
        <f>Programacion[[#This Row],[DEVENGADO ENERO]]+Programacion[[#This Row],[DEVENGADO FEBRERO]]+Programacion[[#This Row],[DEVENGADO MARZO]]</f>
        <v>0</v>
      </c>
      <c r="AI184" s="147">
        <f>Programacion[[#This Row],[ABRIL]]+Programacion[[#This Row],[MAYO]]+Programacion[[#This Row],[JUNIO]]</f>
        <v>0</v>
      </c>
      <c r="AJ184" s="147">
        <f>Programacion[[#This Row],[DEVENGADO ABRIL]]+Programacion[[#This Row],[DEVENGADO MAYO]]+Programacion[[#This Row],[DEVENGADO JUNIO]]</f>
        <v>0</v>
      </c>
      <c r="AK184" s="147">
        <f>Programacion[[#This Row],[JULIO]]+Programacion[[#This Row],[AGOSTO]]+Programacion[[#This Row],[SEPTIEMBRE]]</f>
        <v>6000</v>
      </c>
      <c r="AL184" s="147">
        <f>Programacion[[#This Row],[DEVENGADO JULIO]]+Programacion[[#This Row],[DEVENGADO AGOSTO]]+Programacion[[#This Row],[DEVENGADO SEPTIEMBRE]]</f>
        <v>0</v>
      </c>
      <c r="AM184" s="147">
        <f>Programacion[[#This Row],[OCTUBRE]]+Programacion[[#This Row],[NOVIEMBRE]]+Programacion[[#This Row],[DICIEMBRE]]</f>
        <v>18000</v>
      </c>
      <c r="AN184" s="149">
        <f>Programacion[[#This Row],[DEVENGADO OCTUBRE]]+Programacion[[#This Row],[DEVENGADO NOVIEMBRE]]+Programacion[[#This Row],[DEVENGADO DICIEMBRE]]</f>
        <v>0</v>
      </c>
      <c r="AO184" s="149">
        <f>Programacion[[#This Row],[ENERO]]+Programacion[[#This Row],[FEBRERO]]+Programacion[[#This Row],[MARZO]]+Programacion[[#This Row],[ABRIL]]+Programacion[[#This Row],[MAYO]]+Programacion[[#This Row],[JUNIO]]</f>
        <v>0</v>
      </c>
      <c r="AP184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149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4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4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4" s="116"/>
    </row>
    <row r="185" spans="1:46" ht="30" x14ac:dyDescent="0.25">
      <c r="A185" s="134" t="s">
        <v>135</v>
      </c>
      <c r="B185" s="135" t="s">
        <v>319</v>
      </c>
      <c r="C185" s="134" t="s">
        <v>264</v>
      </c>
      <c r="D185" s="136" t="s">
        <v>290</v>
      </c>
      <c r="E185" s="155">
        <v>136</v>
      </c>
      <c r="F185" s="137">
        <v>23</v>
      </c>
      <c r="G185" s="136" t="s">
        <v>70</v>
      </c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56">
        <v>5000</v>
      </c>
      <c r="Y185" s="147"/>
      <c r="Z185" s="156">
        <v>5000</v>
      </c>
      <c r="AA185" s="147"/>
      <c r="AB185" s="156">
        <v>5000</v>
      </c>
      <c r="AC185" s="147"/>
      <c r="AD185" s="156">
        <v>5000</v>
      </c>
      <c r="AE185" s="147"/>
      <c r="AF185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5" s="147">
        <f>Programacion[[#This Row],[ENERO]]+Programacion[[#This Row],[FEBRERO]]+Programacion[[#This Row],[MARZO]]</f>
        <v>0</v>
      </c>
      <c r="AH185" s="147">
        <f>Programacion[[#This Row],[DEVENGADO ENERO]]+Programacion[[#This Row],[DEVENGADO FEBRERO]]+Programacion[[#This Row],[DEVENGADO MARZO]]</f>
        <v>0</v>
      </c>
      <c r="AI185" s="147">
        <f>Programacion[[#This Row],[ABRIL]]+Programacion[[#This Row],[MAYO]]+Programacion[[#This Row],[JUNIO]]</f>
        <v>0</v>
      </c>
      <c r="AJ185" s="147">
        <f>Programacion[[#This Row],[DEVENGADO ABRIL]]+Programacion[[#This Row],[DEVENGADO MAYO]]+Programacion[[#This Row],[DEVENGADO JUNIO]]</f>
        <v>0</v>
      </c>
      <c r="AK185" s="147">
        <f>Programacion[[#This Row],[JULIO]]+Programacion[[#This Row],[AGOSTO]]+Programacion[[#This Row],[SEPTIEMBRE]]</f>
        <v>5000</v>
      </c>
      <c r="AL185" s="147">
        <f>Programacion[[#This Row],[DEVENGADO JULIO]]+Programacion[[#This Row],[DEVENGADO AGOSTO]]+Programacion[[#This Row],[DEVENGADO SEPTIEMBRE]]</f>
        <v>0</v>
      </c>
      <c r="AM185" s="147">
        <f>Programacion[[#This Row],[OCTUBRE]]+Programacion[[#This Row],[NOVIEMBRE]]+Programacion[[#This Row],[DICIEMBRE]]</f>
        <v>15000</v>
      </c>
      <c r="AN185" s="149">
        <f>Programacion[[#This Row],[DEVENGADO OCTUBRE]]+Programacion[[#This Row],[DEVENGADO NOVIEMBRE]]+Programacion[[#This Row],[DEVENGADO DICIEMBRE]]</f>
        <v>0</v>
      </c>
      <c r="AO185" s="149">
        <f>Programacion[[#This Row],[ENERO]]+Programacion[[#This Row],[FEBRERO]]+Programacion[[#This Row],[MARZO]]+Programacion[[#This Row],[ABRIL]]+Programacion[[#This Row],[MAYO]]+Programacion[[#This Row],[JUNIO]]</f>
        <v>0</v>
      </c>
      <c r="AP185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149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85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116"/>
    </row>
    <row r="186" spans="1:46" ht="30" x14ac:dyDescent="0.25">
      <c r="A186" s="134" t="s">
        <v>135</v>
      </c>
      <c r="B186" s="135" t="s">
        <v>320</v>
      </c>
      <c r="C186" s="134" t="s">
        <v>264</v>
      </c>
      <c r="D186" s="136" t="s">
        <v>290</v>
      </c>
      <c r="E186" s="155">
        <v>136</v>
      </c>
      <c r="F186" s="137">
        <v>23</v>
      </c>
      <c r="G186" s="136" t="s">
        <v>70</v>
      </c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56">
        <v>5000</v>
      </c>
      <c r="Y186" s="147"/>
      <c r="Z186" s="156">
        <v>5000</v>
      </c>
      <c r="AA186" s="147"/>
      <c r="AB186" s="156">
        <v>5000</v>
      </c>
      <c r="AC186" s="147"/>
      <c r="AD186" s="156">
        <v>5000</v>
      </c>
      <c r="AE186" s="147"/>
      <c r="AF186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6" s="147">
        <f>Programacion[[#This Row],[ENERO]]+Programacion[[#This Row],[FEBRERO]]+Programacion[[#This Row],[MARZO]]</f>
        <v>0</v>
      </c>
      <c r="AH186" s="147">
        <f>Programacion[[#This Row],[DEVENGADO ENERO]]+Programacion[[#This Row],[DEVENGADO FEBRERO]]+Programacion[[#This Row],[DEVENGADO MARZO]]</f>
        <v>0</v>
      </c>
      <c r="AI186" s="147">
        <f>Programacion[[#This Row],[ABRIL]]+Programacion[[#This Row],[MAYO]]+Programacion[[#This Row],[JUNIO]]</f>
        <v>0</v>
      </c>
      <c r="AJ186" s="147">
        <f>Programacion[[#This Row],[DEVENGADO ABRIL]]+Programacion[[#This Row],[DEVENGADO MAYO]]+Programacion[[#This Row],[DEVENGADO JUNIO]]</f>
        <v>0</v>
      </c>
      <c r="AK186" s="147">
        <f>Programacion[[#This Row],[JULIO]]+Programacion[[#This Row],[AGOSTO]]+Programacion[[#This Row],[SEPTIEMBRE]]</f>
        <v>5000</v>
      </c>
      <c r="AL186" s="147">
        <f>Programacion[[#This Row],[DEVENGADO JULIO]]+Programacion[[#This Row],[DEVENGADO AGOSTO]]+Programacion[[#This Row],[DEVENGADO SEPTIEMBRE]]</f>
        <v>0</v>
      </c>
      <c r="AM186" s="147">
        <f>Programacion[[#This Row],[OCTUBRE]]+Programacion[[#This Row],[NOVIEMBRE]]+Programacion[[#This Row],[DICIEMBRE]]</f>
        <v>15000</v>
      </c>
      <c r="AN186" s="149">
        <f>Programacion[[#This Row],[DEVENGADO OCTUBRE]]+Programacion[[#This Row],[DEVENGADO NOVIEMBRE]]+Programacion[[#This Row],[DEVENGADO DICIEMBRE]]</f>
        <v>0</v>
      </c>
      <c r="AO186" s="149">
        <f>Programacion[[#This Row],[ENERO]]+Programacion[[#This Row],[FEBRERO]]+Programacion[[#This Row],[MARZO]]+Programacion[[#This Row],[ABRIL]]+Programacion[[#This Row],[MAYO]]+Programacion[[#This Row],[JUNIO]]</f>
        <v>0</v>
      </c>
      <c r="AP186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6" s="149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86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6" s="116"/>
    </row>
    <row r="187" spans="1:46" ht="45" x14ac:dyDescent="0.25">
      <c r="A187" s="79" t="s">
        <v>150</v>
      </c>
      <c r="B187" s="80" t="s">
        <v>151</v>
      </c>
      <c r="C187" s="81" t="s">
        <v>56</v>
      </c>
      <c r="D187" s="81" t="s">
        <v>152</v>
      </c>
      <c r="E187" s="82">
        <v>34</v>
      </c>
      <c r="F187" s="83">
        <v>2.2999999999999998</v>
      </c>
      <c r="G187" s="81" t="s">
        <v>57</v>
      </c>
      <c r="H187" s="81"/>
      <c r="I187" s="84"/>
      <c r="J187" s="84"/>
      <c r="K187" s="84"/>
      <c r="L187" s="84">
        <v>7000</v>
      </c>
      <c r="M187" s="84">
        <v>7000</v>
      </c>
      <c r="N187" s="84">
        <v>7000</v>
      </c>
      <c r="O187" s="84">
        <v>7000</v>
      </c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5"/>
      <c r="AB187" s="86"/>
      <c r="AC187" s="86"/>
      <c r="AD187" s="86"/>
      <c r="AE187" s="86"/>
      <c r="AF18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87" s="88">
        <f>Programacion[[#This Row],[ENERO]]+Programacion[[#This Row],[FEBRERO]]+Programacion[[#This Row],[MARZO]]</f>
        <v>7000</v>
      </c>
      <c r="AH187" s="88">
        <f>Programacion[[#This Row],[DEVENGADO ENERO]]+Programacion[[#This Row],[DEVENGADO FEBRERO]]+Programacion[[#This Row],[DEVENGADO MARZO]]</f>
        <v>7000</v>
      </c>
      <c r="AI187" s="88">
        <f>Programacion[[#This Row],[ABRIL]]+Programacion[[#This Row],[MAYO]]+Programacion[[#This Row],[JUNIO]]</f>
        <v>7000</v>
      </c>
      <c r="AJ187" s="88">
        <f>Programacion[[#This Row],[DEVENGADO ABRIL]]+Programacion[[#This Row],[DEVENGADO MAYO]]+Programacion[[#This Row],[DEVENGADO JUNIO]]</f>
        <v>7000</v>
      </c>
      <c r="AK187" s="88">
        <f>Programacion[[#This Row],[JULIO]]+Programacion[[#This Row],[AGOSTO]]+Programacion[[#This Row],[SEPTIEMBRE]]</f>
        <v>0</v>
      </c>
      <c r="AL187" s="88">
        <f>Programacion[[#This Row],[DEVENGADO JULIO]]+Programacion[[#This Row],[DEVENGADO AGOSTO]]+Programacion[[#This Row],[DEVENGADO SEPTIEMBRE]]</f>
        <v>0</v>
      </c>
      <c r="AM187" s="88">
        <f>Programacion[[#This Row],[OCTUBRE]]+Programacion[[#This Row],[NOVIEMBRE]]+Programacion[[#This Row],[DICIEMBRE]]</f>
        <v>0</v>
      </c>
      <c r="AN187" s="89">
        <f>Programacion[[#This Row],[DEVENGADO OCTUBRE]]+Programacion[[#This Row],[DEVENGADO NOVIEMBRE]]+Programacion[[#This Row],[DEVENGADO DICIEMBRE]]</f>
        <v>0</v>
      </c>
      <c r="AO187" s="89">
        <f>Programacion[[#This Row],[ENERO]]+Programacion[[#This Row],[FEBRERO]]+Programacion[[#This Row],[MARZO]]+Programacion[[#This Row],[ABRIL]]+Programacion[[#This Row],[MAYO]]+Programacion[[#This Row],[JUNIO]]</f>
        <v>14000</v>
      </c>
      <c r="AP18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8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87" s="116"/>
    </row>
    <row r="188" spans="1:46" x14ac:dyDescent="0.25">
      <c r="A188" s="79" t="s">
        <v>150</v>
      </c>
      <c r="B188" s="90" t="s">
        <v>153</v>
      </c>
      <c r="C188" s="91" t="s">
        <v>47</v>
      </c>
      <c r="D188" s="81" t="s">
        <v>152</v>
      </c>
      <c r="E188" s="92">
        <v>34</v>
      </c>
      <c r="F188" s="93">
        <v>2.2999999999999998</v>
      </c>
      <c r="G188" s="94" t="s">
        <v>49</v>
      </c>
      <c r="H188" s="88"/>
      <c r="I188" s="88"/>
      <c r="J188" s="88"/>
      <c r="K188" s="88"/>
      <c r="L188" s="88"/>
      <c r="M188" s="88"/>
      <c r="N188" s="88"/>
      <c r="O188" s="88"/>
      <c r="P188" s="88">
        <v>3564.19</v>
      </c>
      <c r="Q188" s="88">
        <v>3564.19</v>
      </c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88"/>
      <c r="AC188" s="88"/>
      <c r="AD188" s="88"/>
      <c r="AE188" s="88"/>
      <c r="AF188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88" s="88">
        <f>Programacion[[#This Row],[ENERO]]+Programacion[[#This Row],[FEBRERO]]+Programacion[[#This Row],[MARZO]]</f>
        <v>0</v>
      </c>
      <c r="AH188" s="88">
        <f>Programacion[[#This Row],[DEVENGADO ENERO]]+Programacion[[#This Row],[DEVENGADO FEBRERO]]+Programacion[[#This Row],[DEVENGADO MARZO]]</f>
        <v>0</v>
      </c>
      <c r="AI188" s="88">
        <f>Programacion[[#This Row],[ABRIL]]+Programacion[[#This Row],[MAYO]]+Programacion[[#This Row],[JUNIO]]</f>
        <v>3564.19</v>
      </c>
      <c r="AJ188" s="88">
        <f>Programacion[[#This Row],[DEVENGADO ABRIL]]+Programacion[[#This Row],[DEVENGADO MAYO]]+Programacion[[#This Row],[DEVENGADO JUNIO]]</f>
        <v>3564.19</v>
      </c>
      <c r="AK188" s="88">
        <f>Programacion[[#This Row],[JULIO]]+Programacion[[#This Row],[AGOSTO]]+Programacion[[#This Row],[SEPTIEMBRE]]</f>
        <v>0</v>
      </c>
      <c r="AL188" s="88">
        <f>Programacion[[#This Row],[DEVENGADO JULIO]]+Programacion[[#This Row],[DEVENGADO AGOSTO]]+Programacion[[#This Row],[DEVENGADO SEPTIEMBRE]]</f>
        <v>0</v>
      </c>
      <c r="AM188" s="88">
        <f>Programacion[[#This Row],[OCTUBRE]]+Programacion[[#This Row],[NOVIEMBRE]]+Programacion[[#This Row],[DICIEMBRE]]</f>
        <v>0</v>
      </c>
      <c r="AN188" s="88">
        <f>Programacion[[#This Row],[DEVENGADO OCTUBRE]]+Programacion[[#This Row],[DEVENGADO NOVIEMBRE]]+Programacion[[#This Row],[DEVENGADO DICIEMBRE]]</f>
        <v>0</v>
      </c>
      <c r="AO188" s="88">
        <f>Programacion[[#This Row],[ENERO]]+Programacion[[#This Row],[FEBRERO]]+Programacion[[#This Row],[MARZO]]+Programacion[[#This Row],[ABRIL]]+Programacion[[#This Row],[MAYO]]+Programacion[[#This Row],[JUNIO]]</f>
        <v>3564.19</v>
      </c>
      <c r="AP188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88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8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88" s="116"/>
    </row>
    <row r="189" spans="1:46" x14ac:dyDescent="0.25">
      <c r="A189" s="79" t="s">
        <v>150</v>
      </c>
      <c r="B189" s="90" t="s">
        <v>154</v>
      </c>
      <c r="C189" s="91" t="s">
        <v>47</v>
      </c>
      <c r="D189" s="81" t="s">
        <v>152</v>
      </c>
      <c r="E189" s="92">
        <v>34</v>
      </c>
      <c r="F189" s="93">
        <v>2.2999999999999998</v>
      </c>
      <c r="G189" s="94" t="s">
        <v>51</v>
      </c>
      <c r="H189" s="88"/>
      <c r="I189" s="88"/>
      <c r="J189" s="88"/>
      <c r="K189" s="88"/>
      <c r="L189" s="88"/>
      <c r="M189" s="88"/>
      <c r="N189" s="88"/>
      <c r="O189" s="88"/>
      <c r="P189" s="88">
        <v>1806</v>
      </c>
      <c r="Q189" s="88">
        <v>1806</v>
      </c>
      <c r="R189" s="88">
        <v>-317</v>
      </c>
      <c r="S189" s="88"/>
      <c r="T189" s="88"/>
      <c r="U189" s="88"/>
      <c r="V189" s="88"/>
      <c r="W189" s="88"/>
      <c r="X189" s="88"/>
      <c r="Y189" s="88"/>
      <c r="Z189" s="88"/>
      <c r="AA189" s="88"/>
      <c r="AB189" s="88"/>
      <c r="AC189" s="88"/>
      <c r="AD189" s="88"/>
      <c r="AE189" s="88"/>
      <c r="AF189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89" s="88">
        <f>Programacion[[#This Row],[ENERO]]+Programacion[[#This Row],[FEBRERO]]+Programacion[[#This Row],[MARZO]]</f>
        <v>0</v>
      </c>
      <c r="AH189" s="88">
        <f>Programacion[[#This Row],[DEVENGADO ENERO]]+Programacion[[#This Row],[DEVENGADO FEBRERO]]+Programacion[[#This Row],[DEVENGADO MARZO]]</f>
        <v>0</v>
      </c>
      <c r="AI189" s="88">
        <f>Programacion[[#This Row],[ABRIL]]+Programacion[[#This Row],[MAYO]]+Programacion[[#This Row],[JUNIO]]</f>
        <v>1489</v>
      </c>
      <c r="AJ189" s="88">
        <f>Programacion[[#This Row],[DEVENGADO ABRIL]]+Programacion[[#This Row],[DEVENGADO MAYO]]+Programacion[[#This Row],[DEVENGADO JUNIO]]</f>
        <v>1806</v>
      </c>
      <c r="AK189" s="88">
        <f>Programacion[[#This Row],[JULIO]]+Programacion[[#This Row],[AGOSTO]]+Programacion[[#This Row],[SEPTIEMBRE]]</f>
        <v>0</v>
      </c>
      <c r="AL189" s="88">
        <f>Programacion[[#This Row],[DEVENGADO JULIO]]+Programacion[[#This Row],[DEVENGADO AGOSTO]]+Programacion[[#This Row],[DEVENGADO SEPTIEMBRE]]</f>
        <v>0</v>
      </c>
      <c r="AM189" s="88">
        <f>Programacion[[#This Row],[OCTUBRE]]+Programacion[[#This Row],[NOVIEMBRE]]+Programacion[[#This Row],[DICIEMBRE]]</f>
        <v>0</v>
      </c>
      <c r="AN189" s="88">
        <f>Programacion[[#This Row],[DEVENGADO OCTUBRE]]+Programacion[[#This Row],[DEVENGADO NOVIEMBRE]]+Programacion[[#This Row],[DEVENGADO DICIEMBRE]]</f>
        <v>0</v>
      </c>
      <c r="AO189" s="88">
        <f>Programacion[[#This Row],[ENERO]]+Programacion[[#This Row],[FEBRERO]]+Programacion[[#This Row],[MARZO]]+Programacion[[#This Row],[ABRIL]]+Programacion[[#This Row],[MAYO]]+Programacion[[#This Row],[JUNIO]]</f>
        <v>1489</v>
      </c>
      <c r="AP189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89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9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89" s="116"/>
    </row>
    <row r="190" spans="1:46" x14ac:dyDescent="0.25">
      <c r="A190" s="79" t="s">
        <v>150</v>
      </c>
      <c r="B190" s="90" t="s">
        <v>155</v>
      </c>
      <c r="C190" s="91" t="s">
        <v>73</v>
      </c>
      <c r="D190" s="81" t="s">
        <v>152</v>
      </c>
      <c r="E190" s="92">
        <v>34</v>
      </c>
      <c r="F190" s="93">
        <v>2.2999999999999998</v>
      </c>
      <c r="G190" s="94" t="s">
        <v>74</v>
      </c>
      <c r="H190" s="88"/>
      <c r="I190" s="88"/>
      <c r="J190" s="88"/>
      <c r="K190" s="88"/>
      <c r="L190" s="88"/>
      <c r="M190" s="88"/>
      <c r="N190" s="88"/>
      <c r="O190" s="88"/>
      <c r="P190" s="88">
        <v>500</v>
      </c>
      <c r="Q190" s="88">
        <v>500</v>
      </c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88"/>
      <c r="AC190" s="88"/>
      <c r="AD190" s="88"/>
      <c r="AE190" s="88"/>
      <c r="AF19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90" s="88">
        <f>Programacion[[#This Row],[ENERO]]+Programacion[[#This Row],[FEBRERO]]+Programacion[[#This Row],[MARZO]]</f>
        <v>0</v>
      </c>
      <c r="AH190" s="88">
        <f>Programacion[[#This Row],[DEVENGADO ENERO]]+Programacion[[#This Row],[DEVENGADO FEBRERO]]+Programacion[[#This Row],[DEVENGADO MARZO]]</f>
        <v>0</v>
      </c>
      <c r="AI190" s="88">
        <f>Programacion[[#This Row],[ABRIL]]+Programacion[[#This Row],[MAYO]]+Programacion[[#This Row],[JUNIO]]</f>
        <v>500</v>
      </c>
      <c r="AJ190" s="88">
        <f>Programacion[[#This Row],[DEVENGADO ABRIL]]+Programacion[[#This Row],[DEVENGADO MAYO]]+Programacion[[#This Row],[DEVENGADO JUNIO]]</f>
        <v>500</v>
      </c>
      <c r="AK190" s="88">
        <f>Programacion[[#This Row],[JULIO]]+Programacion[[#This Row],[AGOSTO]]+Programacion[[#This Row],[SEPTIEMBRE]]</f>
        <v>0</v>
      </c>
      <c r="AL190" s="88">
        <f>Programacion[[#This Row],[DEVENGADO JULIO]]+Programacion[[#This Row],[DEVENGADO AGOSTO]]+Programacion[[#This Row],[DEVENGADO SEPTIEMBRE]]</f>
        <v>0</v>
      </c>
      <c r="AM190" s="88">
        <f>Programacion[[#This Row],[OCTUBRE]]+Programacion[[#This Row],[NOVIEMBRE]]+Programacion[[#This Row],[DICIEMBRE]]</f>
        <v>0</v>
      </c>
      <c r="AN190" s="88">
        <f>Programacion[[#This Row],[DEVENGADO OCTUBRE]]+Programacion[[#This Row],[DEVENGADO NOVIEMBRE]]+Programacion[[#This Row],[DEVENGADO DICIEMBRE]]</f>
        <v>0</v>
      </c>
      <c r="AO190" s="88">
        <f>Programacion[[#This Row],[ENERO]]+Programacion[[#This Row],[FEBRERO]]+Programacion[[#This Row],[MARZO]]+Programacion[[#This Row],[ABRIL]]+Programacion[[#This Row],[MAYO]]+Programacion[[#This Row],[JUNIO]]</f>
        <v>500</v>
      </c>
      <c r="AP19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90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90" s="116"/>
    </row>
    <row r="191" spans="1:46" x14ac:dyDescent="0.25">
      <c r="A191" s="95" t="s">
        <v>150</v>
      </c>
      <c r="B191" s="90" t="s">
        <v>156</v>
      </c>
      <c r="C191" s="91" t="s">
        <v>56</v>
      </c>
      <c r="D191" s="94" t="s">
        <v>152</v>
      </c>
      <c r="E191" s="92">
        <v>34</v>
      </c>
      <c r="F191" s="93">
        <v>2.2999999999999998</v>
      </c>
      <c r="G191" s="94" t="s">
        <v>57</v>
      </c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>
        <v>7045.58</v>
      </c>
      <c r="AA191" s="88"/>
      <c r="AB191" s="88"/>
      <c r="AC191" s="88"/>
      <c r="AD191" s="88"/>
      <c r="AE191" s="88"/>
      <c r="AF19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91" s="88">
        <f>Programacion[[#This Row],[ENERO]]+Programacion[[#This Row],[FEBRERO]]+Programacion[[#This Row],[MARZO]]</f>
        <v>0</v>
      </c>
      <c r="AH191" s="88">
        <f>Programacion[[#This Row],[DEVENGADO ENERO]]+Programacion[[#This Row],[DEVENGADO FEBRERO]]+Programacion[[#This Row],[DEVENGADO MARZO]]</f>
        <v>0</v>
      </c>
      <c r="AI191" s="88">
        <f>Programacion[[#This Row],[ABRIL]]+Programacion[[#This Row],[MAYO]]+Programacion[[#This Row],[JUNIO]]</f>
        <v>0</v>
      </c>
      <c r="AJ191" s="88">
        <f>Programacion[[#This Row],[DEVENGADO ABRIL]]+Programacion[[#This Row],[DEVENGADO MAYO]]+Programacion[[#This Row],[DEVENGADO JUNIO]]</f>
        <v>0</v>
      </c>
      <c r="AK191" s="88">
        <f>Programacion[[#This Row],[JULIO]]+Programacion[[#This Row],[AGOSTO]]+Programacion[[#This Row],[SEPTIEMBRE]]</f>
        <v>0</v>
      </c>
      <c r="AL191" s="88">
        <f>Programacion[[#This Row],[DEVENGADO JULIO]]+Programacion[[#This Row],[DEVENGADO AGOSTO]]+Programacion[[#This Row],[DEVENGADO SEPTIEMBRE]]</f>
        <v>0</v>
      </c>
      <c r="AM191" s="88">
        <f>Programacion[[#This Row],[OCTUBRE]]+Programacion[[#This Row],[NOVIEMBRE]]+Programacion[[#This Row],[DICIEMBRE]]</f>
        <v>7045.58</v>
      </c>
      <c r="AN191" s="97">
        <f>Programacion[[#This Row],[DEVENGADO OCTUBRE]]+Programacion[[#This Row],[DEVENGADO NOVIEMBRE]]+Programacion[[#This Row],[DEVENGADO DICIEMBRE]]</f>
        <v>0</v>
      </c>
      <c r="AO191" s="97">
        <f>Programacion[[#This Row],[ENERO]]+Programacion[[#This Row],[FEBRERO]]+Programacion[[#This Row],[MARZO]]+Programacion[[#This Row],[ABRIL]]+Programacion[[#This Row],[MAYO]]+Programacion[[#This Row],[JUNIO]]</f>
        <v>0</v>
      </c>
      <c r="AP19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97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9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1" s="116"/>
    </row>
    <row r="192" spans="1:46" ht="30" x14ac:dyDescent="0.25">
      <c r="A192" s="95" t="s">
        <v>150</v>
      </c>
      <c r="B192" s="90" t="s">
        <v>157</v>
      </c>
      <c r="C192" s="91" t="s">
        <v>56</v>
      </c>
      <c r="D192" s="94" t="s">
        <v>152</v>
      </c>
      <c r="E192" s="92">
        <v>34</v>
      </c>
      <c r="F192" s="93">
        <v>2.2999999999999998</v>
      </c>
      <c r="G192" s="94" t="s">
        <v>57</v>
      </c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>
        <v>13530</v>
      </c>
      <c r="Y192" s="88"/>
      <c r="Z192" s="88">
        <v>6970</v>
      </c>
      <c r="AA192" s="88"/>
      <c r="AB192" s="88"/>
      <c r="AC192" s="88"/>
      <c r="AD192" s="88"/>
      <c r="AE192" s="88"/>
      <c r="AF19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192" s="88">
        <f>Programacion[[#This Row],[ENERO]]+Programacion[[#This Row],[FEBRERO]]+Programacion[[#This Row],[MARZO]]</f>
        <v>0</v>
      </c>
      <c r="AH192" s="88">
        <f>Programacion[[#This Row],[DEVENGADO ENERO]]+Programacion[[#This Row],[DEVENGADO FEBRERO]]+Programacion[[#This Row],[DEVENGADO MARZO]]</f>
        <v>0</v>
      </c>
      <c r="AI192" s="88">
        <f>Programacion[[#This Row],[ABRIL]]+Programacion[[#This Row],[MAYO]]+Programacion[[#This Row],[JUNIO]]</f>
        <v>0</v>
      </c>
      <c r="AJ192" s="88">
        <f>Programacion[[#This Row],[DEVENGADO ABRIL]]+Programacion[[#This Row],[DEVENGADO MAYO]]+Programacion[[#This Row],[DEVENGADO JUNIO]]</f>
        <v>0</v>
      </c>
      <c r="AK192" s="88">
        <f>Programacion[[#This Row],[JULIO]]+Programacion[[#This Row],[AGOSTO]]+Programacion[[#This Row],[SEPTIEMBRE]]</f>
        <v>13530</v>
      </c>
      <c r="AL192" s="88">
        <f>Programacion[[#This Row],[DEVENGADO JULIO]]+Programacion[[#This Row],[DEVENGADO AGOSTO]]+Programacion[[#This Row],[DEVENGADO SEPTIEMBRE]]</f>
        <v>0</v>
      </c>
      <c r="AM192" s="88">
        <f>Programacion[[#This Row],[OCTUBRE]]+Programacion[[#This Row],[NOVIEMBRE]]+Programacion[[#This Row],[DICIEMBRE]]</f>
        <v>6970</v>
      </c>
      <c r="AN192" s="97">
        <f>Programacion[[#This Row],[DEVENGADO OCTUBRE]]+Programacion[[#This Row],[DEVENGADO NOVIEMBRE]]+Programacion[[#This Row],[DEVENGADO DICIEMBRE]]</f>
        <v>0</v>
      </c>
      <c r="AO192" s="97">
        <f>Programacion[[#This Row],[ENERO]]+Programacion[[#This Row],[FEBRERO]]+Programacion[[#This Row],[MARZO]]+Programacion[[#This Row],[ABRIL]]+Programacion[[#This Row],[MAYO]]+Programacion[[#This Row],[JUNIO]]</f>
        <v>0</v>
      </c>
      <c r="AP19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2" s="97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19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2" s="116"/>
    </row>
    <row r="193" spans="1:46" ht="30" x14ac:dyDescent="0.25">
      <c r="A193" s="99" t="s">
        <v>150</v>
      </c>
      <c r="B193" s="90" t="s">
        <v>158</v>
      </c>
      <c r="C193" s="81" t="s">
        <v>56</v>
      </c>
      <c r="D193" s="81" t="s">
        <v>152</v>
      </c>
      <c r="E193" s="82">
        <v>34</v>
      </c>
      <c r="F193" s="83">
        <v>2.2999999999999998</v>
      </c>
      <c r="G193" s="81" t="s">
        <v>128</v>
      </c>
      <c r="H193" s="81"/>
      <c r="I193" s="84"/>
      <c r="J193" s="84">
        <v>4500</v>
      </c>
      <c r="K193" s="84">
        <v>4500</v>
      </c>
      <c r="L193" s="84">
        <v>10500</v>
      </c>
      <c r="M193" s="84">
        <v>10500</v>
      </c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5"/>
      <c r="AB193" s="100"/>
      <c r="AC193" s="100"/>
      <c r="AD193" s="100"/>
      <c r="AE193" s="100"/>
      <c r="AF193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93" s="88">
        <f>Programacion[[#This Row],[ENERO]]+Programacion[[#This Row],[FEBRERO]]+Programacion[[#This Row],[MARZO]]</f>
        <v>15000</v>
      </c>
      <c r="AH193" s="88">
        <f>Programacion[[#This Row],[DEVENGADO ENERO]]+Programacion[[#This Row],[DEVENGADO FEBRERO]]+Programacion[[#This Row],[DEVENGADO MARZO]]</f>
        <v>15000</v>
      </c>
      <c r="AI193" s="88">
        <f>Programacion[[#This Row],[ABRIL]]+Programacion[[#This Row],[MAYO]]+Programacion[[#This Row],[JUNIO]]</f>
        <v>0</v>
      </c>
      <c r="AJ193" s="88">
        <f>Programacion[[#This Row],[DEVENGADO ABRIL]]+Programacion[[#This Row],[DEVENGADO MAYO]]+Programacion[[#This Row],[DEVENGADO JUNIO]]</f>
        <v>0</v>
      </c>
      <c r="AK193" s="88">
        <f>Programacion[[#This Row],[JULIO]]+Programacion[[#This Row],[AGOSTO]]+Programacion[[#This Row],[SEPTIEMBRE]]</f>
        <v>0</v>
      </c>
      <c r="AL193" s="88">
        <f>Programacion[[#This Row],[DEVENGADO JULIO]]+Programacion[[#This Row],[DEVENGADO AGOSTO]]+Programacion[[#This Row],[DEVENGADO SEPTIEMBRE]]</f>
        <v>0</v>
      </c>
      <c r="AM193" s="88">
        <f>Programacion[[#This Row],[OCTUBRE]]+Programacion[[#This Row],[NOVIEMBRE]]+Programacion[[#This Row],[DICIEMBRE]]</f>
        <v>0</v>
      </c>
      <c r="AN193" s="89">
        <f>Programacion[[#This Row],[DEVENGADO OCTUBRE]]+Programacion[[#This Row],[DEVENGADO NOVIEMBRE]]+Programacion[[#This Row],[DEVENGADO DICIEMBRE]]</f>
        <v>0</v>
      </c>
      <c r="AO193" s="89">
        <f>Programacion[[#This Row],[ENERO]]+Programacion[[#This Row],[FEBRERO]]+Programacion[[#This Row],[MARZO]]+Programacion[[#This Row],[ABRIL]]+Programacion[[#This Row],[MAYO]]+Programacion[[#This Row],[JUNIO]]</f>
        <v>15000</v>
      </c>
      <c r="AP193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93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3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93" s="116"/>
    </row>
    <row r="194" spans="1:46" x14ac:dyDescent="0.25">
      <c r="A194" s="99" t="s">
        <v>150</v>
      </c>
      <c r="B194" s="90" t="s">
        <v>159</v>
      </c>
      <c r="C194" s="81" t="s">
        <v>47</v>
      </c>
      <c r="D194" s="81" t="s">
        <v>152</v>
      </c>
      <c r="E194" s="82">
        <v>34</v>
      </c>
      <c r="F194" s="83">
        <v>2.2999999999999998</v>
      </c>
      <c r="G194" s="81" t="s">
        <v>51</v>
      </c>
      <c r="H194" s="81"/>
      <c r="I194" s="84"/>
      <c r="J194" s="84">
        <v>170</v>
      </c>
      <c r="K194" s="84">
        <v>170</v>
      </c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5"/>
      <c r="AB194" s="100"/>
      <c r="AC194" s="100"/>
      <c r="AD194" s="100"/>
      <c r="AE194" s="100"/>
      <c r="AF19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94" s="88">
        <f>Programacion[[#This Row],[ENERO]]+Programacion[[#This Row],[FEBRERO]]+Programacion[[#This Row],[MARZO]]</f>
        <v>170</v>
      </c>
      <c r="AH194" s="88">
        <f>Programacion[[#This Row],[DEVENGADO ENERO]]+Programacion[[#This Row],[DEVENGADO FEBRERO]]+Programacion[[#This Row],[DEVENGADO MARZO]]</f>
        <v>170</v>
      </c>
      <c r="AI194" s="88">
        <f>Programacion[[#This Row],[ABRIL]]+Programacion[[#This Row],[MAYO]]+Programacion[[#This Row],[JUNIO]]</f>
        <v>0</v>
      </c>
      <c r="AJ194" s="88">
        <f>Programacion[[#This Row],[DEVENGADO ABRIL]]+Programacion[[#This Row],[DEVENGADO MAYO]]+Programacion[[#This Row],[DEVENGADO JUNIO]]</f>
        <v>0</v>
      </c>
      <c r="AK194" s="88">
        <f>Programacion[[#This Row],[JULIO]]+Programacion[[#This Row],[AGOSTO]]+Programacion[[#This Row],[SEPTIEMBRE]]</f>
        <v>0</v>
      </c>
      <c r="AL194" s="88">
        <f>Programacion[[#This Row],[DEVENGADO JULIO]]+Programacion[[#This Row],[DEVENGADO AGOSTO]]+Programacion[[#This Row],[DEVENGADO SEPTIEMBRE]]</f>
        <v>0</v>
      </c>
      <c r="AM194" s="88">
        <f>Programacion[[#This Row],[OCTUBRE]]+Programacion[[#This Row],[NOVIEMBRE]]+Programacion[[#This Row],[DICIEMBRE]]</f>
        <v>0</v>
      </c>
      <c r="AN194" s="89">
        <f>Programacion[[#This Row],[DEVENGADO OCTUBRE]]+Programacion[[#This Row],[DEVENGADO NOVIEMBRE]]+Programacion[[#This Row],[DEVENGADO DICIEMBRE]]</f>
        <v>0</v>
      </c>
      <c r="AO194" s="89">
        <f>Programacion[[#This Row],[ENERO]]+Programacion[[#This Row],[FEBRERO]]+Programacion[[#This Row],[MARZO]]+Programacion[[#This Row],[ABRIL]]+Programacion[[#This Row],[MAYO]]+Programacion[[#This Row],[JUNIO]]</f>
        <v>170</v>
      </c>
      <c r="AP19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9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94" s="116"/>
    </row>
    <row r="195" spans="1:46" x14ac:dyDescent="0.25">
      <c r="A195" s="99" t="s">
        <v>150</v>
      </c>
      <c r="B195" s="90" t="s">
        <v>160</v>
      </c>
      <c r="C195" s="81" t="s">
        <v>47</v>
      </c>
      <c r="D195" s="81" t="s">
        <v>152</v>
      </c>
      <c r="E195" s="82">
        <v>34</v>
      </c>
      <c r="F195" s="83">
        <v>2.2999999999999998</v>
      </c>
      <c r="G195" s="81" t="s">
        <v>49</v>
      </c>
      <c r="H195" s="81"/>
      <c r="I195" s="84"/>
      <c r="J195" s="84">
        <v>165</v>
      </c>
      <c r="K195" s="84">
        <v>165</v>
      </c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5"/>
      <c r="AB195" s="100"/>
      <c r="AC195" s="100"/>
      <c r="AD195" s="100"/>
      <c r="AE195" s="100"/>
      <c r="AF19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95" s="88">
        <f>Programacion[[#This Row],[ENERO]]+Programacion[[#This Row],[FEBRERO]]+Programacion[[#This Row],[MARZO]]</f>
        <v>165</v>
      </c>
      <c r="AH195" s="88">
        <f>Programacion[[#This Row],[DEVENGADO ENERO]]+Programacion[[#This Row],[DEVENGADO FEBRERO]]+Programacion[[#This Row],[DEVENGADO MARZO]]</f>
        <v>165</v>
      </c>
      <c r="AI195" s="88">
        <f>Programacion[[#This Row],[ABRIL]]+Programacion[[#This Row],[MAYO]]+Programacion[[#This Row],[JUNIO]]</f>
        <v>0</v>
      </c>
      <c r="AJ195" s="88">
        <f>Programacion[[#This Row],[DEVENGADO ABRIL]]+Programacion[[#This Row],[DEVENGADO MAYO]]+Programacion[[#This Row],[DEVENGADO JUNIO]]</f>
        <v>0</v>
      </c>
      <c r="AK195" s="88">
        <f>Programacion[[#This Row],[JULIO]]+Programacion[[#This Row],[AGOSTO]]+Programacion[[#This Row],[SEPTIEMBRE]]</f>
        <v>0</v>
      </c>
      <c r="AL195" s="88">
        <f>Programacion[[#This Row],[DEVENGADO JULIO]]+Programacion[[#This Row],[DEVENGADO AGOSTO]]+Programacion[[#This Row],[DEVENGADO SEPTIEMBRE]]</f>
        <v>0</v>
      </c>
      <c r="AM195" s="88">
        <f>Programacion[[#This Row],[OCTUBRE]]+Programacion[[#This Row],[NOVIEMBRE]]+Programacion[[#This Row],[DICIEMBRE]]</f>
        <v>0</v>
      </c>
      <c r="AN195" s="89">
        <f>Programacion[[#This Row],[DEVENGADO OCTUBRE]]+Programacion[[#This Row],[DEVENGADO NOVIEMBRE]]+Programacion[[#This Row],[DEVENGADO DICIEMBRE]]</f>
        <v>0</v>
      </c>
      <c r="AO195" s="89">
        <f>Programacion[[#This Row],[ENERO]]+Programacion[[#This Row],[FEBRERO]]+Programacion[[#This Row],[MARZO]]+Programacion[[#This Row],[ABRIL]]+Programacion[[#This Row],[MAYO]]+Programacion[[#This Row],[JUNIO]]</f>
        <v>165</v>
      </c>
      <c r="AP19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9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95" s="116"/>
    </row>
    <row r="196" spans="1:46" ht="30" x14ac:dyDescent="0.25">
      <c r="A196" s="99" t="s">
        <v>150</v>
      </c>
      <c r="B196" s="90" t="s">
        <v>161</v>
      </c>
      <c r="C196" s="81" t="s">
        <v>56</v>
      </c>
      <c r="D196" s="81" t="s">
        <v>152</v>
      </c>
      <c r="E196" s="82">
        <v>34</v>
      </c>
      <c r="F196" s="83">
        <v>2.2999999999999998</v>
      </c>
      <c r="G196" s="81" t="s">
        <v>57</v>
      </c>
      <c r="H196" s="81"/>
      <c r="I196" s="84"/>
      <c r="J196" s="84"/>
      <c r="K196" s="84"/>
      <c r="L196" s="84"/>
      <c r="M196" s="84"/>
      <c r="N196" s="84">
        <v>5848</v>
      </c>
      <c r="O196" s="84">
        <v>5848</v>
      </c>
      <c r="P196" s="84">
        <v>5848</v>
      </c>
      <c r="Q196" s="84">
        <v>5848</v>
      </c>
      <c r="R196" s="84">
        <v>2924</v>
      </c>
      <c r="S196" s="84">
        <v>2924</v>
      </c>
      <c r="T196" s="84"/>
      <c r="U196" s="84"/>
      <c r="V196" s="84"/>
      <c r="W196" s="84"/>
      <c r="X196" s="84"/>
      <c r="Y196" s="84"/>
      <c r="Z196" s="84">
        <v>0.39</v>
      </c>
      <c r="AA196" s="85"/>
      <c r="AB196" s="100"/>
      <c r="AC196" s="100"/>
      <c r="AD196" s="100"/>
      <c r="AE196" s="100"/>
      <c r="AF19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96" s="88">
        <f>Programacion[[#This Row],[ENERO]]+Programacion[[#This Row],[FEBRERO]]+Programacion[[#This Row],[MARZO]]</f>
        <v>0</v>
      </c>
      <c r="AH196" s="88">
        <f>Programacion[[#This Row],[DEVENGADO ENERO]]+Programacion[[#This Row],[DEVENGADO FEBRERO]]+Programacion[[#This Row],[DEVENGADO MARZO]]</f>
        <v>0</v>
      </c>
      <c r="AI196" s="88">
        <f>Programacion[[#This Row],[ABRIL]]+Programacion[[#This Row],[MAYO]]+Programacion[[#This Row],[JUNIO]]</f>
        <v>14620</v>
      </c>
      <c r="AJ196" s="88">
        <f>Programacion[[#This Row],[DEVENGADO ABRIL]]+Programacion[[#This Row],[DEVENGADO MAYO]]+Programacion[[#This Row],[DEVENGADO JUNIO]]</f>
        <v>14620</v>
      </c>
      <c r="AK196" s="88">
        <f>Programacion[[#This Row],[JULIO]]+Programacion[[#This Row],[AGOSTO]]+Programacion[[#This Row],[SEPTIEMBRE]]</f>
        <v>0</v>
      </c>
      <c r="AL196" s="88">
        <f>Programacion[[#This Row],[DEVENGADO JULIO]]+Programacion[[#This Row],[DEVENGADO AGOSTO]]+Programacion[[#This Row],[DEVENGADO SEPTIEMBRE]]</f>
        <v>0</v>
      </c>
      <c r="AM196" s="88">
        <f>Programacion[[#This Row],[OCTUBRE]]+Programacion[[#This Row],[NOVIEMBRE]]+Programacion[[#This Row],[DICIEMBRE]]</f>
        <v>0.39</v>
      </c>
      <c r="AN196" s="89">
        <f>Programacion[[#This Row],[DEVENGADO OCTUBRE]]+Programacion[[#This Row],[DEVENGADO NOVIEMBRE]]+Programacion[[#This Row],[DEVENGADO DICIEMBRE]]</f>
        <v>0</v>
      </c>
      <c r="AO196" s="89">
        <f>Programacion[[#This Row],[ENERO]]+Programacion[[#This Row],[FEBRERO]]+Programacion[[#This Row],[MARZO]]+Programacion[[#This Row],[ABRIL]]+Programacion[[#This Row],[MAYO]]+Programacion[[#This Row],[JUNIO]]</f>
        <v>14620</v>
      </c>
      <c r="AP19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96" s="89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9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96" s="116"/>
    </row>
    <row r="197" spans="1:46" ht="30" x14ac:dyDescent="0.25">
      <c r="A197" s="95" t="s">
        <v>150</v>
      </c>
      <c r="B197" s="90" t="s">
        <v>162</v>
      </c>
      <c r="C197" s="91" t="s">
        <v>56</v>
      </c>
      <c r="D197" s="94" t="s">
        <v>152</v>
      </c>
      <c r="E197" s="92">
        <v>34</v>
      </c>
      <c r="F197" s="93">
        <v>2.2999999999999998</v>
      </c>
      <c r="G197" s="94" t="s">
        <v>57</v>
      </c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>
        <v>6000</v>
      </c>
      <c r="U197" s="88">
        <v>6000</v>
      </c>
      <c r="V197" s="88">
        <v>6000</v>
      </c>
      <c r="W197" s="88">
        <v>6000</v>
      </c>
      <c r="X197" s="88">
        <v>6000</v>
      </c>
      <c r="Y197" s="88">
        <v>6000</v>
      </c>
      <c r="Z197" s="88">
        <v>12000</v>
      </c>
      <c r="AA197" s="88"/>
      <c r="AB197" s="88"/>
      <c r="AC197" s="88"/>
      <c r="AD197" s="88"/>
      <c r="AE197" s="88"/>
      <c r="AF19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97" s="88">
        <f>Programacion[[#This Row],[ENERO]]+Programacion[[#This Row],[FEBRERO]]+Programacion[[#This Row],[MARZO]]</f>
        <v>0</v>
      </c>
      <c r="AH197" s="88">
        <f>Programacion[[#This Row],[DEVENGADO ENERO]]+Programacion[[#This Row],[DEVENGADO FEBRERO]]+Programacion[[#This Row],[DEVENGADO MARZO]]</f>
        <v>0</v>
      </c>
      <c r="AI197" s="88">
        <f>Programacion[[#This Row],[ABRIL]]+Programacion[[#This Row],[MAYO]]+Programacion[[#This Row],[JUNIO]]</f>
        <v>0</v>
      </c>
      <c r="AJ197" s="88">
        <f>Programacion[[#This Row],[DEVENGADO ABRIL]]+Programacion[[#This Row],[DEVENGADO MAYO]]+Programacion[[#This Row],[DEVENGADO JUNIO]]</f>
        <v>0</v>
      </c>
      <c r="AK197" s="88">
        <f>Programacion[[#This Row],[JULIO]]+Programacion[[#This Row],[AGOSTO]]+Programacion[[#This Row],[SEPTIEMBRE]]</f>
        <v>18000</v>
      </c>
      <c r="AL197" s="88">
        <f>Programacion[[#This Row],[DEVENGADO JULIO]]+Programacion[[#This Row],[DEVENGADO AGOSTO]]+Programacion[[#This Row],[DEVENGADO SEPTIEMBRE]]</f>
        <v>18000</v>
      </c>
      <c r="AM197" s="88">
        <f>Programacion[[#This Row],[OCTUBRE]]+Programacion[[#This Row],[NOVIEMBRE]]+Programacion[[#This Row],[DICIEMBRE]]</f>
        <v>12000</v>
      </c>
      <c r="AN197" s="97">
        <f>Programacion[[#This Row],[DEVENGADO OCTUBRE]]+Programacion[[#This Row],[DEVENGADO NOVIEMBRE]]+Programacion[[#This Row],[DEVENGADO DICIEMBRE]]</f>
        <v>0</v>
      </c>
      <c r="AO197" s="97">
        <f>Programacion[[#This Row],[ENERO]]+Programacion[[#This Row],[FEBRERO]]+Programacion[[#This Row],[MARZO]]+Programacion[[#This Row],[ABRIL]]+Programacion[[#This Row],[MAYO]]+Programacion[[#This Row],[JUNIO]]</f>
        <v>0</v>
      </c>
      <c r="AP19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7" s="97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19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197" s="116"/>
    </row>
    <row r="198" spans="1:46" x14ac:dyDescent="0.25">
      <c r="A198" s="95" t="s">
        <v>150</v>
      </c>
      <c r="B198" s="90" t="s">
        <v>163</v>
      </c>
      <c r="C198" s="91" t="s">
        <v>47</v>
      </c>
      <c r="D198" s="94" t="s">
        <v>152</v>
      </c>
      <c r="E198" s="92">
        <v>95</v>
      </c>
      <c r="F198" s="93">
        <v>2.2999999999999998</v>
      </c>
      <c r="G198" s="94" t="s">
        <v>49</v>
      </c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>
        <v>4368.07</v>
      </c>
      <c r="W198" s="88">
        <v>4368.07</v>
      </c>
      <c r="X198" s="88"/>
      <c r="Y198" s="88"/>
      <c r="Z198" s="88"/>
      <c r="AA198" s="88"/>
      <c r="AB198" s="88"/>
      <c r="AC198" s="88"/>
      <c r="AD198" s="88"/>
      <c r="AE198" s="88"/>
      <c r="AF19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198" s="88">
        <f>Programacion[[#This Row],[ENERO]]+Programacion[[#This Row],[FEBRERO]]+Programacion[[#This Row],[MARZO]]</f>
        <v>0</v>
      </c>
      <c r="AH198" s="88">
        <f>Programacion[[#This Row],[DEVENGADO ENERO]]+Programacion[[#This Row],[DEVENGADO FEBRERO]]+Programacion[[#This Row],[DEVENGADO MARZO]]</f>
        <v>0</v>
      </c>
      <c r="AI198" s="88">
        <f>Programacion[[#This Row],[ABRIL]]+Programacion[[#This Row],[MAYO]]+Programacion[[#This Row],[JUNIO]]</f>
        <v>0</v>
      </c>
      <c r="AJ198" s="88">
        <f>Programacion[[#This Row],[DEVENGADO ABRIL]]+Programacion[[#This Row],[DEVENGADO MAYO]]+Programacion[[#This Row],[DEVENGADO JUNIO]]</f>
        <v>0</v>
      </c>
      <c r="AK198" s="88">
        <f>Programacion[[#This Row],[JULIO]]+Programacion[[#This Row],[AGOSTO]]+Programacion[[#This Row],[SEPTIEMBRE]]</f>
        <v>4368.07</v>
      </c>
      <c r="AL198" s="88">
        <f>Programacion[[#This Row],[DEVENGADO JULIO]]+Programacion[[#This Row],[DEVENGADO AGOSTO]]+Programacion[[#This Row],[DEVENGADO SEPTIEMBRE]]</f>
        <v>4368.07</v>
      </c>
      <c r="AM198" s="88">
        <f>Programacion[[#This Row],[OCTUBRE]]+Programacion[[#This Row],[NOVIEMBRE]]+Programacion[[#This Row],[DICIEMBRE]]</f>
        <v>0</v>
      </c>
      <c r="AN198" s="97">
        <f>Programacion[[#This Row],[DEVENGADO OCTUBRE]]+Programacion[[#This Row],[DEVENGADO NOVIEMBRE]]+Programacion[[#This Row],[DEVENGADO DICIEMBRE]]</f>
        <v>0</v>
      </c>
      <c r="AO198" s="97">
        <f>Programacion[[#This Row],[ENERO]]+Programacion[[#This Row],[FEBRERO]]+Programacion[[#This Row],[MARZO]]+Programacion[[#This Row],[ABRIL]]+Programacion[[#This Row],[MAYO]]+Programacion[[#This Row],[JUNIO]]</f>
        <v>0</v>
      </c>
      <c r="AP19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8" s="97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19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19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198" s="116"/>
    </row>
    <row r="199" spans="1:46" x14ac:dyDescent="0.25">
      <c r="A199" s="95" t="s">
        <v>150</v>
      </c>
      <c r="B199" s="90" t="s">
        <v>164</v>
      </c>
      <c r="C199" s="91" t="s">
        <v>47</v>
      </c>
      <c r="D199" s="94" t="s">
        <v>152</v>
      </c>
      <c r="E199" s="92">
        <v>95</v>
      </c>
      <c r="F199" s="93">
        <v>2.2999999999999998</v>
      </c>
      <c r="G199" s="94" t="s">
        <v>51</v>
      </c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>
        <v>1656</v>
      </c>
      <c r="W199" s="88">
        <v>1656</v>
      </c>
      <c r="X199" s="88"/>
      <c r="Y199" s="88"/>
      <c r="Z199" s="88"/>
      <c r="AA199" s="88"/>
      <c r="AB199" s="88"/>
      <c r="AC199" s="88"/>
      <c r="AD199" s="88"/>
      <c r="AE199" s="88"/>
      <c r="AF199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199" s="88">
        <f>Programacion[[#This Row],[ENERO]]+Programacion[[#This Row],[FEBRERO]]+Programacion[[#This Row],[MARZO]]</f>
        <v>0</v>
      </c>
      <c r="AH199" s="88">
        <f>Programacion[[#This Row],[DEVENGADO ENERO]]+Programacion[[#This Row],[DEVENGADO FEBRERO]]+Programacion[[#This Row],[DEVENGADO MARZO]]</f>
        <v>0</v>
      </c>
      <c r="AI199" s="88">
        <f>Programacion[[#This Row],[ABRIL]]+Programacion[[#This Row],[MAYO]]+Programacion[[#This Row],[JUNIO]]</f>
        <v>0</v>
      </c>
      <c r="AJ199" s="88">
        <f>Programacion[[#This Row],[DEVENGADO ABRIL]]+Programacion[[#This Row],[DEVENGADO MAYO]]+Programacion[[#This Row],[DEVENGADO JUNIO]]</f>
        <v>0</v>
      </c>
      <c r="AK199" s="88">
        <f>Programacion[[#This Row],[JULIO]]+Programacion[[#This Row],[AGOSTO]]+Programacion[[#This Row],[SEPTIEMBRE]]</f>
        <v>1656</v>
      </c>
      <c r="AL199" s="88">
        <f>Programacion[[#This Row],[DEVENGADO JULIO]]+Programacion[[#This Row],[DEVENGADO AGOSTO]]+Programacion[[#This Row],[DEVENGADO SEPTIEMBRE]]</f>
        <v>1656</v>
      </c>
      <c r="AM199" s="88">
        <f>Programacion[[#This Row],[OCTUBRE]]+Programacion[[#This Row],[NOVIEMBRE]]+Programacion[[#This Row],[DICIEMBRE]]</f>
        <v>0</v>
      </c>
      <c r="AN199" s="88">
        <f>Programacion[[#This Row],[DEVENGADO OCTUBRE]]+Programacion[[#This Row],[DEVENGADO NOVIEMBRE]]+Programacion[[#This Row],[DEVENGADO DICIEMBRE]]</f>
        <v>0</v>
      </c>
      <c r="AO199" s="88">
        <f>Programacion[[#This Row],[ENERO]]+Programacion[[#This Row],[FEBRERO]]+Programacion[[#This Row],[MARZO]]+Programacion[[#This Row],[ABRIL]]+Programacion[[#This Row],[MAYO]]+Programacion[[#This Row],[JUNIO]]</f>
        <v>0</v>
      </c>
      <c r="AP199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9" s="88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199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1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199" s="116"/>
    </row>
    <row r="200" spans="1:46" x14ac:dyDescent="0.25">
      <c r="A200" s="95" t="s">
        <v>150</v>
      </c>
      <c r="B200" s="90" t="s">
        <v>165</v>
      </c>
      <c r="C200" s="91" t="s">
        <v>73</v>
      </c>
      <c r="D200" s="94" t="s">
        <v>152</v>
      </c>
      <c r="E200" s="92">
        <v>95</v>
      </c>
      <c r="F200" s="93">
        <v>2.2999999999999998</v>
      </c>
      <c r="G200" s="94" t="s">
        <v>74</v>
      </c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>
        <v>600</v>
      </c>
      <c r="W200" s="88">
        <v>600</v>
      </c>
      <c r="X200" s="88"/>
      <c r="Y200" s="88"/>
      <c r="Z200" s="88"/>
      <c r="AA200" s="88"/>
      <c r="AB200" s="88"/>
      <c r="AC200" s="88"/>
      <c r="AD200" s="88"/>
      <c r="AE200" s="88"/>
      <c r="AF200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00" s="88">
        <f>Programacion[[#This Row],[ENERO]]+Programacion[[#This Row],[FEBRERO]]+Programacion[[#This Row],[MARZO]]</f>
        <v>0</v>
      </c>
      <c r="AH200" s="88">
        <f>Programacion[[#This Row],[DEVENGADO ENERO]]+Programacion[[#This Row],[DEVENGADO FEBRERO]]+Programacion[[#This Row],[DEVENGADO MARZO]]</f>
        <v>0</v>
      </c>
      <c r="AI200" s="88">
        <f>Programacion[[#This Row],[ABRIL]]+Programacion[[#This Row],[MAYO]]+Programacion[[#This Row],[JUNIO]]</f>
        <v>0</v>
      </c>
      <c r="AJ200" s="88">
        <f>Programacion[[#This Row],[DEVENGADO ABRIL]]+Programacion[[#This Row],[DEVENGADO MAYO]]+Programacion[[#This Row],[DEVENGADO JUNIO]]</f>
        <v>0</v>
      </c>
      <c r="AK200" s="88">
        <f>Programacion[[#This Row],[JULIO]]+Programacion[[#This Row],[AGOSTO]]+Programacion[[#This Row],[SEPTIEMBRE]]</f>
        <v>600</v>
      </c>
      <c r="AL200" s="88">
        <f>Programacion[[#This Row],[DEVENGADO JULIO]]+Programacion[[#This Row],[DEVENGADO AGOSTO]]+Programacion[[#This Row],[DEVENGADO SEPTIEMBRE]]</f>
        <v>600</v>
      </c>
      <c r="AM200" s="88">
        <f>Programacion[[#This Row],[OCTUBRE]]+Programacion[[#This Row],[NOVIEMBRE]]+Programacion[[#This Row],[DICIEMBRE]]</f>
        <v>0</v>
      </c>
      <c r="AN200" s="97">
        <f>Programacion[[#This Row],[DEVENGADO OCTUBRE]]+Programacion[[#This Row],[DEVENGADO NOVIEMBRE]]+Programacion[[#This Row],[DEVENGADO DICIEMBRE]]</f>
        <v>0</v>
      </c>
      <c r="AO200" s="97">
        <f>Programacion[[#This Row],[ENERO]]+Programacion[[#This Row],[FEBRERO]]+Programacion[[#This Row],[MARZO]]+Programacion[[#This Row],[ABRIL]]+Programacion[[#This Row],[MAYO]]+Programacion[[#This Row],[JUNIO]]</f>
        <v>0</v>
      </c>
      <c r="AP200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0" s="97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200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200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00" s="116"/>
    </row>
    <row r="201" spans="1:46" ht="30" x14ac:dyDescent="0.25">
      <c r="A201" s="99" t="s">
        <v>150</v>
      </c>
      <c r="B201" s="90" t="s">
        <v>166</v>
      </c>
      <c r="C201" s="81" t="s">
        <v>56</v>
      </c>
      <c r="D201" s="81" t="s">
        <v>152</v>
      </c>
      <c r="E201" s="82">
        <v>95</v>
      </c>
      <c r="F201" s="83">
        <v>2.2999999999999998</v>
      </c>
      <c r="G201" s="81" t="s">
        <v>57</v>
      </c>
      <c r="H201" s="81"/>
      <c r="I201" s="84"/>
      <c r="J201" s="84"/>
      <c r="K201" s="84"/>
      <c r="L201" s="84">
        <v>12000</v>
      </c>
      <c r="M201" s="84">
        <v>12000</v>
      </c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5"/>
      <c r="AB201" s="100"/>
      <c r="AC201" s="100"/>
      <c r="AD201" s="100"/>
      <c r="AE201" s="100"/>
      <c r="AF20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01" s="88">
        <f>Programacion[[#This Row],[ENERO]]+Programacion[[#This Row],[FEBRERO]]+Programacion[[#This Row],[MARZO]]</f>
        <v>12000</v>
      </c>
      <c r="AH201" s="88">
        <f>Programacion[[#This Row],[DEVENGADO ENERO]]+Programacion[[#This Row],[DEVENGADO FEBRERO]]+Programacion[[#This Row],[DEVENGADO MARZO]]</f>
        <v>12000</v>
      </c>
      <c r="AI201" s="88">
        <f>Programacion[[#This Row],[ABRIL]]+Programacion[[#This Row],[MAYO]]+Programacion[[#This Row],[JUNIO]]</f>
        <v>0</v>
      </c>
      <c r="AJ201" s="88">
        <f>Programacion[[#This Row],[DEVENGADO ABRIL]]+Programacion[[#This Row],[DEVENGADO MAYO]]+Programacion[[#This Row],[DEVENGADO JUNIO]]</f>
        <v>0</v>
      </c>
      <c r="AK201" s="88">
        <f>Programacion[[#This Row],[JULIO]]+Programacion[[#This Row],[AGOSTO]]+Programacion[[#This Row],[SEPTIEMBRE]]</f>
        <v>0</v>
      </c>
      <c r="AL201" s="88">
        <f>Programacion[[#This Row],[DEVENGADO JULIO]]+Programacion[[#This Row],[DEVENGADO AGOSTO]]+Programacion[[#This Row],[DEVENGADO SEPTIEMBRE]]</f>
        <v>0</v>
      </c>
      <c r="AM201" s="88">
        <f>Programacion[[#This Row],[OCTUBRE]]+Programacion[[#This Row],[NOVIEMBRE]]+Programacion[[#This Row],[DICIEMBRE]]</f>
        <v>0</v>
      </c>
      <c r="AN201" s="89">
        <f>Programacion[[#This Row],[DEVENGADO OCTUBRE]]+Programacion[[#This Row],[DEVENGADO NOVIEMBRE]]+Programacion[[#This Row],[DEVENGADO DICIEMBRE]]</f>
        <v>0</v>
      </c>
      <c r="AO201" s="89">
        <f>Programacion[[#This Row],[ENERO]]+Programacion[[#This Row],[FEBRERO]]+Programacion[[#This Row],[MARZO]]+Programacion[[#This Row],[ABRIL]]+Programacion[[#This Row],[MAYO]]+Programacion[[#This Row],[JUNIO]]</f>
        <v>12000</v>
      </c>
      <c r="AP20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0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01" s="116"/>
    </row>
    <row r="202" spans="1:46" ht="30" x14ac:dyDescent="0.25">
      <c r="A202" s="99" t="s">
        <v>150</v>
      </c>
      <c r="B202" s="90" t="s">
        <v>167</v>
      </c>
      <c r="C202" s="91" t="s">
        <v>56</v>
      </c>
      <c r="D202" s="94" t="s">
        <v>152</v>
      </c>
      <c r="E202" s="92">
        <v>95</v>
      </c>
      <c r="F202" s="93">
        <v>2.2999999999999998</v>
      </c>
      <c r="G202" s="94" t="s">
        <v>57</v>
      </c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>
        <v>2000</v>
      </c>
      <c r="U202" s="88">
        <v>2000</v>
      </c>
      <c r="V202" s="88">
        <v>2000</v>
      </c>
      <c r="W202" s="88">
        <v>2000</v>
      </c>
      <c r="X202" s="88"/>
      <c r="Y202" s="88"/>
      <c r="Z202" s="88"/>
      <c r="AA202" s="88"/>
      <c r="AB202" s="88"/>
      <c r="AC202" s="88"/>
      <c r="AD202" s="88"/>
      <c r="AE202" s="88"/>
      <c r="AF202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202" s="88">
        <f>Programacion[[#This Row],[ENERO]]+Programacion[[#This Row],[FEBRERO]]+Programacion[[#This Row],[MARZO]]</f>
        <v>0</v>
      </c>
      <c r="AH202" s="88">
        <f>Programacion[[#This Row],[DEVENGADO ENERO]]+Programacion[[#This Row],[DEVENGADO FEBRERO]]+Programacion[[#This Row],[DEVENGADO MARZO]]</f>
        <v>0</v>
      </c>
      <c r="AI202" s="88">
        <f>Programacion[[#This Row],[ABRIL]]+Programacion[[#This Row],[MAYO]]+Programacion[[#This Row],[JUNIO]]</f>
        <v>0</v>
      </c>
      <c r="AJ202" s="88">
        <f>Programacion[[#This Row],[DEVENGADO ABRIL]]+Programacion[[#This Row],[DEVENGADO MAYO]]+Programacion[[#This Row],[DEVENGADO JUNIO]]</f>
        <v>0</v>
      </c>
      <c r="AK202" s="88">
        <f>Programacion[[#This Row],[JULIO]]+Programacion[[#This Row],[AGOSTO]]+Programacion[[#This Row],[SEPTIEMBRE]]</f>
        <v>4000</v>
      </c>
      <c r="AL202" s="88">
        <f>Programacion[[#This Row],[DEVENGADO JULIO]]+Programacion[[#This Row],[DEVENGADO AGOSTO]]+Programacion[[#This Row],[DEVENGADO SEPTIEMBRE]]</f>
        <v>4000</v>
      </c>
      <c r="AM202" s="88">
        <f>Programacion[[#This Row],[OCTUBRE]]+Programacion[[#This Row],[NOVIEMBRE]]+Programacion[[#This Row],[DICIEMBRE]]</f>
        <v>0</v>
      </c>
      <c r="AN202" s="88">
        <f>Programacion[[#This Row],[DEVENGADO OCTUBRE]]+Programacion[[#This Row],[DEVENGADO NOVIEMBRE]]+Programacion[[#This Row],[DEVENGADO DICIEMBRE]]</f>
        <v>0</v>
      </c>
      <c r="AO202" s="88">
        <f>Programacion[[#This Row],[ENERO]]+Programacion[[#This Row],[FEBRERO]]+Programacion[[#This Row],[MARZO]]+Programacion[[#This Row],[ABRIL]]+Programacion[[#This Row],[MAYO]]+Programacion[[#This Row],[JUNIO]]</f>
        <v>0</v>
      </c>
      <c r="AP202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88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202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0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02" s="116"/>
    </row>
    <row r="203" spans="1:46" x14ac:dyDescent="0.25">
      <c r="A203" s="99" t="s">
        <v>150</v>
      </c>
      <c r="B203" s="90" t="s">
        <v>168</v>
      </c>
      <c r="C203" s="81" t="s">
        <v>169</v>
      </c>
      <c r="D203" s="81" t="s">
        <v>152</v>
      </c>
      <c r="E203" s="82">
        <v>95</v>
      </c>
      <c r="F203" s="83">
        <v>2.2999999999999998</v>
      </c>
      <c r="G203" s="81" t="s">
        <v>170</v>
      </c>
      <c r="H203" s="81"/>
      <c r="I203" s="84"/>
      <c r="J203" s="84"/>
      <c r="K203" s="84"/>
      <c r="L203" s="84"/>
      <c r="M203" s="84"/>
      <c r="N203" s="84"/>
      <c r="O203" s="84"/>
      <c r="P203" s="84"/>
      <c r="Q203" s="84"/>
      <c r="R203" s="84">
        <v>600</v>
      </c>
      <c r="S203" s="84">
        <v>600</v>
      </c>
      <c r="T203" s="84"/>
      <c r="U203" s="84"/>
      <c r="V203" s="84"/>
      <c r="W203" s="84"/>
      <c r="X203" s="84"/>
      <c r="Y203" s="84"/>
      <c r="Z203" s="84"/>
      <c r="AA203" s="85"/>
      <c r="AB203" s="100"/>
      <c r="AC203" s="100"/>
      <c r="AD203" s="100"/>
      <c r="AE203" s="100"/>
      <c r="AF203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03" s="88">
        <f>Programacion[[#This Row],[ENERO]]+Programacion[[#This Row],[FEBRERO]]+Programacion[[#This Row],[MARZO]]</f>
        <v>0</v>
      </c>
      <c r="AH203" s="88">
        <f>Programacion[[#This Row],[DEVENGADO ENERO]]+Programacion[[#This Row],[DEVENGADO FEBRERO]]+Programacion[[#This Row],[DEVENGADO MARZO]]</f>
        <v>0</v>
      </c>
      <c r="AI203" s="88">
        <f>Programacion[[#This Row],[ABRIL]]+Programacion[[#This Row],[MAYO]]+Programacion[[#This Row],[JUNIO]]</f>
        <v>600</v>
      </c>
      <c r="AJ203" s="88">
        <f>Programacion[[#This Row],[DEVENGADO ABRIL]]+Programacion[[#This Row],[DEVENGADO MAYO]]+Programacion[[#This Row],[DEVENGADO JUNIO]]</f>
        <v>600</v>
      </c>
      <c r="AK203" s="88">
        <f>Programacion[[#This Row],[JULIO]]+Programacion[[#This Row],[AGOSTO]]+Programacion[[#This Row],[SEPTIEMBRE]]</f>
        <v>0</v>
      </c>
      <c r="AL203" s="88">
        <f>Programacion[[#This Row],[DEVENGADO JULIO]]+Programacion[[#This Row],[DEVENGADO AGOSTO]]+Programacion[[#This Row],[DEVENGADO SEPTIEMBRE]]</f>
        <v>0</v>
      </c>
      <c r="AM203" s="88">
        <f>Programacion[[#This Row],[OCTUBRE]]+Programacion[[#This Row],[NOVIEMBRE]]+Programacion[[#This Row],[DICIEMBRE]]</f>
        <v>0</v>
      </c>
      <c r="AN203" s="89">
        <f>Programacion[[#This Row],[DEVENGADO OCTUBRE]]+Programacion[[#This Row],[DEVENGADO NOVIEMBRE]]+Programacion[[#This Row],[DEVENGADO DICIEMBRE]]</f>
        <v>0</v>
      </c>
      <c r="AO203" s="89">
        <f>Programacion[[#This Row],[ENERO]]+Programacion[[#This Row],[FEBRERO]]+Programacion[[#This Row],[MARZO]]+Programacion[[#This Row],[ABRIL]]+Programacion[[#This Row],[MAYO]]+Programacion[[#This Row],[JUNIO]]</f>
        <v>600</v>
      </c>
      <c r="AP203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203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3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03" s="116"/>
    </row>
    <row r="204" spans="1:46" x14ac:dyDescent="0.25">
      <c r="A204" s="99" t="s">
        <v>150</v>
      </c>
      <c r="B204" s="90" t="s">
        <v>171</v>
      </c>
      <c r="C204" s="81" t="s">
        <v>73</v>
      </c>
      <c r="D204" s="81" t="s">
        <v>152</v>
      </c>
      <c r="E204" s="82">
        <v>95</v>
      </c>
      <c r="F204" s="83">
        <v>2.2999999999999998</v>
      </c>
      <c r="G204" s="81" t="s">
        <v>74</v>
      </c>
      <c r="H204" s="81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>
        <v>900</v>
      </c>
      <c r="U204" s="84">
        <v>900</v>
      </c>
      <c r="V204" s="84"/>
      <c r="W204" s="84"/>
      <c r="X204" s="84"/>
      <c r="Y204" s="84"/>
      <c r="Z204" s="84"/>
      <c r="AA204" s="85"/>
      <c r="AB204" s="100"/>
      <c r="AC204" s="100"/>
      <c r="AD204" s="100"/>
      <c r="AE204" s="100"/>
      <c r="AF20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204" s="88">
        <f>Programacion[[#This Row],[ENERO]]+Programacion[[#This Row],[FEBRERO]]+Programacion[[#This Row],[MARZO]]</f>
        <v>0</v>
      </c>
      <c r="AH204" s="88">
        <f>Programacion[[#This Row],[DEVENGADO ENERO]]+Programacion[[#This Row],[DEVENGADO FEBRERO]]+Programacion[[#This Row],[DEVENGADO MARZO]]</f>
        <v>0</v>
      </c>
      <c r="AI204" s="88">
        <f>Programacion[[#This Row],[ABRIL]]+Programacion[[#This Row],[MAYO]]+Programacion[[#This Row],[JUNIO]]</f>
        <v>0</v>
      </c>
      <c r="AJ204" s="88">
        <f>Programacion[[#This Row],[DEVENGADO ABRIL]]+Programacion[[#This Row],[DEVENGADO MAYO]]+Programacion[[#This Row],[DEVENGADO JUNIO]]</f>
        <v>0</v>
      </c>
      <c r="AK204" s="88">
        <f>Programacion[[#This Row],[JULIO]]+Programacion[[#This Row],[AGOSTO]]+Programacion[[#This Row],[SEPTIEMBRE]]</f>
        <v>900</v>
      </c>
      <c r="AL204" s="88">
        <f>Programacion[[#This Row],[DEVENGADO JULIO]]+Programacion[[#This Row],[DEVENGADO AGOSTO]]+Programacion[[#This Row],[DEVENGADO SEPTIEMBRE]]</f>
        <v>900</v>
      </c>
      <c r="AM204" s="88">
        <f>Programacion[[#This Row],[OCTUBRE]]+Programacion[[#This Row],[NOVIEMBRE]]+Programacion[[#This Row],[DICIEMBRE]]</f>
        <v>0</v>
      </c>
      <c r="AN204" s="89">
        <f>Programacion[[#This Row],[DEVENGADO OCTUBRE]]+Programacion[[#This Row],[DEVENGADO NOVIEMBRE]]+Programacion[[#This Row],[DEVENGADO DICIEMBRE]]</f>
        <v>0</v>
      </c>
      <c r="AO204" s="89">
        <f>Programacion[[#This Row],[ENERO]]+Programacion[[#This Row],[FEBRERO]]+Programacion[[#This Row],[MARZO]]+Programacion[[#This Row],[ABRIL]]+Programacion[[#This Row],[MAYO]]+Programacion[[#This Row],[JUNIO]]</f>
        <v>0</v>
      </c>
      <c r="AP20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89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20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2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204" s="116"/>
    </row>
    <row r="205" spans="1:46" ht="30" x14ac:dyDescent="0.25">
      <c r="A205" s="99" t="s">
        <v>150</v>
      </c>
      <c r="B205" s="90" t="s">
        <v>172</v>
      </c>
      <c r="C205" s="81" t="s">
        <v>56</v>
      </c>
      <c r="D205" s="81" t="s">
        <v>152</v>
      </c>
      <c r="E205" s="82">
        <v>95</v>
      </c>
      <c r="F205" s="83">
        <v>2.2999999999999998</v>
      </c>
      <c r="G205" s="81" t="s">
        <v>57</v>
      </c>
      <c r="H205" s="81"/>
      <c r="I205" s="84"/>
      <c r="J205" s="84"/>
      <c r="K205" s="84"/>
      <c r="L205" s="84"/>
      <c r="M205" s="84"/>
      <c r="N205" s="84">
        <v>5000</v>
      </c>
      <c r="O205" s="84">
        <v>5000</v>
      </c>
      <c r="P205" s="84">
        <v>5000</v>
      </c>
      <c r="Q205" s="84">
        <v>5000</v>
      </c>
      <c r="R205" s="84"/>
      <c r="S205" s="84"/>
      <c r="T205" s="84"/>
      <c r="U205" s="84"/>
      <c r="V205" s="84"/>
      <c r="W205" s="84"/>
      <c r="X205" s="84"/>
      <c r="Y205" s="84"/>
      <c r="Z205" s="84"/>
      <c r="AA205" s="85"/>
      <c r="AB205" s="100"/>
      <c r="AC205" s="100"/>
      <c r="AD205" s="100"/>
      <c r="AE205" s="100"/>
      <c r="AF20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05" s="88">
        <f>Programacion[[#This Row],[ENERO]]+Programacion[[#This Row],[FEBRERO]]+Programacion[[#This Row],[MARZO]]</f>
        <v>0</v>
      </c>
      <c r="AH205" s="88">
        <f>Programacion[[#This Row],[DEVENGADO ENERO]]+Programacion[[#This Row],[DEVENGADO FEBRERO]]+Programacion[[#This Row],[DEVENGADO MARZO]]</f>
        <v>0</v>
      </c>
      <c r="AI205" s="88">
        <f>Programacion[[#This Row],[ABRIL]]+Programacion[[#This Row],[MAYO]]+Programacion[[#This Row],[JUNIO]]</f>
        <v>10000</v>
      </c>
      <c r="AJ205" s="88">
        <f>Programacion[[#This Row],[DEVENGADO ABRIL]]+Programacion[[#This Row],[DEVENGADO MAYO]]+Programacion[[#This Row],[DEVENGADO JUNIO]]</f>
        <v>10000</v>
      </c>
      <c r="AK205" s="88">
        <f>Programacion[[#This Row],[JULIO]]+Programacion[[#This Row],[AGOSTO]]+Programacion[[#This Row],[SEPTIEMBRE]]</f>
        <v>0</v>
      </c>
      <c r="AL205" s="88">
        <f>Programacion[[#This Row],[DEVENGADO JULIO]]+Programacion[[#This Row],[DEVENGADO AGOSTO]]+Programacion[[#This Row],[DEVENGADO SEPTIEMBRE]]</f>
        <v>0</v>
      </c>
      <c r="AM205" s="88">
        <f>Programacion[[#This Row],[OCTUBRE]]+Programacion[[#This Row],[NOVIEMBRE]]+Programacion[[#This Row],[DICIEMBRE]]</f>
        <v>0</v>
      </c>
      <c r="AN205" s="89">
        <f>Programacion[[#This Row],[DEVENGADO OCTUBRE]]+Programacion[[#This Row],[DEVENGADO NOVIEMBRE]]+Programacion[[#This Row],[DEVENGADO DICIEMBRE]]</f>
        <v>0</v>
      </c>
      <c r="AO205" s="89">
        <f>Programacion[[#This Row],[ENERO]]+Programacion[[#This Row],[FEBRERO]]+Programacion[[#This Row],[MARZO]]+Programacion[[#This Row],[ABRIL]]+Programacion[[#This Row],[MAYO]]+Programacion[[#This Row],[JUNIO]]</f>
        <v>10000</v>
      </c>
      <c r="AP20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0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05" s="116"/>
    </row>
    <row r="206" spans="1:46" ht="45" x14ac:dyDescent="0.25">
      <c r="A206" s="99" t="s">
        <v>150</v>
      </c>
      <c r="B206" s="90" t="s">
        <v>173</v>
      </c>
      <c r="C206" s="91" t="s">
        <v>56</v>
      </c>
      <c r="D206" s="81" t="s">
        <v>152</v>
      </c>
      <c r="E206" s="92">
        <v>99</v>
      </c>
      <c r="F206" s="93">
        <v>2.2999999999999998</v>
      </c>
      <c r="G206" s="94" t="s">
        <v>57</v>
      </c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>
        <v>7200</v>
      </c>
      <c r="Y206" s="88"/>
      <c r="Z206" s="88">
        <v>7200</v>
      </c>
      <c r="AA206" s="88"/>
      <c r="AB206" s="88"/>
      <c r="AC206" s="88"/>
      <c r="AD206" s="88"/>
      <c r="AE206" s="88"/>
      <c r="AF20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14400</v>
      </c>
      <c r="AG206" s="88">
        <f>Programacion[[#This Row],[ENERO]]+Programacion[[#This Row],[FEBRERO]]+Programacion[[#This Row],[MARZO]]</f>
        <v>0</v>
      </c>
      <c r="AH206" s="88">
        <f>Programacion[[#This Row],[DEVENGADO ENERO]]+Programacion[[#This Row],[DEVENGADO FEBRERO]]+Programacion[[#This Row],[DEVENGADO MARZO]]</f>
        <v>0</v>
      </c>
      <c r="AI206" s="88">
        <f>Programacion[[#This Row],[ABRIL]]+Programacion[[#This Row],[MAYO]]+Programacion[[#This Row],[JUNIO]]</f>
        <v>0</v>
      </c>
      <c r="AJ206" s="88">
        <f>Programacion[[#This Row],[DEVENGADO ABRIL]]+Programacion[[#This Row],[DEVENGADO MAYO]]+Programacion[[#This Row],[DEVENGADO JUNIO]]</f>
        <v>0</v>
      </c>
      <c r="AK206" s="88">
        <f>Programacion[[#This Row],[JULIO]]+Programacion[[#This Row],[AGOSTO]]+Programacion[[#This Row],[SEPTIEMBRE]]</f>
        <v>7200</v>
      </c>
      <c r="AL206" s="88">
        <f>Programacion[[#This Row],[DEVENGADO JULIO]]+Programacion[[#This Row],[DEVENGADO AGOSTO]]+Programacion[[#This Row],[DEVENGADO SEPTIEMBRE]]</f>
        <v>0</v>
      </c>
      <c r="AM206" s="88">
        <f>Programacion[[#This Row],[OCTUBRE]]+Programacion[[#This Row],[NOVIEMBRE]]+Programacion[[#This Row],[DICIEMBRE]]</f>
        <v>7200</v>
      </c>
      <c r="AN206" s="97">
        <f>Programacion[[#This Row],[DEVENGADO OCTUBRE]]+Programacion[[#This Row],[DEVENGADO NOVIEMBRE]]+Programacion[[#This Row],[DEVENGADO DICIEMBRE]]</f>
        <v>0</v>
      </c>
      <c r="AO206" s="97">
        <f>Programacion[[#This Row],[ENERO]]+Programacion[[#This Row],[FEBRERO]]+Programacion[[#This Row],[MARZO]]+Programacion[[#This Row],[ABRIL]]+Programacion[[#This Row],[MAYO]]+Programacion[[#This Row],[JUNIO]]</f>
        <v>0</v>
      </c>
      <c r="AP20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97">
        <f>Programacion[[#This Row],[JULIO]]+Programacion[[#This Row],[AGOSTO]]+Programacion[[#This Row],[SEPTIEMBRE]]+Programacion[[#This Row],[OCTUBRE]]+Programacion[[#This Row],[NOVIEMBRE]]+Programacion[[#This Row],[DICIEMBRE]]</f>
        <v>14400</v>
      </c>
      <c r="AR20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6" s="116"/>
    </row>
    <row r="207" spans="1:46" x14ac:dyDescent="0.25">
      <c r="A207" s="99" t="s">
        <v>150</v>
      </c>
      <c r="B207" s="90" t="s">
        <v>174</v>
      </c>
      <c r="C207" s="81" t="s">
        <v>175</v>
      </c>
      <c r="D207" s="81" t="s">
        <v>152</v>
      </c>
      <c r="E207" s="82">
        <v>95</v>
      </c>
      <c r="F207" s="83">
        <v>2.2999999999999998</v>
      </c>
      <c r="G207" s="81" t="s">
        <v>176</v>
      </c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>
        <v>35</v>
      </c>
      <c r="S207" s="88">
        <v>35</v>
      </c>
      <c r="T207" s="88"/>
      <c r="U207" s="88"/>
      <c r="V207" s="88"/>
      <c r="W207" s="88"/>
      <c r="X207" s="88"/>
      <c r="Y207" s="88"/>
      <c r="Z207" s="88"/>
      <c r="AA207" s="88"/>
      <c r="AB207" s="88"/>
      <c r="AC207" s="88"/>
      <c r="AD207" s="88"/>
      <c r="AE207" s="88"/>
      <c r="AF207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207" s="88">
        <f>Programacion[[#This Row],[ENERO]]+Programacion[[#This Row],[FEBRERO]]+Programacion[[#This Row],[MARZO]]</f>
        <v>0</v>
      </c>
      <c r="AH207" s="88">
        <f>Programacion[[#This Row],[DEVENGADO ENERO]]+Programacion[[#This Row],[DEVENGADO FEBRERO]]+Programacion[[#This Row],[DEVENGADO MARZO]]</f>
        <v>0</v>
      </c>
      <c r="AI207" s="88">
        <f>Programacion[[#This Row],[ABRIL]]+Programacion[[#This Row],[MAYO]]+Programacion[[#This Row],[JUNIO]]</f>
        <v>35</v>
      </c>
      <c r="AJ207" s="88">
        <f>Programacion[[#This Row],[DEVENGADO ABRIL]]+Programacion[[#This Row],[DEVENGADO MAYO]]+Programacion[[#This Row],[DEVENGADO JUNIO]]</f>
        <v>35</v>
      </c>
      <c r="AK207" s="88">
        <f>Programacion[[#This Row],[JULIO]]+Programacion[[#This Row],[AGOSTO]]+Programacion[[#This Row],[SEPTIEMBRE]]</f>
        <v>0</v>
      </c>
      <c r="AL207" s="88">
        <f>Programacion[[#This Row],[DEVENGADO JULIO]]+Programacion[[#This Row],[DEVENGADO AGOSTO]]+Programacion[[#This Row],[DEVENGADO SEPTIEMBRE]]</f>
        <v>0</v>
      </c>
      <c r="AM207" s="88">
        <f>Programacion[[#This Row],[OCTUBRE]]+Programacion[[#This Row],[NOVIEMBRE]]+Programacion[[#This Row],[DICIEMBRE]]</f>
        <v>0</v>
      </c>
      <c r="AN207" s="89">
        <f>Programacion[[#This Row],[DEVENGADO OCTUBRE]]+Programacion[[#This Row],[DEVENGADO NOVIEMBRE]]+Programacion[[#This Row],[DEVENGADO DICIEMBRE]]</f>
        <v>0</v>
      </c>
      <c r="AO207" s="89">
        <f>Programacion[[#This Row],[ENERO]]+Programacion[[#This Row],[FEBRERO]]+Programacion[[#This Row],[MARZO]]+Programacion[[#This Row],[ABRIL]]+Programacion[[#This Row],[MAYO]]+Programacion[[#This Row],[JUNIO]]</f>
        <v>35</v>
      </c>
      <c r="AP20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20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207" s="116"/>
    </row>
    <row r="208" spans="1:46" x14ac:dyDescent="0.25">
      <c r="A208" s="99" t="s">
        <v>150</v>
      </c>
      <c r="B208" s="90" t="s">
        <v>177</v>
      </c>
      <c r="C208" s="81" t="s">
        <v>56</v>
      </c>
      <c r="D208" s="81" t="s">
        <v>152</v>
      </c>
      <c r="E208" s="82">
        <v>95</v>
      </c>
      <c r="F208" s="83">
        <v>2.2999999999999998</v>
      </c>
      <c r="G208" s="81" t="s">
        <v>57</v>
      </c>
      <c r="H208" s="81"/>
      <c r="I208" s="84"/>
      <c r="J208" s="84"/>
      <c r="K208" s="84"/>
      <c r="L208" s="84">
        <v>2800</v>
      </c>
      <c r="M208" s="84">
        <v>2800</v>
      </c>
      <c r="N208" s="84"/>
      <c r="O208" s="84"/>
      <c r="P208" s="84">
        <v>4200</v>
      </c>
      <c r="Q208" s="84">
        <v>4200</v>
      </c>
      <c r="R208" s="84"/>
      <c r="S208" s="84"/>
      <c r="T208" s="84"/>
      <c r="U208" s="84"/>
      <c r="V208" s="84"/>
      <c r="W208" s="84"/>
      <c r="X208" s="84"/>
      <c r="Y208" s="84"/>
      <c r="Z208" s="84"/>
      <c r="AA208" s="85"/>
      <c r="AB208" s="100"/>
      <c r="AC208" s="100"/>
      <c r="AD208" s="100"/>
      <c r="AE208" s="100"/>
      <c r="AF20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08" s="88">
        <f>Programacion[[#This Row],[ENERO]]+Programacion[[#This Row],[FEBRERO]]+Programacion[[#This Row],[MARZO]]</f>
        <v>2800</v>
      </c>
      <c r="AH208" s="88">
        <f>Programacion[[#This Row],[DEVENGADO ENERO]]+Programacion[[#This Row],[DEVENGADO FEBRERO]]+Programacion[[#This Row],[DEVENGADO MARZO]]</f>
        <v>2800</v>
      </c>
      <c r="AI208" s="88">
        <f>Programacion[[#This Row],[ABRIL]]+Programacion[[#This Row],[MAYO]]+Programacion[[#This Row],[JUNIO]]</f>
        <v>4200</v>
      </c>
      <c r="AJ208" s="88">
        <f>Programacion[[#This Row],[DEVENGADO ABRIL]]+Programacion[[#This Row],[DEVENGADO MAYO]]+Programacion[[#This Row],[DEVENGADO JUNIO]]</f>
        <v>4200</v>
      </c>
      <c r="AK208" s="88">
        <f>Programacion[[#This Row],[JULIO]]+Programacion[[#This Row],[AGOSTO]]+Programacion[[#This Row],[SEPTIEMBRE]]</f>
        <v>0</v>
      </c>
      <c r="AL208" s="88">
        <f>Programacion[[#This Row],[DEVENGADO JULIO]]+Programacion[[#This Row],[DEVENGADO AGOSTO]]+Programacion[[#This Row],[DEVENGADO SEPTIEMBRE]]</f>
        <v>0</v>
      </c>
      <c r="AM208" s="88">
        <f>Programacion[[#This Row],[OCTUBRE]]+Programacion[[#This Row],[NOVIEMBRE]]+Programacion[[#This Row],[DICIEMBRE]]</f>
        <v>0</v>
      </c>
      <c r="AN208" s="89">
        <f>Programacion[[#This Row],[DEVENGADO OCTUBRE]]+Programacion[[#This Row],[DEVENGADO NOVIEMBRE]]+Programacion[[#This Row],[DEVENGADO DICIEMBRE]]</f>
        <v>0</v>
      </c>
      <c r="AO208" s="89">
        <f>Programacion[[#This Row],[ENERO]]+Programacion[[#This Row],[FEBRERO]]+Programacion[[#This Row],[MARZO]]+Programacion[[#This Row],[ABRIL]]+Programacion[[#This Row],[MAYO]]+Programacion[[#This Row],[JUNIO]]</f>
        <v>7000</v>
      </c>
      <c r="AP20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20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208" s="116"/>
    </row>
    <row r="209" spans="1:46" ht="30" x14ac:dyDescent="0.25">
      <c r="A209" s="99" t="s">
        <v>150</v>
      </c>
      <c r="B209" s="90" t="s">
        <v>178</v>
      </c>
      <c r="C209" s="81" t="s">
        <v>56</v>
      </c>
      <c r="D209" s="81" t="s">
        <v>152</v>
      </c>
      <c r="E209" s="82">
        <v>96</v>
      </c>
      <c r="F209" s="83">
        <v>2.2999999999999998</v>
      </c>
      <c r="G209" s="81" t="s">
        <v>57</v>
      </c>
      <c r="H209" s="81">
        <v>10500</v>
      </c>
      <c r="I209" s="84">
        <v>10500</v>
      </c>
      <c r="J209" s="84"/>
      <c r="K209" s="84"/>
      <c r="L209" s="84">
        <v>10500</v>
      </c>
      <c r="M209" s="84">
        <v>10500</v>
      </c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5"/>
      <c r="AB209" s="100"/>
      <c r="AC209" s="100"/>
      <c r="AD209" s="100"/>
      <c r="AE209" s="100"/>
      <c r="AF20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209" s="88">
        <f>Programacion[[#This Row],[ENERO]]+Programacion[[#This Row],[FEBRERO]]+Programacion[[#This Row],[MARZO]]</f>
        <v>21000</v>
      </c>
      <c r="AH209" s="88">
        <f>Programacion[[#This Row],[DEVENGADO ENERO]]+Programacion[[#This Row],[DEVENGADO FEBRERO]]+Programacion[[#This Row],[DEVENGADO MARZO]]</f>
        <v>21000</v>
      </c>
      <c r="AI209" s="88">
        <f>Programacion[[#This Row],[ABRIL]]+Programacion[[#This Row],[MAYO]]+Programacion[[#This Row],[JUNIO]]</f>
        <v>0</v>
      </c>
      <c r="AJ209" s="88">
        <f>Programacion[[#This Row],[DEVENGADO ABRIL]]+Programacion[[#This Row],[DEVENGADO MAYO]]+Programacion[[#This Row],[DEVENGADO JUNIO]]</f>
        <v>0</v>
      </c>
      <c r="AK209" s="88">
        <f>Programacion[[#This Row],[JULIO]]+Programacion[[#This Row],[AGOSTO]]+Programacion[[#This Row],[SEPTIEMBRE]]</f>
        <v>0</v>
      </c>
      <c r="AL209" s="88">
        <f>Programacion[[#This Row],[DEVENGADO JULIO]]+Programacion[[#This Row],[DEVENGADO AGOSTO]]+Programacion[[#This Row],[DEVENGADO SEPTIEMBRE]]</f>
        <v>0</v>
      </c>
      <c r="AM209" s="88">
        <f>Programacion[[#This Row],[OCTUBRE]]+Programacion[[#This Row],[NOVIEMBRE]]+Programacion[[#This Row],[DICIEMBRE]]</f>
        <v>0</v>
      </c>
      <c r="AN209" s="89">
        <f>Programacion[[#This Row],[DEVENGADO OCTUBRE]]+Programacion[[#This Row],[DEVENGADO NOVIEMBRE]]+Programacion[[#This Row],[DEVENGADO DICIEMBRE]]</f>
        <v>0</v>
      </c>
      <c r="AO209" s="89">
        <f>Programacion[[#This Row],[ENERO]]+Programacion[[#This Row],[FEBRERO]]+Programacion[[#This Row],[MARZO]]+Programacion[[#This Row],[ABRIL]]+Programacion[[#This Row],[MAYO]]+Programacion[[#This Row],[JUNIO]]</f>
        <v>21000</v>
      </c>
      <c r="AP20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20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209" s="116"/>
    </row>
    <row r="210" spans="1:46" ht="30" x14ac:dyDescent="0.25">
      <c r="A210" s="99" t="s">
        <v>150</v>
      </c>
      <c r="B210" s="90" t="s">
        <v>179</v>
      </c>
      <c r="C210" s="81" t="s">
        <v>56</v>
      </c>
      <c r="D210" s="81" t="s">
        <v>152</v>
      </c>
      <c r="E210" s="82">
        <v>96</v>
      </c>
      <c r="F210" s="83">
        <v>2.2999999999999998</v>
      </c>
      <c r="G210" s="81" t="s">
        <v>57</v>
      </c>
      <c r="H210" s="81"/>
      <c r="I210" s="84"/>
      <c r="J210" s="84"/>
      <c r="K210" s="84"/>
      <c r="L210" s="84">
        <v>10800</v>
      </c>
      <c r="M210" s="84">
        <v>10800</v>
      </c>
      <c r="N210" s="84">
        <v>10800</v>
      </c>
      <c r="O210" s="84">
        <v>10800</v>
      </c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5"/>
      <c r="AB210" s="100"/>
      <c r="AC210" s="100"/>
      <c r="AD210" s="100"/>
      <c r="AE210" s="100"/>
      <c r="AF21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10" s="88">
        <f>Programacion[[#This Row],[ENERO]]+Programacion[[#This Row],[FEBRERO]]+Programacion[[#This Row],[MARZO]]</f>
        <v>10800</v>
      </c>
      <c r="AH210" s="88">
        <f>Programacion[[#This Row],[DEVENGADO ENERO]]+Programacion[[#This Row],[DEVENGADO FEBRERO]]+Programacion[[#This Row],[DEVENGADO MARZO]]</f>
        <v>10800</v>
      </c>
      <c r="AI210" s="88">
        <f>Programacion[[#This Row],[ABRIL]]+Programacion[[#This Row],[MAYO]]+Programacion[[#This Row],[JUNIO]]</f>
        <v>10800</v>
      </c>
      <c r="AJ210" s="88">
        <f>Programacion[[#This Row],[DEVENGADO ABRIL]]+Programacion[[#This Row],[DEVENGADO MAYO]]+Programacion[[#This Row],[DEVENGADO JUNIO]]</f>
        <v>10800</v>
      </c>
      <c r="AK210" s="88">
        <f>Programacion[[#This Row],[JULIO]]+Programacion[[#This Row],[AGOSTO]]+Programacion[[#This Row],[SEPTIEMBRE]]</f>
        <v>0</v>
      </c>
      <c r="AL210" s="88">
        <f>Programacion[[#This Row],[DEVENGADO JULIO]]+Programacion[[#This Row],[DEVENGADO AGOSTO]]+Programacion[[#This Row],[DEVENGADO SEPTIEMBRE]]</f>
        <v>0</v>
      </c>
      <c r="AM210" s="88">
        <f>Programacion[[#This Row],[OCTUBRE]]+Programacion[[#This Row],[NOVIEMBRE]]+Programacion[[#This Row],[DICIEMBRE]]</f>
        <v>0</v>
      </c>
      <c r="AN210" s="89">
        <f>Programacion[[#This Row],[DEVENGADO OCTUBRE]]+Programacion[[#This Row],[DEVENGADO NOVIEMBRE]]+Programacion[[#This Row],[DEVENGADO DICIEMBRE]]</f>
        <v>0</v>
      </c>
      <c r="AO210" s="89">
        <f>Programacion[[#This Row],[ENERO]]+Programacion[[#This Row],[FEBRERO]]+Programacion[[#This Row],[MARZO]]+Programacion[[#This Row],[ABRIL]]+Programacion[[#This Row],[MAYO]]+Programacion[[#This Row],[JUNIO]]</f>
        <v>21600</v>
      </c>
      <c r="AP21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1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10" s="116"/>
    </row>
    <row r="211" spans="1:46" ht="30" x14ac:dyDescent="0.25">
      <c r="A211" s="95" t="s">
        <v>150</v>
      </c>
      <c r="B211" s="90" t="s">
        <v>178</v>
      </c>
      <c r="C211" s="91" t="s">
        <v>56</v>
      </c>
      <c r="D211" s="94" t="s">
        <v>152</v>
      </c>
      <c r="E211" s="92">
        <v>96</v>
      </c>
      <c r="F211" s="93">
        <v>2.2999999999999998</v>
      </c>
      <c r="G211" s="81" t="s">
        <v>57</v>
      </c>
      <c r="H211" s="88"/>
      <c r="I211" s="88"/>
      <c r="J211" s="88"/>
      <c r="K211" s="88"/>
      <c r="L211" s="88"/>
      <c r="M211" s="88"/>
      <c r="N211" s="88"/>
      <c r="O211" s="88"/>
      <c r="P211" s="88">
        <v>10800</v>
      </c>
      <c r="Q211" s="88">
        <v>10800</v>
      </c>
      <c r="R211" s="88">
        <v>10800</v>
      </c>
      <c r="S211" s="88">
        <v>10800</v>
      </c>
      <c r="T211" s="88">
        <v>10800</v>
      </c>
      <c r="U211" s="88">
        <v>10800</v>
      </c>
      <c r="V211" s="88">
        <v>10800</v>
      </c>
      <c r="W211" s="88">
        <v>10800</v>
      </c>
      <c r="X211" s="88"/>
      <c r="Y211" s="88"/>
      <c r="Z211" s="88"/>
      <c r="AA211" s="88"/>
      <c r="AB211" s="88"/>
      <c r="AC211" s="88"/>
      <c r="AD211" s="88"/>
      <c r="AE211" s="88"/>
      <c r="AF21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211" s="88">
        <f>Programacion[[#This Row],[ENERO]]+Programacion[[#This Row],[FEBRERO]]+Programacion[[#This Row],[MARZO]]</f>
        <v>0</v>
      </c>
      <c r="AH211" s="88">
        <f>Programacion[[#This Row],[DEVENGADO ENERO]]+Programacion[[#This Row],[DEVENGADO FEBRERO]]+Programacion[[#This Row],[DEVENGADO MARZO]]</f>
        <v>0</v>
      </c>
      <c r="AI211" s="88">
        <f>Programacion[[#This Row],[ABRIL]]+Programacion[[#This Row],[MAYO]]+Programacion[[#This Row],[JUNIO]]</f>
        <v>21600</v>
      </c>
      <c r="AJ211" s="88">
        <f>Programacion[[#This Row],[DEVENGADO ABRIL]]+Programacion[[#This Row],[DEVENGADO MAYO]]+Programacion[[#This Row],[DEVENGADO JUNIO]]</f>
        <v>21600</v>
      </c>
      <c r="AK211" s="88">
        <f>Programacion[[#This Row],[JULIO]]+Programacion[[#This Row],[AGOSTO]]+Programacion[[#This Row],[SEPTIEMBRE]]</f>
        <v>21600</v>
      </c>
      <c r="AL211" s="88">
        <f>Programacion[[#This Row],[DEVENGADO JULIO]]+Programacion[[#This Row],[DEVENGADO AGOSTO]]+Programacion[[#This Row],[DEVENGADO SEPTIEMBRE]]</f>
        <v>21600</v>
      </c>
      <c r="AM211" s="88">
        <f>Programacion[[#This Row],[OCTUBRE]]+Programacion[[#This Row],[NOVIEMBRE]]+Programacion[[#This Row],[DICIEMBRE]]</f>
        <v>0</v>
      </c>
      <c r="AN211" s="97">
        <f>Programacion[[#This Row],[DEVENGADO OCTUBRE]]+Programacion[[#This Row],[DEVENGADO NOVIEMBRE]]+Programacion[[#This Row],[DEVENGADO DICIEMBRE]]</f>
        <v>0</v>
      </c>
      <c r="AO211" s="97">
        <f>Programacion[[#This Row],[ENERO]]+Programacion[[#This Row],[FEBRERO]]+Programacion[[#This Row],[MARZO]]+Programacion[[#This Row],[ABRIL]]+Programacion[[#This Row],[MAYO]]+Programacion[[#This Row],[JUNIO]]</f>
        <v>21600</v>
      </c>
      <c r="AP21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11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1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1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211" s="116"/>
    </row>
    <row r="212" spans="1:46" ht="30" x14ac:dyDescent="0.25">
      <c r="A212" s="95" t="s">
        <v>150</v>
      </c>
      <c r="B212" s="90" t="s">
        <v>180</v>
      </c>
      <c r="C212" s="91" t="s">
        <v>56</v>
      </c>
      <c r="D212" s="94" t="s">
        <v>152</v>
      </c>
      <c r="E212" s="92">
        <v>96</v>
      </c>
      <c r="F212" s="93">
        <v>2.2999999999999998</v>
      </c>
      <c r="G212" s="81" t="s">
        <v>57</v>
      </c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>
        <v>21600</v>
      </c>
      <c r="AA212" s="88"/>
      <c r="AB212" s="88"/>
      <c r="AC212" s="88"/>
      <c r="AD212" s="88"/>
      <c r="AE212" s="88"/>
      <c r="AF21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12" s="88">
        <f>Programacion[[#This Row],[ENERO]]+Programacion[[#This Row],[FEBRERO]]+Programacion[[#This Row],[MARZO]]</f>
        <v>0</v>
      </c>
      <c r="AH212" s="88">
        <f>Programacion[[#This Row],[DEVENGADO ENERO]]+Programacion[[#This Row],[DEVENGADO FEBRERO]]+Programacion[[#This Row],[DEVENGADO MARZO]]</f>
        <v>0</v>
      </c>
      <c r="AI212" s="88">
        <f>Programacion[[#This Row],[ABRIL]]+Programacion[[#This Row],[MAYO]]+Programacion[[#This Row],[JUNIO]]</f>
        <v>0</v>
      </c>
      <c r="AJ212" s="88">
        <f>Programacion[[#This Row],[DEVENGADO ABRIL]]+Programacion[[#This Row],[DEVENGADO MAYO]]+Programacion[[#This Row],[DEVENGADO JUNIO]]</f>
        <v>0</v>
      </c>
      <c r="AK212" s="88">
        <f>Programacion[[#This Row],[JULIO]]+Programacion[[#This Row],[AGOSTO]]+Programacion[[#This Row],[SEPTIEMBRE]]</f>
        <v>0</v>
      </c>
      <c r="AL212" s="88">
        <f>Programacion[[#This Row],[DEVENGADO JULIO]]+Programacion[[#This Row],[DEVENGADO AGOSTO]]+Programacion[[#This Row],[DEVENGADO SEPTIEMBRE]]</f>
        <v>0</v>
      </c>
      <c r="AM212" s="88">
        <f>Programacion[[#This Row],[OCTUBRE]]+Programacion[[#This Row],[NOVIEMBRE]]+Programacion[[#This Row],[DICIEMBRE]]</f>
        <v>21600</v>
      </c>
      <c r="AN212" s="97">
        <f>Programacion[[#This Row],[DEVENGADO OCTUBRE]]+Programacion[[#This Row],[DEVENGADO NOVIEMBRE]]+Programacion[[#This Row],[DEVENGADO DICIEMBRE]]</f>
        <v>0</v>
      </c>
      <c r="AO212" s="97">
        <f>Programacion[[#This Row],[ENERO]]+Programacion[[#This Row],[FEBRERO]]+Programacion[[#This Row],[MARZO]]+Programacion[[#This Row],[ABRIL]]+Programacion[[#This Row],[MAYO]]+Programacion[[#This Row],[JUNIO]]</f>
        <v>0</v>
      </c>
      <c r="AP21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1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2" s="116"/>
    </row>
    <row r="213" spans="1:46" ht="30" x14ac:dyDescent="0.25">
      <c r="A213" s="139" t="str">
        <f>A206</f>
        <v>ENANDES+</v>
      </c>
      <c r="B213" s="140" t="s">
        <v>321</v>
      </c>
      <c r="C213" s="141" t="str">
        <f>C214</f>
        <v>LOCACION</v>
      </c>
      <c r="D213" s="141" t="s">
        <v>152</v>
      </c>
      <c r="E213" s="139">
        <v>96</v>
      </c>
      <c r="F213" s="142">
        <v>23</v>
      </c>
      <c r="G213" s="141" t="str">
        <f>G206</f>
        <v>23.27.14 98</v>
      </c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>
        <v>8700</v>
      </c>
      <c r="Y213" s="147"/>
      <c r="Z213" s="147">
        <v>13050</v>
      </c>
      <c r="AA213" s="147"/>
      <c r="AB213" s="147"/>
      <c r="AC213" s="147"/>
      <c r="AD213" s="147"/>
      <c r="AE213" s="147"/>
      <c r="AF213" s="14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21750</v>
      </c>
      <c r="AG213" s="147">
        <f>Programacion[[#This Row],[ENERO]]+Programacion[[#This Row],[FEBRERO]]+Programacion[[#This Row],[MARZO]]</f>
        <v>0</v>
      </c>
      <c r="AH213" s="147">
        <f>Programacion[[#This Row],[DEVENGADO ENERO]]+Programacion[[#This Row],[DEVENGADO FEBRERO]]+Programacion[[#This Row],[DEVENGADO MARZO]]</f>
        <v>0</v>
      </c>
      <c r="AI213" s="147">
        <f>Programacion[[#This Row],[ABRIL]]+Programacion[[#This Row],[MAYO]]+Programacion[[#This Row],[JUNIO]]</f>
        <v>0</v>
      </c>
      <c r="AJ213" s="147">
        <f>Programacion[[#This Row],[DEVENGADO ABRIL]]+Programacion[[#This Row],[DEVENGADO MAYO]]+Programacion[[#This Row],[DEVENGADO JUNIO]]</f>
        <v>0</v>
      </c>
      <c r="AK213" s="147">
        <f>Programacion[[#This Row],[JULIO]]+Programacion[[#This Row],[AGOSTO]]+Programacion[[#This Row],[SEPTIEMBRE]]</f>
        <v>8700</v>
      </c>
      <c r="AL213" s="147">
        <f>Programacion[[#This Row],[DEVENGADO JULIO]]+Programacion[[#This Row],[DEVENGADO AGOSTO]]+Programacion[[#This Row],[DEVENGADO SEPTIEMBRE]]</f>
        <v>0</v>
      </c>
      <c r="AM213" s="147">
        <f>Programacion[[#This Row],[OCTUBRE]]+Programacion[[#This Row],[NOVIEMBRE]]+Programacion[[#This Row],[DICIEMBRE]]</f>
        <v>13050</v>
      </c>
      <c r="AN213" s="149">
        <f>Programacion[[#This Row],[DEVENGADO OCTUBRE]]+Programacion[[#This Row],[DEVENGADO NOVIEMBRE]]+Programacion[[#This Row],[DEVENGADO DICIEMBRE]]</f>
        <v>0</v>
      </c>
      <c r="AO213" s="149">
        <f>Programacion[[#This Row],[ENERO]]+Programacion[[#This Row],[FEBRERO]]+Programacion[[#This Row],[MARZO]]+Programacion[[#This Row],[ABRIL]]+Programacion[[#This Row],[MAYO]]+Programacion[[#This Row],[JUNIO]]</f>
        <v>0</v>
      </c>
      <c r="AP213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149">
        <f>Programacion[[#This Row],[JULIO]]+Programacion[[#This Row],[AGOSTO]]+Programacion[[#This Row],[SEPTIEMBRE]]+Programacion[[#This Row],[OCTUBRE]]+Programacion[[#This Row],[NOVIEMBRE]]+Programacion[[#This Row],[DICIEMBRE]]</f>
        <v>21750</v>
      </c>
      <c r="AR213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14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3" s="116"/>
    </row>
    <row r="214" spans="1:46" ht="30" x14ac:dyDescent="0.25">
      <c r="A214" s="95" t="s">
        <v>150</v>
      </c>
      <c r="B214" s="90" t="s">
        <v>181</v>
      </c>
      <c r="C214" s="91" t="s">
        <v>56</v>
      </c>
      <c r="D214" s="94" t="s">
        <v>152</v>
      </c>
      <c r="E214" s="92">
        <v>96</v>
      </c>
      <c r="F214" s="93">
        <v>2.2999999999999998</v>
      </c>
      <c r="G214" s="81" t="s">
        <v>57</v>
      </c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>
        <v>5000</v>
      </c>
      <c r="S214" s="88">
        <v>5000</v>
      </c>
      <c r="T214" s="88">
        <v>5000</v>
      </c>
      <c r="U214" s="88">
        <v>5000</v>
      </c>
      <c r="V214" s="88"/>
      <c r="W214" s="88"/>
      <c r="X214" s="88">
        <v>5000</v>
      </c>
      <c r="Y214" s="88">
        <v>5000</v>
      </c>
      <c r="Z214" s="88"/>
      <c r="AA214" s="88"/>
      <c r="AB214" s="88"/>
      <c r="AC214" s="88"/>
      <c r="AD214" s="88"/>
      <c r="AE214" s="88"/>
      <c r="AF21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14" s="88">
        <f>Programacion[[#This Row],[ENERO]]+Programacion[[#This Row],[FEBRERO]]+Programacion[[#This Row],[MARZO]]</f>
        <v>0</v>
      </c>
      <c r="AH214" s="88">
        <f>Programacion[[#This Row],[DEVENGADO ENERO]]+Programacion[[#This Row],[DEVENGADO FEBRERO]]+Programacion[[#This Row],[DEVENGADO MARZO]]</f>
        <v>0</v>
      </c>
      <c r="AI214" s="88">
        <f>Programacion[[#This Row],[ABRIL]]+Programacion[[#This Row],[MAYO]]+Programacion[[#This Row],[JUNIO]]</f>
        <v>5000</v>
      </c>
      <c r="AJ214" s="88">
        <f>Programacion[[#This Row],[DEVENGADO ABRIL]]+Programacion[[#This Row],[DEVENGADO MAYO]]+Programacion[[#This Row],[DEVENGADO JUNIO]]</f>
        <v>5000</v>
      </c>
      <c r="AK214" s="88">
        <f>Programacion[[#This Row],[JULIO]]+Programacion[[#This Row],[AGOSTO]]+Programacion[[#This Row],[SEPTIEMBRE]]</f>
        <v>10000</v>
      </c>
      <c r="AL214" s="88">
        <f>Programacion[[#This Row],[DEVENGADO JULIO]]+Programacion[[#This Row],[DEVENGADO AGOSTO]]+Programacion[[#This Row],[DEVENGADO SEPTIEMBRE]]</f>
        <v>10000</v>
      </c>
      <c r="AM214" s="88">
        <f>Programacion[[#This Row],[OCTUBRE]]+Programacion[[#This Row],[NOVIEMBRE]]+Programacion[[#This Row],[DICIEMBRE]]</f>
        <v>0</v>
      </c>
      <c r="AN214" s="97">
        <f>Programacion[[#This Row],[DEVENGADO OCTUBRE]]+Programacion[[#This Row],[DEVENGADO NOVIEMBRE]]+Programacion[[#This Row],[DEVENGADO DICIEMBRE]]</f>
        <v>0</v>
      </c>
      <c r="AO214" s="97">
        <f>Programacion[[#This Row],[ENERO]]+Programacion[[#This Row],[FEBRERO]]+Programacion[[#This Row],[MARZO]]+Programacion[[#This Row],[ABRIL]]+Programacion[[#This Row],[MAYO]]+Programacion[[#This Row],[JUNIO]]</f>
        <v>5000</v>
      </c>
      <c r="AP21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14" s="97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21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1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14" s="116"/>
    </row>
    <row r="215" spans="1:46" ht="30" x14ac:dyDescent="0.25">
      <c r="A215" s="139" t="s">
        <v>150</v>
      </c>
      <c r="B215" s="140" t="s">
        <v>269</v>
      </c>
      <c r="C215" s="141" t="s">
        <v>264</v>
      </c>
      <c r="D215" s="141" t="s">
        <v>152</v>
      </c>
      <c r="E215" s="139">
        <v>96</v>
      </c>
      <c r="F215" s="142">
        <v>23</v>
      </c>
      <c r="G215" s="141" t="s">
        <v>57</v>
      </c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>
        <v>10000</v>
      </c>
      <c r="AA215" s="33"/>
      <c r="AB215" s="33"/>
      <c r="AC215" s="33"/>
      <c r="AD215" s="33"/>
      <c r="AE215" s="33"/>
      <c r="AF21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15" s="33">
        <f>Programacion[[#This Row],[ENERO]]+Programacion[[#This Row],[FEBRERO]]+Programacion[[#This Row],[MARZO]]</f>
        <v>0</v>
      </c>
      <c r="AH215" s="33">
        <f>Programacion[[#This Row],[DEVENGADO ENERO]]+Programacion[[#This Row],[DEVENGADO FEBRERO]]+Programacion[[#This Row],[DEVENGADO MARZO]]</f>
        <v>0</v>
      </c>
      <c r="AI215" s="33">
        <f>Programacion[[#This Row],[ABRIL]]+Programacion[[#This Row],[MAYO]]+Programacion[[#This Row],[JUNIO]]</f>
        <v>0</v>
      </c>
      <c r="AJ215" s="33">
        <f>Programacion[[#This Row],[DEVENGADO ABRIL]]+Programacion[[#This Row],[DEVENGADO MAYO]]+Programacion[[#This Row],[DEVENGADO JUNIO]]</f>
        <v>0</v>
      </c>
      <c r="AK215" s="33">
        <f>Programacion[[#This Row],[JULIO]]+Programacion[[#This Row],[AGOSTO]]+Programacion[[#This Row],[SEPTIEMBRE]]</f>
        <v>0</v>
      </c>
      <c r="AL215" s="33">
        <f>Programacion[[#This Row],[DEVENGADO JULIO]]+Programacion[[#This Row],[DEVENGADO AGOSTO]]+Programacion[[#This Row],[DEVENGADO SEPTIEMBRE]]</f>
        <v>0</v>
      </c>
      <c r="AM215" s="33">
        <f>Programacion[[#This Row],[OCTUBRE]]+Programacion[[#This Row],[NOVIEMBRE]]+Programacion[[#This Row],[DICIEMBRE]]</f>
        <v>10000</v>
      </c>
      <c r="AN215" s="21">
        <f>Programacion[[#This Row],[DEVENGADO OCTUBRE]]+Programacion[[#This Row],[DEVENGADO NOVIEMBRE]]+Programacion[[#This Row],[DEVENGADO DICIEMBRE]]</f>
        <v>0</v>
      </c>
      <c r="AO215" s="21">
        <f>Programacion[[#This Row],[ENERO]]+Programacion[[#This Row],[FEBRERO]]+Programacion[[#This Row],[MARZO]]+Programacion[[#This Row],[ABRIL]]+Programacion[[#This Row],[MAYO]]+Programacion[[#This Row],[JUNIO]]</f>
        <v>0</v>
      </c>
      <c r="AP21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21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5" s="116"/>
    </row>
    <row r="216" spans="1:46" ht="30" x14ac:dyDescent="0.25">
      <c r="A216" s="99" t="s">
        <v>150</v>
      </c>
      <c r="B216" s="90" t="s">
        <v>182</v>
      </c>
      <c r="C216" s="81" t="s">
        <v>56</v>
      </c>
      <c r="D216" s="81" t="s">
        <v>152</v>
      </c>
      <c r="E216" s="82">
        <v>96</v>
      </c>
      <c r="F216" s="83">
        <v>2.2999999999999998</v>
      </c>
      <c r="G216" s="81" t="s">
        <v>57</v>
      </c>
      <c r="H216" s="81">
        <v>8774</v>
      </c>
      <c r="I216" s="84">
        <v>8774</v>
      </c>
      <c r="J216" s="84"/>
      <c r="K216" s="84"/>
      <c r="L216" s="84">
        <v>8774</v>
      </c>
      <c r="M216" s="84">
        <v>8774</v>
      </c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5"/>
      <c r="AB216" s="100"/>
      <c r="AC216" s="100"/>
      <c r="AD216" s="100"/>
      <c r="AE216" s="100"/>
      <c r="AF21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216" s="88">
        <f>Programacion[[#This Row],[ENERO]]+Programacion[[#This Row],[FEBRERO]]+Programacion[[#This Row],[MARZO]]</f>
        <v>17548</v>
      </c>
      <c r="AH216" s="88">
        <f>Programacion[[#This Row],[DEVENGADO ENERO]]+Programacion[[#This Row],[DEVENGADO FEBRERO]]+Programacion[[#This Row],[DEVENGADO MARZO]]</f>
        <v>17548</v>
      </c>
      <c r="AI216" s="88">
        <f>Programacion[[#This Row],[ABRIL]]+Programacion[[#This Row],[MAYO]]+Programacion[[#This Row],[JUNIO]]</f>
        <v>0</v>
      </c>
      <c r="AJ216" s="88">
        <f>Programacion[[#This Row],[DEVENGADO ABRIL]]+Programacion[[#This Row],[DEVENGADO MAYO]]+Programacion[[#This Row],[DEVENGADO JUNIO]]</f>
        <v>0</v>
      </c>
      <c r="AK216" s="88">
        <f>Programacion[[#This Row],[JULIO]]+Programacion[[#This Row],[AGOSTO]]+Programacion[[#This Row],[SEPTIEMBRE]]</f>
        <v>0</v>
      </c>
      <c r="AL216" s="88">
        <f>Programacion[[#This Row],[DEVENGADO JULIO]]+Programacion[[#This Row],[DEVENGADO AGOSTO]]+Programacion[[#This Row],[DEVENGADO SEPTIEMBRE]]</f>
        <v>0</v>
      </c>
      <c r="AM216" s="88">
        <f>Programacion[[#This Row],[OCTUBRE]]+Programacion[[#This Row],[NOVIEMBRE]]+Programacion[[#This Row],[DICIEMBRE]]</f>
        <v>0</v>
      </c>
      <c r="AN216" s="89">
        <f>Programacion[[#This Row],[DEVENGADO OCTUBRE]]+Programacion[[#This Row],[DEVENGADO NOVIEMBRE]]+Programacion[[#This Row],[DEVENGADO DICIEMBRE]]</f>
        <v>0</v>
      </c>
      <c r="AO216" s="89">
        <f>Programacion[[#This Row],[ENERO]]+Programacion[[#This Row],[FEBRERO]]+Programacion[[#This Row],[MARZO]]+Programacion[[#This Row],[ABRIL]]+Programacion[[#This Row],[MAYO]]+Programacion[[#This Row],[JUNIO]]</f>
        <v>17548</v>
      </c>
      <c r="AP21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21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216" s="116"/>
    </row>
    <row r="217" spans="1:46" ht="30" x14ac:dyDescent="0.25">
      <c r="A217" s="99" t="s">
        <v>150</v>
      </c>
      <c r="B217" s="90" t="s">
        <v>183</v>
      </c>
      <c r="C217" s="81" t="s">
        <v>56</v>
      </c>
      <c r="D217" s="81" t="s">
        <v>152</v>
      </c>
      <c r="E217" s="82">
        <v>96</v>
      </c>
      <c r="F217" s="83">
        <v>2.2999999999999998</v>
      </c>
      <c r="G217" s="81" t="s">
        <v>57</v>
      </c>
      <c r="H217" s="81"/>
      <c r="I217" s="84"/>
      <c r="J217" s="84"/>
      <c r="K217" s="84"/>
      <c r="L217" s="84">
        <v>8520</v>
      </c>
      <c r="M217" s="84">
        <v>8520</v>
      </c>
      <c r="N217" s="84">
        <v>5680</v>
      </c>
      <c r="O217" s="84">
        <v>5680</v>
      </c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5"/>
      <c r="AB217" s="100"/>
      <c r="AC217" s="100"/>
      <c r="AD217" s="100"/>
      <c r="AE217" s="100"/>
      <c r="AF21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217" s="88">
        <f>Programacion[[#This Row],[ENERO]]+Programacion[[#This Row],[FEBRERO]]+Programacion[[#This Row],[MARZO]]</f>
        <v>8520</v>
      </c>
      <c r="AH217" s="88">
        <f>Programacion[[#This Row],[DEVENGADO ENERO]]+Programacion[[#This Row],[DEVENGADO FEBRERO]]+Programacion[[#This Row],[DEVENGADO MARZO]]</f>
        <v>8520</v>
      </c>
      <c r="AI217" s="88">
        <f>Programacion[[#This Row],[ABRIL]]+Programacion[[#This Row],[MAYO]]+Programacion[[#This Row],[JUNIO]]</f>
        <v>5680</v>
      </c>
      <c r="AJ217" s="88">
        <f>Programacion[[#This Row],[DEVENGADO ABRIL]]+Programacion[[#This Row],[DEVENGADO MAYO]]+Programacion[[#This Row],[DEVENGADO JUNIO]]</f>
        <v>5680</v>
      </c>
      <c r="AK217" s="88">
        <f>Programacion[[#This Row],[JULIO]]+Programacion[[#This Row],[AGOSTO]]+Programacion[[#This Row],[SEPTIEMBRE]]</f>
        <v>0</v>
      </c>
      <c r="AL217" s="88">
        <f>Programacion[[#This Row],[DEVENGADO JULIO]]+Programacion[[#This Row],[DEVENGADO AGOSTO]]+Programacion[[#This Row],[DEVENGADO SEPTIEMBRE]]</f>
        <v>0</v>
      </c>
      <c r="AM217" s="88">
        <f>Programacion[[#This Row],[OCTUBRE]]+Programacion[[#This Row],[NOVIEMBRE]]+Programacion[[#This Row],[DICIEMBRE]]</f>
        <v>0</v>
      </c>
      <c r="AN217" s="89">
        <f>Programacion[[#This Row],[DEVENGADO OCTUBRE]]+Programacion[[#This Row],[DEVENGADO NOVIEMBRE]]+Programacion[[#This Row],[DEVENGADO DICIEMBRE]]</f>
        <v>0</v>
      </c>
      <c r="AO217" s="89">
        <f>Programacion[[#This Row],[ENERO]]+Programacion[[#This Row],[FEBRERO]]+Programacion[[#This Row],[MARZO]]+Programacion[[#This Row],[ABRIL]]+Programacion[[#This Row],[MAYO]]+Programacion[[#This Row],[JUNIO]]</f>
        <v>14200</v>
      </c>
      <c r="AP21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21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217" s="116"/>
    </row>
    <row r="218" spans="1:46" ht="45" x14ac:dyDescent="0.25">
      <c r="A218" s="95" t="s">
        <v>150</v>
      </c>
      <c r="B218" s="90" t="s">
        <v>184</v>
      </c>
      <c r="C218" s="91" t="s">
        <v>56</v>
      </c>
      <c r="D218" s="94" t="s">
        <v>152</v>
      </c>
      <c r="E218" s="92">
        <v>96</v>
      </c>
      <c r="F218" s="93">
        <v>2.2999999999999998</v>
      </c>
      <c r="G218" s="81" t="s">
        <v>57</v>
      </c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>
        <v>15000</v>
      </c>
      <c r="S218" s="88">
        <v>15000</v>
      </c>
      <c r="T218" s="88">
        <v>7500</v>
      </c>
      <c r="U218" s="88">
        <v>7500</v>
      </c>
      <c r="V218" s="88">
        <v>7500</v>
      </c>
      <c r="W218" s="88">
        <v>7500</v>
      </c>
      <c r="X218" s="88">
        <v>7500</v>
      </c>
      <c r="Y218" s="88"/>
      <c r="Z218" s="88"/>
      <c r="AA218" s="88"/>
      <c r="AB218" s="88"/>
      <c r="AC218" s="88"/>
      <c r="AD218" s="88"/>
      <c r="AE218" s="88"/>
      <c r="AF21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218" s="88">
        <f>Programacion[[#This Row],[ENERO]]+Programacion[[#This Row],[FEBRERO]]+Programacion[[#This Row],[MARZO]]</f>
        <v>0</v>
      </c>
      <c r="AH218" s="88">
        <f>Programacion[[#This Row],[DEVENGADO ENERO]]+Programacion[[#This Row],[DEVENGADO FEBRERO]]+Programacion[[#This Row],[DEVENGADO MARZO]]</f>
        <v>0</v>
      </c>
      <c r="AI218" s="88">
        <f>Programacion[[#This Row],[ABRIL]]+Programacion[[#This Row],[MAYO]]+Programacion[[#This Row],[JUNIO]]</f>
        <v>15000</v>
      </c>
      <c r="AJ218" s="88">
        <f>Programacion[[#This Row],[DEVENGADO ABRIL]]+Programacion[[#This Row],[DEVENGADO MAYO]]+Programacion[[#This Row],[DEVENGADO JUNIO]]</f>
        <v>15000</v>
      </c>
      <c r="AK218" s="88">
        <f>Programacion[[#This Row],[JULIO]]+Programacion[[#This Row],[AGOSTO]]+Programacion[[#This Row],[SEPTIEMBRE]]</f>
        <v>22500</v>
      </c>
      <c r="AL218" s="88">
        <f>Programacion[[#This Row],[DEVENGADO JULIO]]+Programacion[[#This Row],[DEVENGADO AGOSTO]]+Programacion[[#This Row],[DEVENGADO SEPTIEMBRE]]</f>
        <v>15000</v>
      </c>
      <c r="AM218" s="88">
        <f>Programacion[[#This Row],[OCTUBRE]]+Programacion[[#This Row],[NOVIEMBRE]]+Programacion[[#This Row],[DICIEMBRE]]</f>
        <v>0</v>
      </c>
      <c r="AN218" s="97">
        <f>Programacion[[#This Row],[DEVENGADO OCTUBRE]]+Programacion[[#This Row],[DEVENGADO NOVIEMBRE]]+Programacion[[#This Row],[DEVENGADO DICIEMBRE]]</f>
        <v>0</v>
      </c>
      <c r="AO218" s="97">
        <f>Programacion[[#This Row],[ENERO]]+Programacion[[#This Row],[FEBRERO]]+Programacion[[#This Row],[MARZO]]+Programacion[[#This Row],[ABRIL]]+Programacion[[#This Row],[MAYO]]+Programacion[[#This Row],[JUNIO]]</f>
        <v>15000</v>
      </c>
      <c r="AP21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18" s="97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21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1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218" s="116"/>
    </row>
    <row r="219" spans="1:46" ht="45" x14ac:dyDescent="0.25">
      <c r="A219" s="95" t="s">
        <v>150</v>
      </c>
      <c r="B219" s="90" t="s">
        <v>185</v>
      </c>
      <c r="C219" s="91" t="s">
        <v>56</v>
      </c>
      <c r="D219" s="94" t="s">
        <v>152</v>
      </c>
      <c r="E219" s="92">
        <v>96</v>
      </c>
      <c r="F219" s="93">
        <v>2.2999999999999998</v>
      </c>
      <c r="G219" s="81" t="s">
        <v>57</v>
      </c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>
        <v>9444.0300000000007</v>
      </c>
      <c r="AA219" s="88"/>
      <c r="AB219" s="88"/>
      <c r="AC219" s="88"/>
      <c r="AD219" s="88"/>
      <c r="AE219" s="88"/>
      <c r="AF21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219" s="88">
        <f>Programacion[[#This Row],[ENERO]]+Programacion[[#This Row],[FEBRERO]]+Programacion[[#This Row],[MARZO]]</f>
        <v>0</v>
      </c>
      <c r="AH219" s="88">
        <f>Programacion[[#This Row],[DEVENGADO ENERO]]+Programacion[[#This Row],[DEVENGADO FEBRERO]]+Programacion[[#This Row],[DEVENGADO MARZO]]</f>
        <v>0</v>
      </c>
      <c r="AI219" s="88">
        <f>Programacion[[#This Row],[ABRIL]]+Programacion[[#This Row],[MAYO]]+Programacion[[#This Row],[JUNIO]]</f>
        <v>0</v>
      </c>
      <c r="AJ219" s="88">
        <f>Programacion[[#This Row],[DEVENGADO ABRIL]]+Programacion[[#This Row],[DEVENGADO MAYO]]+Programacion[[#This Row],[DEVENGADO JUNIO]]</f>
        <v>0</v>
      </c>
      <c r="AK219" s="88">
        <f>Programacion[[#This Row],[JULIO]]+Programacion[[#This Row],[AGOSTO]]+Programacion[[#This Row],[SEPTIEMBRE]]</f>
        <v>0</v>
      </c>
      <c r="AL219" s="88">
        <f>Programacion[[#This Row],[DEVENGADO JULIO]]+Programacion[[#This Row],[DEVENGADO AGOSTO]]+Programacion[[#This Row],[DEVENGADO SEPTIEMBRE]]</f>
        <v>0</v>
      </c>
      <c r="AM219" s="88">
        <f>Programacion[[#This Row],[OCTUBRE]]+Programacion[[#This Row],[NOVIEMBRE]]+Programacion[[#This Row],[DICIEMBRE]]</f>
        <v>9444.0300000000007</v>
      </c>
      <c r="AN219" s="97">
        <f>Programacion[[#This Row],[DEVENGADO OCTUBRE]]+Programacion[[#This Row],[DEVENGADO NOVIEMBRE]]+Programacion[[#This Row],[DEVENGADO DICIEMBRE]]</f>
        <v>0</v>
      </c>
      <c r="AO219" s="97">
        <f>Programacion[[#This Row],[ENERO]]+Programacion[[#This Row],[FEBRERO]]+Programacion[[#This Row],[MARZO]]+Programacion[[#This Row],[ABRIL]]+Programacion[[#This Row],[MAYO]]+Programacion[[#This Row],[JUNIO]]</f>
        <v>0</v>
      </c>
      <c r="AP21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97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21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9" s="116"/>
    </row>
    <row r="220" spans="1:46" ht="45" x14ac:dyDescent="0.25">
      <c r="A220" s="99" t="s">
        <v>150</v>
      </c>
      <c r="B220" s="90" t="s">
        <v>186</v>
      </c>
      <c r="C220" s="81" t="s">
        <v>56</v>
      </c>
      <c r="D220" s="81" t="s">
        <v>152</v>
      </c>
      <c r="E220" s="82">
        <v>96</v>
      </c>
      <c r="F220" s="83">
        <v>2.2999999999999998</v>
      </c>
      <c r="G220" s="81" t="s">
        <v>70</v>
      </c>
      <c r="H220" s="81"/>
      <c r="I220" s="84"/>
      <c r="J220" s="84"/>
      <c r="K220" s="84"/>
      <c r="L220" s="84">
        <v>6000</v>
      </c>
      <c r="M220" s="84">
        <v>6000</v>
      </c>
      <c r="N220" s="84"/>
      <c r="O220" s="84"/>
      <c r="P220" s="84">
        <v>14000</v>
      </c>
      <c r="Q220" s="84">
        <v>14000</v>
      </c>
      <c r="R220" s="84"/>
      <c r="S220" s="84"/>
      <c r="T220" s="84"/>
      <c r="U220" s="84"/>
      <c r="V220" s="84"/>
      <c r="W220" s="84"/>
      <c r="X220" s="84"/>
      <c r="Y220" s="84"/>
      <c r="Z220" s="84"/>
      <c r="AA220" s="85"/>
      <c r="AB220" s="100"/>
      <c r="AC220" s="100"/>
      <c r="AD220" s="100"/>
      <c r="AE220" s="100"/>
      <c r="AF22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20" s="88">
        <f>Programacion[[#This Row],[ENERO]]+Programacion[[#This Row],[FEBRERO]]+Programacion[[#This Row],[MARZO]]</f>
        <v>6000</v>
      </c>
      <c r="AH220" s="88">
        <f>Programacion[[#This Row],[DEVENGADO ENERO]]+Programacion[[#This Row],[DEVENGADO FEBRERO]]+Programacion[[#This Row],[DEVENGADO MARZO]]</f>
        <v>6000</v>
      </c>
      <c r="AI220" s="88">
        <f>Programacion[[#This Row],[ABRIL]]+Programacion[[#This Row],[MAYO]]+Programacion[[#This Row],[JUNIO]]</f>
        <v>14000</v>
      </c>
      <c r="AJ220" s="88">
        <f>Programacion[[#This Row],[DEVENGADO ABRIL]]+Programacion[[#This Row],[DEVENGADO MAYO]]+Programacion[[#This Row],[DEVENGADO JUNIO]]</f>
        <v>14000</v>
      </c>
      <c r="AK220" s="88">
        <f>Programacion[[#This Row],[JULIO]]+Programacion[[#This Row],[AGOSTO]]+Programacion[[#This Row],[SEPTIEMBRE]]</f>
        <v>0</v>
      </c>
      <c r="AL220" s="88">
        <f>Programacion[[#This Row],[DEVENGADO JULIO]]+Programacion[[#This Row],[DEVENGADO AGOSTO]]+Programacion[[#This Row],[DEVENGADO SEPTIEMBRE]]</f>
        <v>0</v>
      </c>
      <c r="AM220" s="88">
        <f>Programacion[[#This Row],[OCTUBRE]]+Programacion[[#This Row],[NOVIEMBRE]]+Programacion[[#This Row],[DICIEMBRE]]</f>
        <v>0</v>
      </c>
      <c r="AN220" s="89">
        <f>Programacion[[#This Row],[DEVENGADO OCTUBRE]]+Programacion[[#This Row],[DEVENGADO NOVIEMBRE]]+Programacion[[#This Row],[DEVENGADO DICIEMBRE]]</f>
        <v>0</v>
      </c>
      <c r="AO220" s="89">
        <f>Programacion[[#This Row],[ENERO]]+Programacion[[#This Row],[FEBRERO]]+Programacion[[#This Row],[MARZO]]+Programacion[[#This Row],[ABRIL]]+Programacion[[#This Row],[MAYO]]+Programacion[[#This Row],[JUNIO]]</f>
        <v>20000</v>
      </c>
      <c r="AP22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2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20" s="116"/>
    </row>
    <row r="221" spans="1:46" x14ac:dyDescent="0.25">
      <c r="A221" s="95" t="s">
        <v>150</v>
      </c>
      <c r="B221" s="90" t="s">
        <v>322</v>
      </c>
      <c r="C221" s="91" t="s">
        <v>56</v>
      </c>
      <c r="D221" s="94" t="s">
        <v>152</v>
      </c>
      <c r="E221" s="92">
        <v>96</v>
      </c>
      <c r="F221" s="93">
        <v>2.2999999999999998</v>
      </c>
      <c r="G221" s="94" t="s">
        <v>57</v>
      </c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>
        <v>6000</v>
      </c>
      <c r="W221" s="88">
        <v>6000</v>
      </c>
      <c r="X221" s="88">
        <v>6000</v>
      </c>
      <c r="Y221" s="88">
        <v>6000</v>
      </c>
      <c r="Z221" s="88"/>
      <c r="AA221" s="88"/>
      <c r="AB221" s="88"/>
      <c r="AC221" s="88"/>
      <c r="AD221" s="88"/>
      <c r="AE221" s="88"/>
      <c r="AF22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21" s="88">
        <f>Programacion[[#This Row],[ENERO]]+Programacion[[#This Row],[FEBRERO]]+Programacion[[#This Row],[MARZO]]</f>
        <v>0</v>
      </c>
      <c r="AH221" s="88">
        <f>Programacion[[#This Row],[DEVENGADO ENERO]]+Programacion[[#This Row],[DEVENGADO FEBRERO]]+Programacion[[#This Row],[DEVENGADO MARZO]]</f>
        <v>0</v>
      </c>
      <c r="AI221" s="88">
        <f>Programacion[[#This Row],[ABRIL]]+Programacion[[#This Row],[MAYO]]+Programacion[[#This Row],[JUNIO]]</f>
        <v>0</v>
      </c>
      <c r="AJ221" s="88">
        <f>Programacion[[#This Row],[DEVENGADO ABRIL]]+Programacion[[#This Row],[DEVENGADO MAYO]]+Programacion[[#This Row],[DEVENGADO JUNIO]]</f>
        <v>0</v>
      </c>
      <c r="AK221" s="88">
        <f>Programacion[[#This Row],[JULIO]]+Programacion[[#This Row],[AGOSTO]]+Programacion[[#This Row],[SEPTIEMBRE]]</f>
        <v>12000</v>
      </c>
      <c r="AL221" s="88">
        <f>Programacion[[#This Row],[DEVENGADO JULIO]]+Programacion[[#This Row],[DEVENGADO AGOSTO]]+Programacion[[#This Row],[DEVENGADO SEPTIEMBRE]]</f>
        <v>12000</v>
      </c>
      <c r="AM221" s="88">
        <f>Programacion[[#This Row],[OCTUBRE]]+Programacion[[#This Row],[NOVIEMBRE]]+Programacion[[#This Row],[DICIEMBRE]]</f>
        <v>0</v>
      </c>
      <c r="AN221" s="97">
        <f>Programacion[[#This Row],[DEVENGADO OCTUBRE]]+Programacion[[#This Row],[DEVENGADO NOVIEMBRE]]+Programacion[[#This Row],[DEVENGADO DICIEMBRE]]</f>
        <v>0</v>
      </c>
      <c r="AO221" s="97">
        <f>Programacion[[#This Row],[ENERO]]+Programacion[[#This Row],[FEBRERO]]+Programacion[[#This Row],[MARZO]]+Programacion[[#This Row],[ABRIL]]+Programacion[[#This Row],[MAYO]]+Programacion[[#This Row],[JUNIO]]</f>
        <v>0</v>
      </c>
      <c r="AP22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1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2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2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21" s="116"/>
    </row>
    <row r="222" spans="1:46" ht="30" x14ac:dyDescent="0.25">
      <c r="A222" s="99" t="s">
        <v>150</v>
      </c>
      <c r="B222" s="90" t="s">
        <v>187</v>
      </c>
      <c r="C222" s="81" t="s">
        <v>56</v>
      </c>
      <c r="D222" s="81" t="s">
        <v>152</v>
      </c>
      <c r="E222" s="82">
        <v>96</v>
      </c>
      <c r="F222" s="83">
        <v>2.2999999999999998</v>
      </c>
      <c r="G222" s="81" t="s">
        <v>57</v>
      </c>
      <c r="H222" s="81"/>
      <c r="I222" s="84"/>
      <c r="J222" s="84"/>
      <c r="K222" s="84"/>
      <c r="L222" s="84">
        <v>6480</v>
      </c>
      <c r="M222" s="84">
        <v>6480</v>
      </c>
      <c r="N222" s="84">
        <v>15120</v>
      </c>
      <c r="O222" s="84">
        <v>15120</v>
      </c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5"/>
      <c r="AB222" s="100"/>
      <c r="AC222" s="100"/>
      <c r="AD222" s="100"/>
      <c r="AE222" s="100"/>
      <c r="AF22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22" s="88">
        <f>Programacion[[#This Row],[ENERO]]+Programacion[[#This Row],[FEBRERO]]+Programacion[[#This Row],[MARZO]]</f>
        <v>6480</v>
      </c>
      <c r="AH222" s="88">
        <f>Programacion[[#This Row],[DEVENGADO ENERO]]+Programacion[[#This Row],[DEVENGADO FEBRERO]]+Programacion[[#This Row],[DEVENGADO MARZO]]</f>
        <v>6480</v>
      </c>
      <c r="AI222" s="88">
        <f>Programacion[[#This Row],[ABRIL]]+Programacion[[#This Row],[MAYO]]+Programacion[[#This Row],[JUNIO]]</f>
        <v>15120</v>
      </c>
      <c r="AJ222" s="88">
        <f>Programacion[[#This Row],[DEVENGADO ABRIL]]+Programacion[[#This Row],[DEVENGADO MAYO]]+Programacion[[#This Row],[DEVENGADO JUNIO]]</f>
        <v>15120</v>
      </c>
      <c r="AK222" s="88">
        <f>Programacion[[#This Row],[JULIO]]+Programacion[[#This Row],[AGOSTO]]+Programacion[[#This Row],[SEPTIEMBRE]]</f>
        <v>0</v>
      </c>
      <c r="AL222" s="88">
        <f>Programacion[[#This Row],[DEVENGADO JULIO]]+Programacion[[#This Row],[DEVENGADO AGOSTO]]+Programacion[[#This Row],[DEVENGADO SEPTIEMBRE]]</f>
        <v>0</v>
      </c>
      <c r="AM222" s="88">
        <f>Programacion[[#This Row],[OCTUBRE]]+Programacion[[#This Row],[NOVIEMBRE]]+Programacion[[#This Row],[DICIEMBRE]]</f>
        <v>0</v>
      </c>
      <c r="AN222" s="89">
        <f>Programacion[[#This Row],[DEVENGADO OCTUBRE]]+Programacion[[#This Row],[DEVENGADO NOVIEMBRE]]+Programacion[[#This Row],[DEVENGADO DICIEMBRE]]</f>
        <v>0</v>
      </c>
      <c r="AO222" s="89">
        <f>Programacion[[#This Row],[ENERO]]+Programacion[[#This Row],[FEBRERO]]+Programacion[[#This Row],[MARZO]]+Programacion[[#This Row],[ABRIL]]+Programacion[[#This Row],[MAYO]]+Programacion[[#This Row],[JUNIO]]</f>
        <v>21600</v>
      </c>
      <c r="AP22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2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22" s="116"/>
    </row>
    <row r="223" spans="1:46" x14ac:dyDescent="0.25">
      <c r="A223" s="99" t="s">
        <v>150</v>
      </c>
      <c r="B223" s="90" t="s">
        <v>188</v>
      </c>
      <c r="C223" s="91" t="s">
        <v>189</v>
      </c>
      <c r="D223" s="94" t="s">
        <v>152</v>
      </c>
      <c r="E223" s="92">
        <v>96</v>
      </c>
      <c r="F223" s="93">
        <v>2.2999999999999998</v>
      </c>
      <c r="G223" s="94" t="s">
        <v>190</v>
      </c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>
        <v>228.6</v>
      </c>
      <c r="U223" s="88">
        <v>228.6</v>
      </c>
      <c r="V223" s="88"/>
      <c r="W223" s="88"/>
      <c r="X223" s="88"/>
      <c r="Y223" s="88"/>
      <c r="Z223" s="88"/>
      <c r="AA223" s="88"/>
      <c r="AB223" s="88"/>
      <c r="AC223" s="88"/>
      <c r="AD223" s="88"/>
      <c r="AE223" s="88"/>
      <c r="AF22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223" s="88">
        <f>Programacion[[#This Row],[ENERO]]+Programacion[[#This Row],[FEBRERO]]+Programacion[[#This Row],[MARZO]]</f>
        <v>0</v>
      </c>
      <c r="AH223" s="88">
        <f>Programacion[[#This Row],[DEVENGADO ENERO]]+Programacion[[#This Row],[DEVENGADO FEBRERO]]+Programacion[[#This Row],[DEVENGADO MARZO]]</f>
        <v>0</v>
      </c>
      <c r="AI223" s="88">
        <f>Programacion[[#This Row],[ABRIL]]+Programacion[[#This Row],[MAYO]]+Programacion[[#This Row],[JUNIO]]</f>
        <v>0</v>
      </c>
      <c r="AJ223" s="88">
        <f>Programacion[[#This Row],[DEVENGADO ABRIL]]+Programacion[[#This Row],[DEVENGADO MAYO]]+Programacion[[#This Row],[DEVENGADO JUNIO]]</f>
        <v>0</v>
      </c>
      <c r="AK223" s="88">
        <f>Programacion[[#This Row],[JULIO]]+Programacion[[#This Row],[AGOSTO]]+Programacion[[#This Row],[SEPTIEMBRE]]</f>
        <v>228.6</v>
      </c>
      <c r="AL223" s="88">
        <f>Programacion[[#This Row],[DEVENGADO JULIO]]+Programacion[[#This Row],[DEVENGADO AGOSTO]]+Programacion[[#This Row],[DEVENGADO SEPTIEMBRE]]</f>
        <v>228.6</v>
      </c>
      <c r="AM223" s="88">
        <f>Programacion[[#This Row],[OCTUBRE]]+Programacion[[#This Row],[NOVIEMBRE]]+Programacion[[#This Row],[DICIEMBRE]]</f>
        <v>0</v>
      </c>
      <c r="AN223" s="88">
        <f>Programacion[[#This Row],[DEVENGADO OCTUBRE]]+Programacion[[#This Row],[DEVENGADO NOVIEMBRE]]+Programacion[[#This Row],[DEVENGADO DICIEMBRE]]</f>
        <v>0</v>
      </c>
      <c r="AO223" s="88">
        <f>Programacion[[#This Row],[ENERO]]+Programacion[[#This Row],[FEBRERO]]+Programacion[[#This Row],[MARZO]]+Programacion[[#This Row],[ABRIL]]+Programacion[[#This Row],[MAYO]]+Programacion[[#This Row],[JUNIO]]</f>
        <v>0</v>
      </c>
      <c r="AP22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3" s="88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22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22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223" s="116"/>
    </row>
    <row r="224" spans="1:46" x14ac:dyDescent="0.25">
      <c r="A224" s="99" t="s">
        <v>150</v>
      </c>
      <c r="B224" s="90" t="s">
        <v>191</v>
      </c>
      <c r="C224" s="81" t="s">
        <v>189</v>
      </c>
      <c r="D224" s="81" t="s">
        <v>152</v>
      </c>
      <c r="E224" s="82">
        <v>96</v>
      </c>
      <c r="F224" s="83">
        <v>2.2999999999999998</v>
      </c>
      <c r="G224" s="81" t="s">
        <v>190</v>
      </c>
      <c r="H224" s="81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>
        <v>30671.4</v>
      </c>
      <c r="U224" s="84">
        <v>30671.4</v>
      </c>
      <c r="V224" s="84"/>
      <c r="W224" s="84"/>
      <c r="X224" s="84"/>
      <c r="Y224" s="84"/>
      <c r="Z224" s="84"/>
      <c r="AA224" s="85"/>
      <c r="AB224" s="100"/>
      <c r="AC224" s="100"/>
      <c r="AD224" s="100"/>
      <c r="AE224" s="100"/>
      <c r="AF22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224" s="88">
        <f>Programacion[[#This Row],[ENERO]]+Programacion[[#This Row],[FEBRERO]]+Programacion[[#This Row],[MARZO]]</f>
        <v>0</v>
      </c>
      <c r="AH224" s="88">
        <f>Programacion[[#This Row],[DEVENGADO ENERO]]+Programacion[[#This Row],[DEVENGADO FEBRERO]]+Programacion[[#This Row],[DEVENGADO MARZO]]</f>
        <v>0</v>
      </c>
      <c r="AI224" s="88">
        <f>Programacion[[#This Row],[ABRIL]]+Programacion[[#This Row],[MAYO]]+Programacion[[#This Row],[JUNIO]]</f>
        <v>0</v>
      </c>
      <c r="AJ224" s="88">
        <f>Programacion[[#This Row],[DEVENGADO ABRIL]]+Programacion[[#This Row],[DEVENGADO MAYO]]+Programacion[[#This Row],[DEVENGADO JUNIO]]</f>
        <v>0</v>
      </c>
      <c r="AK224" s="88">
        <f>Programacion[[#This Row],[JULIO]]+Programacion[[#This Row],[AGOSTO]]+Programacion[[#This Row],[SEPTIEMBRE]]</f>
        <v>30671.4</v>
      </c>
      <c r="AL224" s="88">
        <f>Programacion[[#This Row],[DEVENGADO JULIO]]+Programacion[[#This Row],[DEVENGADO AGOSTO]]+Programacion[[#This Row],[DEVENGADO SEPTIEMBRE]]</f>
        <v>30671.4</v>
      </c>
      <c r="AM224" s="88">
        <f>Programacion[[#This Row],[OCTUBRE]]+Programacion[[#This Row],[NOVIEMBRE]]+Programacion[[#This Row],[DICIEMBRE]]</f>
        <v>0</v>
      </c>
      <c r="AN224" s="89">
        <f>Programacion[[#This Row],[DEVENGADO OCTUBRE]]+Programacion[[#This Row],[DEVENGADO NOVIEMBRE]]+Programacion[[#This Row],[DEVENGADO DICIEMBRE]]</f>
        <v>0</v>
      </c>
      <c r="AO224" s="89">
        <f>Programacion[[#This Row],[ENERO]]+Programacion[[#This Row],[FEBRERO]]+Programacion[[#This Row],[MARZO]]+Programacion[[#This Row],[ABRIL]]+Programacion[[#This Row],[MAYO]]+Programacion[[#This Row],[JUNIO]]</f>
        <v>0</v>
      </c>
      <c r="AP22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4" s="89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22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2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224" s="116"/>
    </row>
    <row r="225" spans="1:46" x14ac:dyDescent="0.25">
      <c r="A225" s="99" t="s">
        <v>150</v>
      </c>
      <c r="B225" s="90" t="s">
        <v>63</v>
      </c>
      <c r="C225" s="81" t="s">
        <v>56</v>
      </c>
      <c r="D225" s="81" t="s">
        <v>152</v>
      </c>
      <c r="E225" s="82">
        <v>96</v>
      </c>
      <c r="F225" s="83">
        <v>2.2999999999999998</v>
      </c>
      <c r="G225" s="81" t="s">
        <v>57</v>
      </c>
      <c r="H225" s="81">
        <v>7380</v>
      </c>
      <c r="I225" s="84">
        <v>7380</v>
      </c>
      <c r="J225" s="84">
        <v>7380</v>
      </c>
      <c r="K225" s="84">
        <v>7380</v>
      </c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5"/>
      <c r="AB225" s="100"/>
      <c r="AC225" s="100"/>
      <c r="AD225" s="100"/>
      <c r="AE225" s="100"/>
      <c r="AF22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225" s="88">
        <f>Programacion[[#This Row],[ENERO]]+Programacion[[#This Row],[FEBRERO]]+Programacion[[#This Row],[MARZO]]</f>
        <v>14760</v>
      </c>
      <c r="AH225" s="88">
        <f>Programacion[[#This Row],[DEVENGADO ENERO]]+Programacion[[#This Row],[DEVENGADO FEBRERO]]+Programacion[[#This Row],[DEVENGADO MARZO]]</f>
        <v>14760</v>
      </c>
      <c r="AI225" s="88">
        <f>Programacion[[#This Row],[ABRIL]]+Programacion[[#This Row],[MAYO]]+Programacion[[#This Row],[JUNIO]]</f>
        <v>0</v>
      </c>
      <c r="AJ225" s="88">
        <f>Programacion[[#This Row],[DEVENGADO ABRIL]]+Programacion[[#This Row],[DEVENGADO MAYO]]+Programacion[[#This Row],[DEVENGADO JUNIO]]</f>
        <v>0</v>
      </c>
      <c r="AK225" s="88">
        <f>Programacion[[#This Row],[JULIO]]+Programacion[[#This Row],[AGOSTO]]+Programacion[[#This Row],[SEPTIEMBRE]]</f>
        <v>0</v>
      </c>
      <c r="AL225" s="88">
        <f>Programacion[[#This Row],[DEVENGADO JULIO]]+Programacion[[#This Row],[DEVENGADO AGOSTO]]+Programacion[[#This Row],[DEVENGADO SEPTIEMBRE]]</f>
        <v>0</v>
      </c>
      <c r="AM225" s="88">
        <f>Programacion[[#This Row],[OCTUBRE]]+Programacion[[#This Row],[NOVIEMBRE]]+Programacion[[#This Row],[DICIEMBRE]]</f>
        <v>0</v>
      </c>
      <c r="AN225" s="89">
        <f>Programacion[[#This Row],[DEVENGADO OCTUBRE]]+Programacion[[#This Row],[DEVENGADO NOVIEMBRE]]+Programacion[[#This Row],[DEVENGADO DICIEMBRE]]</f>
        <v>0</v>
      </c>
      <c r="AO225" s="89">
        <f>Programacion[[#This Row],[ENERO]]+Programacion[[#This Row],[FEBRERO]]+Programacion[[#This Row],[MARZO]]+Programacion[[#This Row],[ABRIL]]+Programacion[[#This Row],[MAYO]]+Programacion[[#This Row],[JUNIO]]</f>
        <v>14760</v>
      </c>
      <c r="AP22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22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225" s="116"/>
    </row>
    <row r="226" spans="1:46" x14ac:dyDescent="0.25">
      <c r="A226" s="99" t="s">
        <v>150</v>
      </c>
      <c r="B226" s="90" t="s">
        <v>192</v>
      </c>
      <c r="C226" s="81" t="s">
        <v>56</v>
      </c>
      <c r="D226" s="81" t="s">
        <v>152</v>
      </c>
      <c r="E226" s="82">
        <v>96</v>
      </c>
      <c r="F226" s="83">
        <v>2.2999999999999998</v>
      </c>
      <c r="G226" s="81" t="s">
        <v>57</v>
      </c>
      <c r="H226" s="81"/>
      <c r="I226" s="84"/>
      <c r="J226" s="84">
        <v>6001.2</v>
      </c>
      <c r="K226" s="84">
        <v>6001.2</v>
      </c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5"/>
      <c r="AB226" s="100"/>
      <c r="AC226" s="100"/>
      <c r="AD226" s="100"/>
      <c r="AE226" s="100"/>
      <c r="AF22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226" s="88">
        <f>Programacion[[#This Row],[ENERO]]+Programacion[[#This Row],[FEBRERO]]+Programacion[[#This Row],[MARZO]]</f>
        <v>6001.2</v>
      </c>
      <c r="AH226" s="88">
        <f>Programacion[[#This Row],[DEVENGADO ENERO]]+Programacion[[#This Row],[DEVENGADO FEBRERO]]+Programacion[[#This Row],[DEVENGADO MARZO]]</f>
        <v>6001.2</v>
      </c>
      <c r="AI226" s="88">
        <f>Programacion[[#This Row],[ABRIL]]+Programacion[[#This Row],[MAYO]]+Programacion[[#This Row],[JUNIO]]</f>
        <v>0</v>
      </c>
      <c r="AJ226" s="88">
        <f>Programacion[[#This Row],[DEVENGADO ABRIL]]+Programacion[[#This Row],[DEVENGADO MAYO]]+Programacion[[#This Row],[DEVENGADO JUNIO]]</f>
        <v>0</v>
      </c>
      <c r="AK226" s="88">
        <f>Programacion[[#This Row],[JULIO]]+Programacion[[#This Row],[AGOSTO]]+Programacion[[#This Row],[SEPTIEMBRE]]</f>
        <v>0</v>
      </c>
      <c r="AL226" s="88">
        <f>Programacion[[#This Row],[DEVENGADO JULIO]]+Programacion[[#This Row],[DEVENGADO AGOSTO]]+Programacion[[#This Row],[DEVENGADO SEPTIEMBRE]]</f>
        <v>0</v>
      </c>
      <c r="AM226" s="88">
        <f>Programacion[[#This Row],[OCTUBRE]]+Programacion[[#This Row],[NOVIEMBRE]]+Programacion[[#This Row],[DICIEMBRE]]</f>
        <v>0</v>
      </c>
      <c r="AN226" s="89">
        <f>Programacion[[#This Row],[DEVENGADO OCTUBRE]]+Programacion[[#This Row],[DEVENGADO NOVIEMBRE]]+Programacion[[#This Row],[DEVENGADO DICIEMBRE]]</f>
        <v>0</v>
      </c>
      <c r="AO226" s="89">
        <f>Programacion[[#This Row],[ENERO]]+Programacion[[#This Row],[FEBRERO]]+Programacion[[#This Row],[MARZO]]+Programacion[[#This Row],[ABRIL]]+Programacion[[#This Row],[MAYO]]+Programacion[[#This Row],[JUNIO]]</f>
        <v>6001.2</v>
      </c>
      <c r="AP22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22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226" s="116"/>
    </row>
    <row r="227" spans="1:46" x14ac:dyDescent="0.25">
      <c r="A227" s="99" t="s">
        <v>150</v>
      </c>
      <c r="B227" s="90" t="s">
        <v>193</v>
      </c>
      <c r="C227" s="81" t="s">
        <v>56</v>
      </c>
      <c r="D227" s="81" t="s">
        <v>152</v>
      </c>
      <c r="E227" s="82">
        <v>96</v>
      </c>
      <c r="F227" s="83">
        <v>2.2999999999999998</v>
      </c>
      <c r="G227" s="81" t="s">
        <v>57</v>
      </c>
      <c r="H227" s="81"/>
      <c r="I227" s="84"/>
      <c r="J227" s="84"/>
      <c r="K227" s="84"/>
      <c r="L227" s="84">
        <v>6000</v>
      </c>
      <c r="M227" s="84">
        <v>6000</v>
      </c>
      <c r="N227" s="84">
        <v>6000</v>
      </c>
      <c r="O227" s="84">
        <v>6000</v>
      </c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5"/>
      <c r="AB227" s="100"/>
      <c r="AC227" s="100"/>
      <c r="AD227" s="100"/>
      <c r="AE227" s="100"/>
      <c r="AF22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27" s="88">
        <f>Programacion[[#This Row],[ENERO]]+Programacion[[#This Row],[FEBRERO]]+Programacion[[#This Row],[MARZO]]</f>
        <v>6000</v>
      </c>
      <c r="AH227" s="88">
        <f>Programacion[[#This Row],[DEVENGADO ENERO]]+Programacion[[#This Row],[DEVENGADO FEBRERO]]+Programacion[[#This Row],[DEVENGADO MARZO]]</f>
        <v>6000</v>
      </c>
      <c r="AI227" s="88">
        <f>Programacion[[#This Row],[ABRIL]]+Programacion[[#This Row],[MAYO]]+Programacion[[#This Row],[JUNIO]]</f>
        <v>6000</v>
      </c>
      <c r="AJ227" s="88">
        <f>Programacion[[#This Row],[DEVENGADO ABRIL]]+Programacion[[#This Row],[DEVENGADO MAYO]]+Programacion[[#This Row],[DEVENGADO JUNIO]]</f>
        <v>6000</v>
      </c>
      <c r="AK227" s="88">
        <f>Programacion[[#This Row],[JULIO]]+Programacion[[#This Row],[AGOSTO]]+Programacion[[#This Row],[SEPTIEMBRE]]</f>
        <v>0</v>
      </c>
      <c r="AL227" s="88">
        <f>Programacion[[#This Row],[DEVENGADO JULIO]]+Programacion[[#This Row],[DEVENGADO AGOSTO]]+Programacion[[#This Row],[DEVENGADO SEPTIEMBRE]]</f>
        <v>0</v>
      </c>
      <c r="AM227" s="88">
        <f>Programacion[[#This Row],[OCTUBRE]]+Programacion[[#This Row],[NOVIEMBRE]]+Programacion[[#This Row],[DICIEMBRE]]</f>
        <v>0</v>
      </c>
      <c r="AN227" s="89">
        <f>Programacion[[#This Row],[DEVENGADO OCTUBRE]]+Programacion[[#This Row],[DEVENGADO NOVIEMBRE]]+Programacion[[#This Row],[DEVENGADO DICIEMBRE]]</f>
        <v>0</v>
      </c>
      <c r="AO227" s="89">
        <f>Programacion[[#This Row],[ENERO]]+Programacion[[#This Row],[FEBRERO]]+Programacion[[#This Row],[MARZO]]+Programacion[[#This Row],[ABRIL]]+Programacion[[#This Row],[MAYO]]+Programacion[[#This Row],[JUNIO]]</f>
        <v>12000</v>
      </c>
      <c r="AP22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2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27" s="116"/>
    </row>
    <row r="228" spans="1:46" x14ac:dyDescent="0.25">
      <c r="A228" s="95" t="s">
        <v>150</v>
      </c>
      <c r="B228" s="90" t="s">
        <v>194</v>
      </c>
      <c r="C228" s="91" t="s">
        <v>56</v>
      </c>
      <c r="D228" s="94" t="s">
        <v>152</v>
      </c>
      <c r="E228" s="92">
        <v>96</v>
      </c>
      <c r="F228" s="93">
        <v>2.2999999999999998</v>
      </c>
      <c r="G228" s="94" t="s">
        <v>57</v>
      </c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>
        <v>12000</v>
      </c>
      <c r="S228" s="88">
        <v>12000</v>
      </c>
      <c r="T228" s="88">
        <v>6000</v>
      </c>
      <c r="U228" s="88">
        <v>6000</v>
      </c>
      <c r="V228" s="88">
        <v>6000</v>
      </c>
      <c r="W228" s="88">
        <v>6000</v>
      </c>
      <c r="X228" s="88"/>
      <c r="Y228" s="88"/>
      <c r="Z228" s="88"/>
      <c r="AA228" s="88"/>
      <c r="AB228" s="88"/>
      <c r="AC228" s="88"/>
      <c r="AD228" s="88"/>
      <c r="AE228" s="88"/>
      <c r="AF22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28" s="88">
        <f>Programacion[[#This Row],[ENERO]]+Programacion[[#This Row],[FEBRERO]]+Programacion[[#This Row],[MARZO]]</f>
        <v>0</v>
      </c>
      <c r="AH228" s="88">
        <f>Programacion[[#This Row],[DEVENGADO ENERO]]+Programacion[[#This Row],[DEVENGADO FEBRERO]]+Programacion[[#This Row],[DEVENGADO MARZO]]</f>
        <v>0</v>
      </c>
      <c r="AI228" s="88">
        <f>Programacion[[#This Row],[ABRIL]]+Programacion[[#This Row],[MAYO]]+Programacion[[#This Row],[JUNIO]]</f>
        <v>12000</v>
      </c>
      <c r="AJ228" s="88">
        <f>Programacion[[#This Row],[DEVENGADO ABRIL]]+Programacion[[#This Row],[DEVENGADO MAYO]]+Programacion[[#This Row],[DEVENGADO JUNIO]]</f>
        <v>12000</v>
      </c>
      <c r="AK228" s="88">
        <f>Programacion[[#This Row],[JULIO]]+Programacion[[#This Row],[AGOSTO]]+Programacion[[#This Row],[SEPTIEMBRE]]</f>
        <v>12000</v>
      </c>
      <c r="AL228" s="88">
        <f>Programacion[[#This Row],[DEVENGADO JULIO]]+Programacion[[#This Row],[DEVENGADO AGOSTO]]+Programacion[[#This Row],[DEVENGADO SEPTIEMBRE]]</f>
        <v>12000</v>
      </c>
      <c r="AM228" s="88">
        <f>Programacion[[#This Row],[OCTUBRE]]+Programacion[[#This Row],[NOVIEMBRE]]+Programacion[[#This Row],[DICIEMBRE]]</f>
        <v>0</v>
      </c>
      <c r="AN228" s="97">
        <f>Programacion[[#This Row],[DEVENGADO OCTUBRE]]+Programacion[[#This Row],[DEVENGADO NOVIEMBRE]]+Programacion[[#This Row],[DEVENGADO DICIEMBRE]]</f>
        <v>0</v>
      </c>
      <c r="AO228" s="97">
        <f>Programacion[[#This Row],[ENERO]]+Programacion[[#This Row],[FEBRERO]]+Programacion[[#This Row],[MARZO]]+Programacion[[#This Row],[ABRIL]]+Programacion[[#This Row],[MAYO]]+Programacion[[#This Row],[JUNIO]]</f>
        <v>12000</v>
      </c>
      <c r="AP22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28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2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2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28" s="116"/>
    </row>
    <row r="229" spans="1:46" x14ac:dyDescent="0.25">
      <c r="A229" s="139" t="s">
        <v>150</v>
      </c>
      <c r="B229" s="143" t="s">
        <v>270</v>
      </c>
      <c r="C229" s="141" t="s">
        <v>264</v>
      </c>
      <c r="D229" s="141" t="s">
        <v>152</v>
      </c>
      <c r="E229" s="144">
        <v>96</v>
      </c>
      <c r="F229" s="145">
        <v>23</v>
      </c>
      <c r="G229" s="141" t="s">
        <v>57</v>
      </c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>
        <v>6000</v>
      </c>
      <c r="Y229" s="33"/>
      <c r="Z229" s="33">
        <v>6000</v>
      </c>
      <c r="AA229" s="33"/>
      <c r="AB229" s="33"/>
      <c r="AC229" s="33"/>
      <c r="AD229" s="33"/>
      <c r="AE229" s="33"/>
      <c r="AF2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29" s="33">
        <f>Programacion[[#This Row],[ENERO]]+Programacion[[#This Row],[FEBRERO]]+Programacion[[#This Row],[MARZO]]</f>
        <v>0</v>
      </c>
      <c r="AH229" s="33">
        <f>Programacion[[#This Row],[DEVENGADO ENERO]]+Programacion[[#This Row],[DEVENGADO FEBRERO]]+Programacion[[#This Row],[DEVENGADO MARZO]]</f>
        <v>0</v>
      </c>
      <c r="AI229" s="33">
        <f>Programacion[[#This Row],[ABRIL]]+Programacion[[#This Row],[MAYO]]+Programacion[[#This Row],[JUNIO]]</f>
        <v>0</v>
      </c>
      <c r="AJ229" s="33">
        <f>Programacion[[#This Row],[DEVENGADO ABRIL]]+Programacion[[#This Row],[DEVENGADO MAYO]]+Programacion[[#This Row],[DEVENGADO JUNIO]]</f>
        <v>0</v>
      </c>
      <c r="AK229" s="33">
        <f>Programacion[[#This Row],[JULIO]]+Programacion[[#This Row],[AGOSTO]]+Programacion[[#This Row],[SEPTIEMBRE]]</f>
        <v>6000</v>
      </c>
      <c r="AL229" s="33">
        <f>Programacion[[#This Row],[DEVENGADO JULIO]]+Programacion[[#This Row],[DEVENGADO AGOSTO]]+Programacion[[#This Row],[DEVENGADO SEPTIEMBRE]]</f>
        <v>0</v>
      </c>
      <c r="AM229" s="33">
        <f>Programacion[[#This Row],[OCTUBRE]]+Programacion[[#This Row],[NOVIEMBRE]]+Programacion[[#This Row],[DICIEMBRE]]</f>
        <v>6000</v>
      </c>
      <c r="AN229" s="21">
        <f>Programacion[[#This Row],[DEVENGADO OCTUBRE]]+Programacion[[#This Row],[DEVENGADO NOVIEMBRE]]+Programacion[[#This Row],[DEVENGADO DICIEMBRE]]</f>
        <v>0</v>
      </c>
      <c r="AO229" s="21">
        <f>Programacion[[#This Row],[ENERO]]+Programacion[[#This Row],[FEBRERO]]+Programacion[[#This Row],[MARZO]]+Programacion[[#This Row],[ABRIL]]+Programacion[[#This Row],[MAYO]]+Programacion[[#This Row],[JUNIO]]</f>
        <v>0</v>
      </c>
      <c r="AP2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21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9" s="116"/>
    </row>
    <row r="230" spans="1:46" ht="30" x14ac:dyDescent="0.25">
      <c r="A230" s="99" t="s">
        <v>150</v>
      </c>
      <c r="B230" s="90" t="s">
        <v>195</v>
      </c>
      <c r="C230" s="81" t="s">
        <v>56</v>
      </c>
      <c r="D230" s="81" t="s">
        <v>152</v>
      </c>
      <c r="E230" s="82">
        <v>97</v>
      </c>
      <c r="F230" s="83">
        <v>2.2999999999999998</v>
      </c>
      <c r="G230" s="81" t="s">
        <v>57</v>
      </c>
      <c r="H230" s="81">
        <v>7892.5</v>
      </c>
      <c r="I230" s="84">
        <v>7892.5</v>
      </c>
      <c r="J230" s="84"/>
      <c r="K230" s="84"/>
      <c r="L230" s="84">
        <v>7892.5</v>
      </c>
      <c r="M230" s="84">
        <v>7892.5</v>
      </c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5"/>
      <c r="AB230" s="100"/>
      <c r="AC230" s="100"/>
      <c r="AD230" s="100"/>
      <c r="AE230" s="100"/>
      <c r="AF23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30" s="88">
        <f>Programacion[[#This Row],[ENERO]]+Programacion[[#This Row],[FEBRERO]]+Programacion[[#This Row],[MARZO]]</f>
        <v>15785</v>
      </c>
      <c r="AH230" s="88">
        <f>Programacion[[#This Row],[DEVENGADO ENERO]]+Programacion[[#This Row],[DEVENGADO FEBRERO]]+Programacion[[#This Row],[DEVENGADO MARZO]]</f>
        <v>15785</v>
      </c>
      <c r="AI230" s="88">
        <f>Programacion[[#This Row],[ABRIL]]+Programacion[[#This Row],[MAYO]]+Programacion[[#This Row],[JUNIO]]</f>
        <v>0</v>
      </c>
      <c r="AJ230" s="88">
        <f>Programacion[[#This Row],[DEVENGADO ABRIL]]+Programacion[[#This Row],[DEVENGADO MAYO]]+Programacion[[#This Row],[DEVENGADO JUNIO]]</f>
        <v>0</v>
      </c>
      <c r="AK230" s="88">
        <f>Programacion[[#This Row],[JULIO]]+Programacion[[#This Row],[AGOSTO]]+Programacion[[#This Row],[SEPTIEMBRE]]</f>
        <v>0</v>
      </c>
      <c r="AL230" s="88">
        <f>Programacion[[#This Row],[DEVENGADO JULIO]]+Programacion[[#This Row],[DEVENGADO AGOSTO]]+Programacion[[#This Row],[DEVENGADO SEPTIEMBRE]]</f>
        <v>0</v>
      </c>
      <c r="AM230" s="88">
        <f>Programacion[[#This Row],[OCTUBRE]]+Programacion[[#This Row],[NOVIEMBRE]]+Programacion[[#This Row],[DICIEMBRE]]</f>
        <v>0</v>
      </c>
      <c r="AN230" s="89">
        <f>Programacion[[#This Row],[DEVENGADO OCTUBRE]]+Programacion[[#This Row],[DEVENGADO NOVIEMBRE]]+Programacion[[#This Row],[DEVENGADO DICIEMBRE]]</f>
        <v>0</v>
      </c>
      <c r="AO230" s="89">
        <f>Programacion[[#This Row],[ENERO]]+Programacion[[#This Row],[FEBRERO]]+Programacion[[#This Row],[MARZO]]+Programacion[[#This Row],[ABRIL]]+Programacion[[#This Row],[MAYO]]+Programacion[[#This Row],[JUNIO]]</f>
        <v>15785</v>
      </c>
      <c r="AP23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3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30" s="116"/>
    </row>
    <row r="231" spans="1:46" x14ac:dyDescent="0.25">
      <c r="A231" s="99" t="s">
        <v>150</v>
      </c>
      <c r="B231" s="90" t="s">
        <v>196</v>
      </c>
      <c r="C231" s="81" t="s">
        <v>197</v>
      </c>
      <c r="D231" s="81" t="s">
        <v>152</v>
      </c>
      <c r="E231" s="82">
        <v>97</v>
      </c>
      <c r="F231" s="83">
        <v>2.2999999999999998</v>
      </c>
      <c r="G231" s="81" t="s">
        <v>170</v>
      </c>
      <c r="H231" s="81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>
        <v>1870.2</v>
      </c>
      <c r="AA231" s="85"/>
      <c r="AB231" s="100"/>
      <c r="AC231" s="100"/>
      <c r="AD231" s="100"/>
      <c r="AE231" s="100"/>
      <c r="AF23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31" s="88">
        <f>Programacion[[#This Row],[ENERO]]+Programacion[[#This Row],[FEBRERO]]+Programacion[[#This Row],[MARZO]]</f>
        <v>0</v>
      </c>
      <c r="AH231" s="88">
        <f>Programacion[[#This Row],[DEVENGADO ENERO]]+Programacion[[#This Row],[DEVENGADO FEBRERO]]+Programacion[[#This Row],[DEVENGADO MARZO]]</f>
        <v>0</v>
      </c>
      <c r="AI231" s="88">
        <f>Programacion[[#This Row],[ABRIL]]+Programacion[[#This Row],[MAYO]]+Programacion[[#This Row],[JUNIO]]</f>
        <v>0</v>
      </c>
      <c r="AJ231" s="88">
        <f>Programacion[[#This Row],[DEVENGADO ABRIL]]+Programacion[[#This Row],[DEVENGADO MAYO]]+Programacion[[#This Row],[DEVENGADO JUNIO]]</f>
        <v>0</v>
      </c>
      <c r="AK231" s="88">
        <f>Programacion[[#This Row],[JULIO]]+Programacion[[#This Row],[AGOSTO]]+Programacion[[#This Row],[SEPTIEMBRE]]</f>
        <v>0</v>
      </c>
      <c r="AL231" s="88">
        <f>Programacion[[#This Row],[DEVENGADO JULIO]]+Programacion[[#This Row],[DEVENGADO AGOSTO]]+Programacion[[#This Row],[DEVENGADO SEPTIEMBRE]]</f>
        <v>0</v>
      </c>
      <c r="AM231" s="88">
        <f>Programacion[[#This Row],[OCTUBRE]]+Programacion[[#This Row],[NOVIEMBRE]]+Programacion[[#This Row],[DICIEMBRE]]</f>
        <v>1870.2</v>
      </c>
      <c r="AN231" s="89">
        <f>Programacion[[#This Row],[DEVENGADO OCTUBRE]]+Programacion[[#This Row],[DEVENGADO NOVIEMBRE]]+Programacion[[#This Row],[DEVENGADO DICIEMBRE]]</f>
        <v>0</v>
      </c>
      <c r="AO231" s="89">
        <f>Programacion[[#This Row],[ENERO]]+Programacion[[#This Row],[FEBRERO]]+Programacion[[#This Row],[MARZO]]+Programacion[[#This Row],[ABRIL]]+Programacion[[#This Row],[MAYO]]+Programacion[[#This Row],[JUNIO]]</f>
        <v>0</v>
      </c>
      <c r="AP23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1" s="89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3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1" s="116"/>
    </row>
    <row r="232" spans="1:46" x14ac:dyDescent="0.25">
      <c r="A232" s="99" t="s">
        <v>150</v>
      </c>
      <c r="B232" s="90" t="s">
        <v>198</v>
      </c>
      <c r="C232" s="91" t="s">
        <v>47</v>
      </c>
      <c r="D232" s="81" t="s">
        <v>152</v>
      </c>
      <c r="E232" s="92">
        <v>97</v>
      </c>
      <c r="F232" s="93">
        <v>2.2999999999999998</v>
      </c>
      <c r="G232" s="94" t="s">
        <v>49</v>
      </c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>
        <v>1600</v>
      </c>
      <c r="AA232" s="88"/>
      <c r="AB232" s="88"/>
      <c r="AC232" s="88"/>
      <c r="AD232" s="88"/>
      <c r="AE232" s="88"/>
      <c r="AF232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32" s="88">
        <f>Programacion[[#This Row],[ENERO]]+Programacion[[#This Row],[FEBRERO]]+Programacion[[#This Row],[MARZO]]</f>
        <v>0</v>
      </c>
      <c r="AH232" s="88">
        <f>Programacion[[#This Row],[DEVENGADO ENERO]]+Programacion[[#This Row],[DEVENGADO FEBRERO]]+Programacion[[#This Row],[DEVENGADO MARZO]]</f>
        <v>0</v>
      </c>
      <c r="AI232" s="88">
        <f>Programacion[[#This Row],[ABRIL]]+Programacion[[#This Row],[MAYO]]+Programacion[[#This Row],[JUNIO]]</f>
        <v>0</v>
      </c>
      <c r="AJ232" s="88">
        <f>Programacion[[#This Row],[DEVENGADO ABRIL]]+Programacion[[#This Row],[DEVENGADO MAYO]]+Programacion[[#This Row],[DEVENGADO JUNIO]]</f>
        <v>0</v>
      </c>
      <c r="AK232" s="88">
        <f>Programacion[[#This Row],[JULIO]]+Programacion[[#This Row],[AGOSTO]]+Programacion[[#This Row],[SEPTIEMBRE]]</f>
        <v>0</v>
      </c>
      <c r="AL232" s="88">
        <f>Programacion[[#This Row],[DEVENGADO JULIO]]+Programacion[[#This Row],[DEVENGADO AGOSTO]]+Programacion[[#This Row],[DEVENGADO SEPTIEMBRE]]</f>
        <v>0</v>
      </c>
      <c r="AM232" s="88">
        <f>Programacion[[#This Row],[OCTUBRE]]+Programacion[[#This Row],[NOVIEMBRE]]+Programacion[[#This Row],[DICIEMBRE]]</f>
        <v>1600</v>
      </c>
      <c r="AN232" s="88">
        <f>Programacion[[#This Row],[DEVENGADO OCTUBRE]]+Programacion[[#This Row],[DEVENGADO NOVIEMBRE]]+Programacion[[#This Row],[DEVENGADO DICIEMBRE]]</f>
        <v>0</v>
      </c>
      <c r="AO232" s="88">
        <f>Programacion[[#This Row],[ENERO]]+Programacion[[#This Row],[FEBRERO]]+Programacion[[#This Row],[MARZO]]+Programacion[[#This Row],[ABRIL]]+Programacion[[#This Row],[MAYO]]+Programacion[[#This Row],[JUNIO]]</f>
        <v>0</v>
      </c>
      <c r="AP232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2" s="88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32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2" s="116"/>
    </row>
    <row r="233" spans="1:46" x14ac:dyDescent="0.25">
      <c r="A233" s="99" t="s">
        <v>150</v>
      </c>
      <c r="B233" s="90" t="s">
        <v>199</v>
      </c>
      <c r="C233" s="91" t="s">
        <v>47</v>
      </c>
      <c r="D233" s="81" t="s">
        <v>152</v>
      </c>
      <c r="E233" s="92">
        <v>97</v>
      </c>
      <c r="F233" s="93">
        <v>2.2999999999999998</v>
      </c>
      <c r="G233" s="94" t="s">
        <v>51</v>
      </c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>
        <v>1620</v>
      </c>
      <c r="AA233" s="88"/>
      <c r="AB233" s="88"/>
      <c r="AC233" s="88"/>
      <c r="AD233" s="88"/>
      <c r="AE233" s="88"/>
      <c r="AF23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33" s="88">
        <f>Programacion[[#This Row],[ENERO]]+Programacion[[#This Row],[FEBRERO]]+Programacion[[#This Row],[MARZO]]</f>
        <v>0</v>
      </c>
      <c r="AH233" s="88">
        <f>Programacion[[#This Row],[DEVENGADO ENERO]]+Programacion[[#This Row],[DEVENGADO FEBRERO]]+Programacion[[#This Row],[DEVENGADO MARZO]]</f>
        <v>0</v>
      </c>
      <c r="AI233" s="88">
        <f>Programacion[[#This Row],[ABRIL]]+Programacion[[#This Row],[MAYO]]+Programacion[[#This Row],[JUNIO]]</f>
        <v>0</v>
      </c>
      <c r="AJ233" s="88">
        <f>Programacion[[#This Row],[DEVENGADO ABRIL]]+Programacion[[#This Row],[DEVENGADO MAYO]]+Programacion[[#This Row],[DEVENGADO JUNIO]]</f>
        <v>0</v>
      </c>
      <c r="AK233" s="88">
        <f>Programacion[[#This Row],[JULIO]]+Programacion[[#This Row],[AGOSTO]]+Programacion[[#This Row],[SEPTIEMBRE]]</f>
        <v>0</v>
      </c>
      <c r="AL233" s="88">
        <f>Programacion[[#This Row],[DEVENGADO JULIO]]+Programacion[[#This Row],[DEVENGADO AGOSTO]]+Programacion[[#This Row],[DEVENGADO SEPTIEMBRE]]</f>
        <v>0</v>
      </c>
      <c r="AM233" s="88">
        <f>Programacion[[#This Row],[OCTUBRE]]+Programacion[[#This Row],[NOVIEMBRE]]+Programacion[[#This Row],[DICIEMBRE]]</f>
        <v>1620</v>
      </c>
      <c r="AN233" s="88">
        <f>Programacion[[#This Row],[DEVENGADO OCTUBRE]]+Programacion[[#This Row],[DEVENGADO NOVIEMBRE]]+Programacion[[#This Row],[DEVENGADO DICIEMBRE]]</f>
        <v>0</v>
      </c>
      <c r="AO233" s="88">
        <f>Programacion[[#This Row],[ENERO]]+Programacion[[#This Row],[FEBRERO]]+Programacion[[#This Row],[MARZO]]+Programacion[[#This Row],[ABRIL]]+Programacion[[#This Row],[MAYO]]+Programacion[[#This Row],[JUNIO]]</f>
        <v>0</v>
      </c>
      <c r="AP23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3" s="8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3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3" s="116"/>
    </row>
    <row r="234" spans="1:46" x14ac:dyDescent="0.25">
      <c r="A234" s="99" t="s">
        <v>150</v>
      </c>
      <c r="B234" s="90" t="s">
        <v>200</v>
      </c>
      <c r="C234" s="91" t="s">
        <v>47</v>
      </c>
      <c r="D234" s="81" t="s">
        <v>152</v>
      </c>
      <c r="E234" s="92">
        <v>97</v>
      </c>
      <c r="F234" s="93">
        <v>2.2999999999999998</v>
      </c>
      <c r="G234" s="94" t="s">
        <v>49</v>
      </c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>
        <v>344.7</v>
      </c>
      <c r="AA234" s="88"/>
      <c r="AB234" s="88"/>
      <c r="AC234" s="88"/>
      <c r="AD234" s="88"/>
      <c r="AE234" s="88"/>
      <c r="AF234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34" s="88">
        <f>Programacion[[#This Row],[ENERO]]+Programacion[[#This Row],[FEBRERO]]+Programacion[[#This Row],[MARZO]]</f>
        <v>0</v>
      </c>
      <c r="AH234" s="88">
        <f>Programacion[[#This Row],[DEVENGADO ENERO]]+Programacion[[#This Row],[DEVENGADO FEBRERO]]+Programacion[[#This Row],[DEVENGADO MARZO]]</f>
        <v>0</v>
      </c>
      <c r="AI234" s="88">
        <f>Programacion[[#This Row],[ABRIL]]+Programacion[[#This Row],[MAYO]]+Programacion[[#This Row],[JUNIO]]</f>
        <v>0</v>
      </c>
      <c r="AJ234" s="88">
        <f>Programacion[[#This Row],[DEVENGADO ABRIL]]+Programacion[[#This Row],[DEVENGADO MAYO]]+Programacion[[#This Row],[DEVENGADO JUNIO]]</f>
        <v>0</v>
      </c>
      <c r="AK234" s="88">
        <f>Programacion[[#This Row],[JULIO]]+Programacion[[#This Row],[AGOSTO]]+Programacion[[#This Row],[SEPTIEMBRE]]</f>
        <v>0</v>
      </c>
      <c r="AL234" s="88">
        <f>Programacion[[#This Row],[DEVENGADO JULIO]]+Programacion[[#This Row],[DEVENGADO AGOSTO]]+Programacion[[#This Row],[DEVENGADO SEPTIEMBRE]]</f>
        <v>0</v>
      </c>
      <c r="AM234" s="88">
        <f>Programacion[[#This Row],[OCTUBRE]]+Programacion[[#This Row],[NOVIEMBRE]]+Programacion[[#This Row],[DICIEMBRE]]</f>
        <v>344.7</v>
      </c>
      <c r="AN234" s="88">
        <f>Programacion[[#This Row],[DEVENGADO OCTUBRE]]+Programacion[[#This Row],[DEVENGADO NOVIEMBRE]]+Programacion[[#This Row],[DEVENGADO DICIEMBRE]]</f>
        <v>0</v>
      </c>
      <c r="AO234" s="88">
        <f>Programacion[[#This Row],[ENERO]]+Programacion[[#This Row],[FEBRERO]]+Programacion[[#This Row],[MARZO]]+Programacion[[#This Row],[ABRIL]]+Programacion[[#This Row],[MAYO]]+Programacion[[#This Row],[JUNIO]]</f>
        <v>0</v>
      </c>
      <c r="AP234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4" s="88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34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4" s="116"/>
    </row>
    <row r="235" spans="1:46" ht="45" x14ac:dyDescent="0.25">
      <c r="A235" s="99" t="s">
        <v>150</v>
      </c>
      <c r="B235" s="90" t="s">
        <v>201</v>
      </c>
      <c r="C235" s="91" t="s">
        <v>202</v>
      </c>
      <c r="D235" s="81" t="s">
        <v>152</v>
      </c>
      <c r="E235" s="92">
        <v>98</v>
      </c>
      <c r="F235" s="93">
        <v>2.2999999999999998</v>
      </c>
      <c r="G235" s="94" t="s">
        <v>203</v>
      </c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>
        <v>2020</v>
      </c>
      <c r="S235" s="88">
        <v>2020</v>
      </c>
      <c r="T235" s="88"/>
      <c r="U235" s="88"/>
      <c r="V235" s="88">
        <v>8080</v>
      </c>
      <c r="W235" s="88">
        <v>8080</v>
      </c>
      <c r="X235" s="88"/>
      <c r="Y235" s="88"/>
      <c r="Z235" s="88"/>
      <c r="AA235" s="88"/>
      <c r="AB235" s="88"/>
      <c r="AC235" s="88"/>
      <c r="AD235" s="88"/>
      <c r="AE235" s="88"/>
      <c r="AF235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35" s="88">
        <f>Programacion[[#This Row],[ENERO]]+Programacion[[#This Row],[FEBRERO]]+Programacion[[#This Row],[MARZO]]</f>
        <v>0</v>
      </c>
      <c r="AH235" s="88">
        <f>Programacion[[#This Row],[DEVENGADO ENERO]]+Programacion[[#This Row],[DEVENGADO FEBRERO]]+Programacion[[#This Row],[DEVENGADO MARZO]]</f>
        <v>0</v>
      </c>
      <c r="AI235" s="88">
        <f>Programacion[[#This Row],[ABRIL]]+Programacion[[#This Row],[MAYO]]+Programacion[[#This Row],[JUNIO]]</f>
        <v>2020</v>
      </c>
      <c r="AJ235" s="88">
        <f>Programacion[[#This Row],[DEVENGADO ABRIL]]+Programacion[[#This Row],[DEVENGADO MAYO]]+Programacion[[#This Row],[DEVENGADO JUNIO]]</f>
        <v>2020</v>
      </c>
      <c r="AK235" s="88">
        <f>Programacion[[#This Row],[JULIO]]+Programacion[[#This Row],[AGOSTO]]+Programacion[[#This Row],[SEPTIEMBRE]]</f>
        <v>8080</v>
      </c>
      <c r="AL235" s="88">
        <f>Programacion[[#This Row],[DEVENGADO JULIO]]+Programacion[[#This Row],[DEVENGADO AGOSTO]]+Programacion[[#This Row],[DEVENGADO SEPTIEMBRE]]</f>
        <v>8080</v>
      </c>
      <c r="AM235" s="88">
        <f>Programacion[[#This Row],[OCTUBRE]]+Programacion[[#This Row],[NOVIEMBRE]]+Programacion[[#This Row],[DICIEMBRE]]</f>
        <v>0</v>
      </c>
      <c r="AN235" s="88">
        <f>Programacion[[#This Row],[DEVENGADO OCTUBRE]]+Programacion[[#This Row],[DEVENGADO NOVIEMBRE]]+Programacion[[#This Row],[DEVENGADO DICIEMBRE]]</f>
        <v>0</v>
      </c>
      <c r="AO235" s="88">
        <f>Programacion[[#This Row],[ENERO]]+Programacion[[#This Row],[FEBRERO]]+Programacion[[#This Row],[MARZO]]+Programacion[[#This Row],[ABRIL]]+Programacion[[#This Row],[MAYO]]+Programacion[[#This Row],[JUNIO]]</f>
        <v>2020</v>
      </c>
      <c r="AP235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35" s="88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35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3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35" s="116"/>
    </row>
    <row r="236" spans="1:46" ht="60" x14ac:dyDescent="0.25">
      <c r="A236" s="99" t="s">
        <v>150</v>
      </c>
      <c r="B236" s="90" t="s">
        <v>204</v>
      </c>
      <c r="C236" s="81" t="s">
        <v>202</v>
      </c>
      <c r="D236" s="81" t="s">
        <v>152</v>
      </c>
      <c r="E236" s="82">
        <v>98</v>
      </c>
      <c r="F236" s="83">
        <v>2.2999999999999998</v>
      </c>
      <c r="G236" s="81" t="s">
        <v>203</v>
      </c>
      <c r="H236" s="81"/>
      <c r="I236" s="84"/>
      <c r="J236" s="84"/>
      <c r="K236" s="84"/>
      <c r="L236" s="84">
        <v>2870</v>
      </c>
      <c r="M236" s="84">
        <v>2870</v>
      </c>
      <c r="N236" s="84"/>
      <c r="O236" s="84"/>
      <c r="P236" s="84">
        <v>5330</v>
      </c>
      <c r="Q236" s="84">
        <v>5330</v>
      </c>
      <c r="R236" s="84"/>
      <c r="S236" s="84"/>
      <c r="T236" s="84"/>
      <c r="U236" s="84"/>
      <c r="V236" s="84"/>
      <c r="W236" s="84"/>
      <c r="X236" s="84"/>
      <c r="Y236" s="84"/>
      <c r="Z236" s="84"/>
      <c r="AA236" s="85"/>
      <c r="AB236" s="100"/>
      <c r="AC236" s="100"/>
      <c r="AD236" s="100"/>
      <c r="AE236" s="100"/>
      <c r="AF23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36" s="88">
        <f>Programacion[[#This Row],[ENERO]]+Programacion[[#This Row],[FEBRERO]]+Programacion[[#This Row],[MARZO]]</f>
        <v>2870</v>
      </c>
      <c r="AH236" s="88">
        <f>Programacion[[#This Row],[DEVENGADO ENERO]]+Programacion[[#This Row],[DEVENGADO FEBRERO]]+Programacion[[#This Row],[DEVENGADO MARZO]]</f>
        <v>2870</v>
      </c>
      <c r="AI236" s="88">
        <f>Programacion[[#This Row],[ABRIL]]+Programacion[[#This Row],[MAYO]]+Programacion[[#This Row],[JUNIO]]</f>
        <v>5330</v>
      </c>
      <c r="AJ236" s="88">
        <f>Programacion[[#This Row],[DEVENGADO ABRIL]]+Programacion[[#This Row],[DEVENGADO MAYO]]+Programacion[[#This Row],[DEVENGADO JUNIO]]</f>
        <v>5330</v>
      </c>
      <c r="AK236" s="88">
        <f>Programacion[[#This Row],[JULIO]]+Programacion[[#This Row],[AGOSTO]]+Programacion[[#This Row],[SEPTIEMBRE]]</f>
        <v>0</v>
      </c>
      <c r="AL236" s="88">
        <f>Programacion[[#This Row],[DEVENGADO JULIO]]+Programacion[[#This Row],[DEVENGADO AGOSTO]]+Programacion[[#This Row],[DEVENGADO SEPTIEMBRE]]</f>
        <v>0</v>
      </c>
      <c r="AM236" s="88">
        <f>Programacion[[#This Row],[OCTUBRE]]+Programacion[[#This Row],[NOVIEMBRE]]+Programacion[[#This Row],[DICIEMBRE]]</f>
        <v>0</v>
      </c>
      <c r="AN236" s="89">
        <f>Programacion[[#This Row],[DEVENGADO OCTUBRE]]+Programacion[[#This Row],[DEVENGADO NOVIEMBRE]]+Programacion[[#This Row],[DEVENGADO DICIEMBRE]]</f>
        <v>0</v>
      </c>
      <c r="AO236" s="89">
        <f>Programacion[[#This Row],[ENERO]]+Programacion[[#This Row],[FEBRERO]]+Programacion[[#This Row],[MARZO]]+Programacion[[#This Row],[ABRIL]]+Programacion[[#This Row],[MAYO]]+Programacion[[#This Row],[JUNIO]]</f>
        <v>8200</v>
      </c>
      <c r="AP23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3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36" s="116"/>
    </row>
    <row r="237" spans="1:46" ht="30" x14ac:dyDescent="0.25">
      <c r="A237" s="99" t="s">
        <v>150</v>
      </c>
      <c r="B237" s="90" t="s">
        <v>205</v>
      </c>
      <c r="C237" s="91" t="s">
        <v>73</v>
      </c>
      <c r="D237" s="94" t="s">
        <v>152</v>
      </c>
      <c r="E237" s="92">
        <v>98</v>
      </c>
      <c r="F237" s="93">
        <v>2.2999999999999998</v>
      </c>
      <c r="G237" s="94" t="s">
        <v>74</v>
      </c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>
        <v>147</v>
      </c>
      <c r="AA237" s="88"/>
      <c r="AB237" s="88"/>
      <c r="AC237" s="88"/>
      <c r="AD237" s="88"/>
      <c r="AE237" s="88"/>
      <c r="AF237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37" s="88">
        <f>Programacion[[#This Row],[ENERO]]+Programacion[[#This Row],[FEBRERO]]+Programacion[[#This Row],[MARZO]]</f>
        <v>0</v>
      </c>
      <c r="AH237" s="88">
        <f>Programacion[[#This Row],[DEVENGADO ENERO]]+Programacion[[#This Row],[DEVENGADO FEBRERO]]+Programacion[[#This Row],[DEVENGADO MARZO]]</f>
        <v>0</v>
      </c>
      <c r="AI237" s="88">
        <f>Programacion[[#This Row],[ABRIL]]+Programacion[[#This Row],[MAYO]]+Programacion[[#This Row],[JUNIO]]</f>
        <v>0</v>
      </c>
      <c r="AJ237" s="88">
        <f>Programacion[[#This Row],[DEVENGADO ABRIL]]+Programacion[[#This Row],[DEVENGADO MAYO]]+Programacion[[#This Row],[DEVENGADO JUNIO]]</f>
        <v>0</v>
      </c>
      <c r="AK237" s="88">
        <f>Programacion[[#This Row],[JULIO]]+Programacion[[#This Row],[AGOSTO]]+Programacion[[#This Row],[SEPTIEMBRE]]</f>
        <v>0</v>
      </c>
      <c r="AL237" s="88">
        <f>Programacion[[#This Row],[DEVENGADO JULIO]]+Programacion[[#This Row],[DEVENGADO AGOSTO]]+Programacion[[#This Row],[DEVENGADO SEPTIEMBRE]]</f>
        <v>0</v>
      </c>
      <c r="AM237" s="88">
        <f>Programacion[[#This Row],[OCTUBRE]]+Programacion[[#This Row],[NOVIEMBRE]]+Programacion[[#This Row],[DICIEMBRE]]</f>
        <v>147</v>
      </c>
      <c r="AN237" s="88">
        <f>Programacion[[#This Row],[DEVENGADO OCTUBRE]]+Programacion[[#This Row],[DEVENGADO NOVIEMBRE]]+Programacion[[#This Row],[DEVENGADO DICIEMBRE]]</f>
        <v>0</v>
      </c>
      <c r="AO237" s="88">
        <f>Programacion[[#This Row],[ENERO]]+Programacion[[#This Row],[FEBRERO]]+Programacion[[#This Row],[MARZO]]+Programacion[[#This Row],[ABRIL]]+Programacion[[#This Row],[MAYO]]+Programacion[[#This Row],[JUNIO]]</f>
        <v>0</v>
      </c>
      <c r="AP237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7" s="88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37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7" s="116"/>
    </row>
    <row r="238" spans="1:46" x14ac:dyDescent="0.25">
      <c r="A238" s="99" t="s">
        <v>150</v>
      </c>
      <c r="B238" s="90" t="s">
        <v>206</v>
      </c>
      <c r="C238" s="81" t="s">
        <v>197</v>
      </c>
      <c r="D238" s="81" t="s">
        <v>152</v>
      </c>
      <c r="E238" s="82">
        <v>98</v>
      </c>
      <c r="F238" s="83">
        <v>2.2999999999999998</v>
      </c>
      <c r="G238" s="81" t="s">
        <v>170</v>
      </c>
      <c r="H238" s="81"/>
      <c r="I238" s="84"/>
      <c r="J238" s="84"/>
      <c r="K238" s="84"/>
      <c r="L238" s="84"/>
      <c r="M238" s="84"/>
      <c r="N238" s="84"/>
      <c r="O238" s="84"/>
      <c r="P238" s="84"/>
      <c r="Q238" s="84"/>
      <c r="R238" s="84">
        <v>5450</v>
      </c>
      <c r="S238" s="84">
        <v>5450</v>
      </c>
      <c r="T238" s="84"/>
      <c r="U238" s="84"/>
      <c r="V238" s="84"/>
      <c r="W238" s="84"/>
      <c r="X238" s="84"/>
      <c r="Y238" s="84"/>
      <c r="Z238" s="84"/>
      <c r="AA238" s="85"/>
      <c r="AB238" s="100"/>
      <c r="AC238" s="100"/>
      <c r="AD238" s="100"/>
      <c r="AE238" s="100"/>
      <c r="AF23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38" s="88">
        <f>Programacion[[#This Row],[ENERO]]+Programacion[[#This Row],[FEBRERO]]+Programacion[[#This Row],[MARZO]]</f>
        <v>0</v>
      </c>
      <c r="AH238" s="88">
        <f>Programacion[[#This Row],[DEVENGADO ENERO]]+Programacion[[#This Row],[DEVENGADO FEBRERO]]+Programacion[[#This Row],[DEVENGADO MARZO]]</f>
        <v>0</v>
      </c>
      <c r="AI238" s="88">
        <f>Programacion[[#This Row],[ABRIL]]+Programacion[[#This Row],[MAYO]]+Programacion[[#This Row],[JUNIO]]</f>
        <v>5450</v>
      </c>
      <c r="AJ238" s="88">
        <f>Programacion[[#This Row],[DEVENGADO ABRIL]]+Programacion[[#This Row],[DEVENGADO MAYO]]+Programacion[[#This Row],[DEVENGADO JUNIO]]</f>
        <v>5450</v>
      </c>
      <c r="AK238" s="88">
        <f>Programacion[[#This Row],[JULIO]]+Programacion[[#This Row],[AGOSTO]]+Programacion[[#This Row],[SEPTIEMBRE]]</f>
        <v>0</v>
      </c>
      <c r="AL238" s="88">
        <f>Programacion[[#This Row],[DEVENGADO JULIO]]+Programacion[[#This Row],[DEVENGADO AGOSTO]]+Programacion[[#This Row],[DEVENGADO SEPTIEMBRE]]</f>
        <v>0</v>
      </c>
      <c r="AM238" s="88">
        <f>Programacion[[#This Row],[OCTUBRE]]+Programacion[[#This Row],[NOVIEMBRE]]+Programacion[[#This Row],[DICIEMBRE]]</f>
        <v>0</v>
      </c>
      <c r="AN238" s="89">
        <f>Programacion[[#This Row],[DEVENGADO OCTUBRE]]+Programacion[[#This Row],[DEVENGADO NOVIEMBRE]]+Programacion[[#This Row],[DEVENGADO DICIEMBRE]]</f>
        <v>0</v>
      </c>
      <c r="AO238" s="89">
        <f>Programacion[[#This Row],[ENERO]]+Programacion[[#This Row],[FEBRERO]]+Programacion[[#This Row],[MARZO]]+Programacion[[#This Row],[ABRIL]]+Programacion[[#This Row],[MAYO]]+Programacion[[#This Row],[JUNIO]]</f>
        <v>5450</v>
      </c>
      <c r="AP23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3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38" s="116"/>
    </row>
    <row r="239" spans="1:46" ht="30" x14ac:dyDescent="0.25">
      <c r="A239" s="99" t="s">
        <v>150</v>
      </c>
      <c r="B239" s="90" t="s">
        <v>195</v>
      </c>
      <c r="C239" s="81" t="s">
        <v>56</v>
      </c>
      <c r="D239" s="81" t="s">
        <v>152</v>
      </c>
      <c r="E239" s="82">
        <v>98</v>
      </c>
      <c r="F239" s="83">
        <v>2.2999999999999998</v>
      </c>
      <c r="G239" s="81" t="s">
        <v>57</v>
      </c>
      <c r="H239" s="81"/>
      <c r="I239" s="84"/>
      <c r="J239" s="84"/>
      <c r="K239" s="84"/>
      <c r="L239" s="84"/>
      <c r="M239" s="84"/>
      <c r="N239" s="84">
        <v>10500</v>
      </c>
      <c r="O239" s="84">
        <v>10500</v>
      </c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5"/>
      <c r="AB239" s="100"/>
      <c r="AC239" s="100"/>
      <c r="AD239" s="100"/>
      <c r="AE239" s="100"/>
      <c r="AF23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39" s="88">
        <f>Programacion[[#This Row],[ENERO]]+Programacion[[#This Row],[FEBRERO]]+Programacion[[#This Row],[MARZO]]</f>
        <v>0</v>
      </c>
      <c r="AH239" s="88">
        <f>Programacion[[#This Row],[DEVENGADO ENERO]]+Programacion[[#This Row],[DEVENGADO FEBRERO]]+Programacion[[#This Row],[DEVENGADO MARZO]]</f>
        <v>0</v>
      </c>
      <c r="AI239" s="88">
        <f>Programacion[[#This Row],[ABRIL]]+Programacion[[#This Row],[MAYO]]+Programacion[[#This Row],[JUNIO]]</f>
        <v>10500</v>
      </c>
      <c r="AJ239" s="88">
        <f>Programacion[[#This Row],[DEVENGADO ABRIL]]+Programacion[[#This Row],[DEVENGADO MAYO]]+Programacion[[#This Row],[DEVENGADO JUNIO]]</f>
        <v>10500</v>
      </c>
      <c r="AK239" s="88">
        <f>Programacion[[#This Row],[JULIO]]+Programacion[[#This Row],[AGOSTO]]+Programacion[[#This Row],[SEPTIEMBRE]]</f>
        <v>0</v>
      </c>
      <c r="AL239" s="88">
        <f>Programacion[[#This Row],[DEVENGADO JULIO]]+Programacion[[#This Row],[DEVENGADO AGOSTO]]+Programacion[[#This Row],[DEVENGADO SEPTIEMBRE]]</f>
        <v>0</v>
      </c>
      <c r="AM239" s="88">
        <f>Programacion[[#This Row],[OCTUBRE]]+Programacion[[#This Row],[NOVIEMBRE]]+Programacion[[#This Row],[DICIEMBRE]]</f>
        <v>0</v>
      </c>
      <c r="AN239" s="89">
        <f>Programacion[[#This Row],[DEVENGADO OCTUBRE]]+Programacion[[#This Row],[DEVENGADO NOVIEMBRE]]+Programacion[[#This Row],[DEVENGADO DICIEMBRE]]</f>
        <v>0</v>
      </c>
      <c r="AO239" s="89">
        <f>Programacion[[#This Row],[ENERO]]+Programacion[[#This Row],[FEBRERO]]+Programacion[[#This Row],[MARZO]]+Programacion[[#This Row],[ABRIL]]+Programacion[[#This Row],[MAYO]]+Programacion[[#This Row],[JUNIO]]</f>
        <v>10500</v>
      </c>
      <c r="AP23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3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39" s="116"/>
    </row>
    <row r="240" spans="1:46" x14ac:dyDescent="0.25">
      <c r="A240" s="99" t="s">
        <v>150</v>
      </c>
      <c r="B240" s="90" t="s">
        <v>207</v>
      </c>
      <c r="C240" s="81" t="s">
        <v>56</v>
      </c>
      <c r="D240" s="81" t="s">
        <v>152</v>
      </c>
      <c r="E240" s="82">
        <v>98</v>
      </c>
      <c r="F240" s="83">
        <v>2.2999999999999998</v>
      </c>
      <c r="G240" s="81" t="s">
        <v>57</v>
      </c>
      <c r="H240" s="81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>
        <v>9500</v>
      </c>
      <c r="AA240" s="85"/>
      <c r="AB240" s="100"/>
      <c r="AC240" s="100"/>
      <c r="AD240" s="100"/>
      <c r="AE240" s="100"/>
      <c r="AF24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40" s="88">
        <f>Programacion[[#This Row],[ENERO]]+Programacion[[#This Row],[FEBRERO]]+Programacion[[#This Row],[MARZO]]</f>
        <v>0</v>
      </c>
      <c r="AH240" s="88">
        <f>Programacion[[#This Row],[DEVENGADO ENERO]]+Programacion[[#This Row],[DEVENGADO FEBRERO]]+Programacion[[#This Row],[DEVENGADO MARZO]]</f>
        <v>0</v>
      </c>
      <c r="AI240" s="88">
        <f>Programacion[[#This Row],[ABRIL]]+Programacion[[#This Row],[MAYO]]+Programacion[[#This Row],[JUNIO]]</f>
        <v>0</v>
      </c>
      <c r="AJ240" s="88">
        <f>Programacion[[#This Row],[DEVENGADO ABRIL]]+Programacion[[#This Row],[DEVENGADO MAYO]]+Programacion[[#This Row],[DEVENGADO JUNIO]]</f>
        <v>0</v>
      </c>
      <c r="AK240" s="88">
        <f>Programacion[[#This Row],[JULIO]]+Programacion[[#This Row],[AGOSTO]]+Programacion[[#This Row],[SEPTIEMBRE]]</f>
        <v>0</v>
      </c>
      <c r="AL240" s="88">
        <f>Programacion[[#This Row],[DEVENGADO JULIO]]+Programacion[[#This Row],[DEVENGADO AGOSTO]]+Programacion[[#This Row],[DEVENGADO SEPTIEMBRE]]</f>
        <v>0</v>
      </c>
      <c r="AM240" s="88">
        <f>Programacion[[#This Row],[OCTUBRE]]+Programacion[[#This Row],[NOVIEMBRE]]+Programacion[[#This Row],[DICIEMBRE]]</f>
        <v>9500</v>
      </c>
      <c r="AN240" s="89">
        <f>Programacion[[#This Row],[DEVENGADO OCTUBRE]]+Programacion[[#This Row],[DEVENGADO NOVIEMBRE]]+Programacion[[#This Row],[DEVENGADO DICIEMBRE]]</f>
        <v>0</v>
      </c>
      <c r="AO240" s="89">
        <f>Programacion[[#This Row],[ENERO]]+Programacion[[#This Row],[FEBRERO]]+Programacion[[#This Row],[MARZO]]+Programacion[[#This Row],[ABRIL]]+Programacion[[#This Row],[MAYO]]+Programacion[[#This Row],[JUNIO]]</f>
        <v>0</v>
      </c>
      <c r="AP24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0" s="89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4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0" s="116"/>
    </row>
    <row r="241" spans="1:46" ht="30" x14ac:dyDescent="0.25">
      <c r="A241" s="99" t="s">
        <v>150</v>
      </c>
      <c r="B241" s="90" t="s">
        <v>208</v>
      </c>
      <c r="C241" s="91" t="s">
        <v>56</v>
      </c>
      <c r="D241" s="81" t="s">
        <v>152</v>
      </c>
      <c r="E241" s="92">
        <v>99</v>
      </c>
      <c r="F241" s="83">
        <v>2.2999999999999998</v>
      </c>
      <c r="G241" s="94" t="s">
        <v>57</v>
      </c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>
        <v>19500</v>
      </c>
      <c r="AA241" s="88"/>
      <c r="AB241" s="88"/>
      <c r="AC241" s="88"/>
      <c r="AD241" s="88"/>
      <c r="AE241" s="88"/>
      <c r="AF24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241" s="88">
        <f>Programacion[[#This Row],[ENERO]]+Programacion[[#This Row],[FEBRERO]]+Programacion[[#This Row],[MARZO]]</f>
        <v>0</v>
      </c>
      <c r="AH241" s="88">
        <f>Programacion[[#This Row],[DEVENGADO ENERO]]+Programacion[[#This Row],[DEVENGADO FEBRERO]]+Programacion[[#This Row],[DEVENGADO MARZO]]</f>
        <v>0</v>
      </c>
      <c r="AI241" s="88">
        <f>Programacion[[#This Row],[ABRIL]]+Programacion[[#This Row],[MAYO]]+Programacion[[#This Row],[JUNIO]]</f>
        <v>0</v>
      </c>
      <c r="AJ241" s="88">
        <f>Programacion[[#This Row],[DEVENGADO ABRIL]]+Programacion[[#This Row],[DEVENGADO MAYO]]+Programacion[[#This Row],[DEVENGADO JUNIO]]</f>
        <v>0</v>
      </c>
      <c r="AK241" s="88">
        <f>Programacion[[#This Row],[JULIO]]+Programacion[[#This Row],[AGOSTO]]+Programacion[[#This Row],[SEPTIEMBRE]]</f>
        <v>0</v>
      </c>
      <c r="AL241" s="88">
        <f>Programacion[[#This Row],[DEVENGADO JULIO]]+Programacion[[#This Row],[DEVENGADO AGOSTO]]+Programacion[[#This Row],[DEVENGADO SEPTIEMBRE]]</f>
        <v>0</v>
      </c>
      <c r="AM241" s="88">
        <f>Programacion[[#This Row],[OCTUBRE]]+Programacion[[#This Row],[NOVIEMBRE]]+Programacion[[#This Row],[DICIEMBRE]]</f>
        <v>19500</v>
      </c>
      <c r="AN241" s="97">
        <f>Programacion[[#This Row],[DEVENGADO OCTUBRE]]+Programacion[[#This Row],[DEVENGADO NOVIEMBRE]]+Programacion[[#This Row],[DEVENGADO DICIEMBRE]]</f>
        <v>0</v>
      </c>
      <c r="AO241" s="97">
        <f>Programacion[[#This Row],[ENERO]]+Programacion[[#This Row],[FEBRERO]]+Programacion[[#This Row],[MARZO]]+Programacion[[#This Row],[ABRIL]]+Programacion[[#This Row],[MAYO]]+Programacion[[#This Row],[JUNIO]]</f>
        <v>0</v>
      </c>
      <c r="AP24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1" s="97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24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1" s="116"/>
    </row>
    <row r="242" spans="1:46" ht="30" x14ac:dyDescent="0.25">
      <c r="A242" s="99" t="s">
        <v>150</v>
      </c>
      <c r="B242" s="90" t="s">
        <v>209</v>
      </c>
      <c r="C242" s="91" t="s">
        <v>56</v>
      </c>
      <c r="D242" s="81" t="s">
        <v>152</v>
      </c>
      <c r="E242" s="92">
        <v>99</v>
      </c>
      <c r="F242" s="83">
        <v>2.2999999999999998</v>
      </c>
      <c r="G242" s="94" t="s">
        <v>57</v>
      </c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>
        <v>16608.68</v>
      </c>
      <c r="AA242" s="88"/>
      <c r="AB242" s="88"/>
      <c r="AC242" s="88"/>
      <c r="AD242" s="88"/>
      <c r="AE242" s="88"/>
      <c r="AF24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242" s="88">
        <f>Programacion[[#This Row],[ENERO]]+Programacion[[#This Row],[FEBRERO]]+Programacion[[#This Row],[MARZO]]</f>
        <v>0</v>
      </c>
      <c r="AH242" s="88">
        <f>Programacion[[#This Row],[DEVENGADO ENERO]]+Programacion[[#This Row],[DEVENGADO FEBRERO]]+Programacion[[#This Row],[DEVENGADO MARZO]]</f>
        <v>0</v>
      </c>
      <c r="AI242" s="88">
        <f>Programacion[[#This Row],[ABRIL]]+Programacion[[#This Row],[MAYO]]+Programacion[[#This Row],[JUNIO]]</f>
        <v>0</v>
      </c>
      <c r="AJ242" s="88">
        <f>Programacion[[#This Row],[DEVENGADO ABRIL]]+Programacion[[#This Row],[DEVENGADO MAYO]]+Programacion[[#This Row],[DEVENGADO JUNIO]]</f>
        <v>0</v>
      </c>
      <c r="AK242" s="88">
        <f>Programacion[[#This Row],[JULIO]]+Programacion[[#This Row],[AGOSTO]]+Programacion[[#This Row],[SEPTIEMBRE]]</f>
        <v>0</v>
      </c>
      <c r="AL242" s="88">
        <f>Programacion[[#This Row],[DEVENGADO JULIO]]+Programacion[[#This Row],[DEVENGADO AGOSTO]]+Programacion[[#This Row],[DEVENGADO SEPTIEMBRE]]</f>
        <v>0</v>
      </c>
      <c r="AM242" s="88">
        <f>Programacion[[#This Row],[OCTUBRE]]+Programacion[[#This Row],[NOVIEMBRE]]+Programacion[[#This Row],[DICIEMBRE]]</f>
        <v>16608.68</v>
      </c>
      <c r="AN242" s="97">
        <f>Programacion[[#This Row],[DEVENGADO OCTUBRE]]+Programacion[[#This Row],[DEVENGADO NOVIEMBRE]]+Programacion[[#This Row],[DEVENGADO DICIEMBRE]]</f>
        <v>0</v>
      </c>
      <c r="AO242" s="97">
        <f>Programacion[[#This Row],[ENERO]]+Programacion[[#This Row],[FEBRERO]]+Programacion[[#This Row],[MARZO]]+Programacion[[#This Row],[ABRIL]]+Programacion[[#This Row],[MAYO]]+Programacion[[#This Row],[JUNIO]]</f>
        <v>0</v>
      </c>
      <c r="AP24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2" s="97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24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2" s="116"/>
    </row>
    <row r="243" spans="1:46" x14ac:dyDescent="0.25">
      <c r="A243" s="99" t="s">
        <v>150</v>
      </c>
      <c r="B243" s="90" t="s">
        <v>210</v>
      </c>
      <c r="C243" s="91" t="s">
        <v>73</v>
      </c>
      <c r="D243" s="81" t="s">
        <v>152</v>
      </c>
      <c r="E243" s="92">
        <v>99</v>
      </c>
      <c r="F243" s="83">
        <v>2.2999999999999998</v>
      </c>
      <c r="G243" s="94" t="s">
        <v>74</v>
      </c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>
        <v>2500</v>
      </c>
      <c r="AA243" s="88"/>
      <c r="AB243" s="88"/>
      <c r="AC243" s="88"/>
      <c r="AD243" s="88"/>
      <c r="AE243" s="88"/>
      <c r="AF24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43" s="88">
        <f>Programacion[[#This Row],[ENERO]]+Programacion[[#This Row],[FEBRERO]]+Programacion[[#This Row],[MARZO]]</f>
        <v>0</v>
      </c>
      <c r="AH243" s="88">
        <f>Programacion[[#This Row],[DEVENGADO ENERO]]+Programacion[[#This Row],[DEVENGADO FEBRERO]]+Programacion[[#This Row],[DEVENGADO MARZO]]</f>
        <v>0</v>
      </c>
      <c r="AI243" s="88">
        <f>Programacion[[#This Row],[ABRIL]]+Programacion[[#This Row],[MAYO]]+Programacion[[#This Row],[JUNIO]]</f>
        <v>0</v>
      </c>
      <c r="AJ243" s="88">
        <f>Programacion[[#This Row],[DEVENGADO ABRIL]]+Programacion[[#This Row],[DEVENGADO MAYO]]+Programacion[[#This Row],[DEVENGADO JUNIO]]</f>
        <v>0</v>
      </c>
      <c r="AK243" s="88">
        <f>Programacion[[#This Row],[JULIO]]+Programacion[[#This Row],[AGOSTO]]+Programacion[[#This Row],[SEPTIEMBRE]]</f>
        <v>0</v>
      </c>
      <c r="AL243" s="88">
        <f>Programacion[[#This Row],[DEVENGADO JULIO]]+Programacion[[#This Row],[DEVENGADO AGOSTO]]+Programacion[[#This Row],[DEVENGADO SEPTIEMBRE]]</f>
        <v>0</v>
      </c>
      <c r="AM243" s="88">
        <f>Programacion[[#This Row],[OCTUBRE]]+Programacion[[#This Row],[NOVIEMBRE]]+Programacion[[#This Row],[DICIEMBRE]]</f>
        <v>2500</v>
      </c>
      <c r="AN243" s="97">
        <f>Programacion[[#This Row],[DEVENGADO OCTUBRE]]+Programacion[[#This Row],[DEVENGADO NOVIEMBRE]]+Programacion[[#This Row],[DEVENGADO DICIEMBRE]]</f>
        <v>0</v>
      </c>
      <c r="AO243" s="97">
        <f>Programacion[[#This Row],[ENERO]]+Programacion[[#This Row],[FEBRERO]]+Programacion[[#This Row],[MARZO]]+Programacion[[#This Row],[ABRIL]]+Programacion[[#This Row],[MAYO]]+Programacion[[#This Row],[JUNIO]]</f>
        <v>0</v>
      </c>
      <c r="AP24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3" s="97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4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3" s="116"/>
    </row>
    <row r="244" spans="1:46" x14ac:dyDescent="0.25">
      <c r="A244" s="99" t="s">
        <v>150</v>
      </c>
      <c r="B244" s="90" t="s">
        <v>211</v>
      </c>
      <c r="C244" s="91" t="s">
        <v>47</v>
      </c>
      <c r="D244" s="81" t="s">
        <v>152</v>
      </c>
      <c r="E244" s="92">
        <v>99</v>
      </c>
      <c r="F244" s="83">
        <v>2.2999999999999998</v>
      </c>
      <c r="G244" s="94" t="s">
        <v>49</v>
      </c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>
        <v>2400</v>
      </c>
      <c r="AA244" s="88"/>
      <c r="AB244" s="88"/>
      <c r="AC244" s="88"/>
      <c r="AD244" s="88"/>
      <c r="AE244" s="88"/>
      <c r="AF24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44" s="88">
        <f>Programacion[[#This Row],[ENERO]]+Programacion[[#This Row],[FEBRERO]]+Programacion[[#This Row],[MARZO]]</f>
        <v>0</v>
      </c>
      <c r="AH244" s="88">
        <f>Programacion[[#This Row],[DEVENGADO ENERO]]+Programacion[[#This Row],[DEVENGADO FEBRERO]]+Programacion[[#This Row],[DEVENGADO MARZO]]</f>
        <v>0</v>
      </c>
      <c r="AI244" s="88">
        <f>Programacion[[#This Row],[ABRIL]]+Programacion[[#This Row],[MAYO]]+Programacion[[#This Row],[JUNIO]]</f>
        <v>0</v>
      </c>
      <c r="AJ244" s="88">
        <f>Programacion[[#This Row],[DEVENGADO ABRIL]]+Programacion[[#This Row],[DEVENGADO MAYO]]+Programacion[[#This Row],[DEVENGADO JUNIO]]</f>
        <v>0</v>
      </c>
      <c r="AK244" s="88">
        <f>Programacion[[#This Row],[JULIO]]+Programacion[[#This Row],[AGOSTO]]+Programacion[[#This Row],[SEPTIEMBRE]]</f>
        <v>0</v>
      </c>
      <c r="AL244" s="88">
        <f>Programacion[[#This Row],[DEVENGADO JULIO]]+Programacion[[#This Row],[DEVENGADO AGOSTO]]+Programacion[[#This Row],[DEVENGADO SEPTIEMBRE]]</f>
        <v>0</v>
      </c>
      <c r="AM244" s="88">
        <f>Programacion[[#This Row],[OCTUBRE]]+Programacion[[#This Row],[NOVIEMBRE]]+Programacion[[#This Row],[DICIEMBRE]]</f>
        <v>2400</v>
      </c>
      <c r="AN244" s="97">
        <f>Programacion[[#This Row],[DEVENGADO OCTUBRE]]+Programacion[[#This Row],[DEVENGADO NOVIEMBRE]]+Programacion[[#This Row],[DEVENGADO DICIEMBRE]]</f>
        <v>0</v>
      </c>
      <c r="AO244" s="97">
        <f>Programacion[[#This Row],[ENERO]]+Programacion[[#This Row],[FEBRERO]]+Programacion[[#This Row],[MARZO]]+Programacion[[#This Row],[ABRIL]]+Programacion[[#This Row],[MAYO]]+Programacion[[#This Row],[JUNIO]]</f>
        <v>0</v>
      </c>
      <c r="AP24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4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4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4" s="116"/>
    </row>
    <row r="245" spans="1:46" x14ac:dyDescent="0.25">
      <c r="A245" s="99" t="s">
        <v>150</v>
      </c>
      <c r="B245" s="90" t="s">
        <v>212</v>
      </c>
      <c r="C245" s="91" t="s">
        <v>47</v>
      </c>
      <c r="D245" s="81" t="s">
        <v>152</v>
      </c>
      <c r="E245" s="92">
        <v>99</v>
      </c>
      <c r="F245" s="83">
        <v>2.2999999999999998</v>
      </c>
      <c r="G245" s="94" t="s">
        <v>51</v>
      </c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>
        <v>1620</v>
      </c>
      <c r="AA245" s="88"/>
      <c r="AB245" s="88"/>
      <c r="AC245" s="88"/>
      <c r="AD245" s="88"/>
      <c r="AE245" s="88"/>
      <c r="AF24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45" s="88">
        <f>Programacion[[#This Row],[ENERO]]+Programacion[[#This Row],[FEBRERO]]+Programacion[[#This Row],[MARZO]]</f>
        <v>0</v>
      </c>
      <c r="AH245" s="88">
        <f>Programacion[[#This Row],[DEVENGADO ENERO]]+Programacion[[#This Row],[DEVENGADO FEBRERO]]+Programacion[[#This Row],[DEVENGADO MARZO]]</f>
        <v>0</v>
      </c>
      <c r="AI245" s="88">
        <f>Programacion[[#This Row],[ABRIL]]+Programacion[[#This Row],[MAYO]]+Programacion[[#This Row],[JUNIO]]</f>
        <v>0</v>
      </c>
      <c r="AJ245" s="88">
        <f>Programacion[[#This Row],[DEVENGADO ABRIL]]+Programacion[[#This Row],[DEVENGADO MAYO]]+Programacion[[#This Row],[DEVENGADO JUNIO]]</f>
        <v>0</v>
      </c>
      <c r="AK245" s="88">
        <f>Programacion[[#This Row],[JULIO]]+Programacion[[#This Row],[AGOSTO]]+Programacion[[#This Row],[SEPTIEMBRE]]</f>
        <v>0</v>
      </c>
      <c r="AL245" s="88">
        <f>Programacion[[#This Row],[DEVENGADO JULIO]]+Programacion[[#This Row],[DEVENGADO AGOSTO]]+Programacion[[#This Row],[DEVENGADO SEPTIEMBRE]]</f>
        <v>0</v>
      </c>
      <c r="AM245" s="88">
        <f>Programacion[[#This Row],[OCTUBRE]]+Programacion[[#This Row],[NOVIEMBRE]]+Programacion[[#This Row],[DICIEMBRE]]</f>
        <v>1620</v>
      </c>
      <c r="AN245" s="97">
        <f>Programacion[[#This Row],[DEVENGADO OCTUBRE]]+Programacion[[#This Row],[DEVENGADO NOVIEMBRE]]+Programacion[[#This Row],[DEVENGADO DICIEMBRE]]</f>
        <v>0</v>
      </c>
      <c r="AO245" s="97">
        <f>Programacion[[#This Row],[ENERO]]+Programacion[[#This Row],[FEBRERO]]+Programacion[[#This Row],[MARZO]]+Programacion[[#This Row],[ABRIL]]+Programacion[[#This Row],[MAYO]]+Programacion[[#This Row],[JUNIO]]</f>
        <v>0</v>
      </c>
      <c r="AP24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5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4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5" s="116"/>
    </row>
    <row r="246" spans="1:46" x14ac:dyDescent="0.25">
      <c r="A246" s="99" t="s">
        <v>150</v>
      </c>
      <c r="B246" s="90" t="s">
        <v>213</v>
      </c>
      <c r="C246" s="91" t="s">
        <v>73</v>
      </c>
      <c r="D246" s="81" t="s">
        <v>152</v>
      </c>
      <c r="E246" s="92">
        <v>99</v>
      </c>
      <c r="F246" s="83">
        <v>2.2999999999999998</v>
      </c>
      <c r="G246" s="94" t="s">
        <v>74</v>
      </c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>
        <v>176</v>
      </c>
      <c r="AA246" s="88"/>
      <c r="AB246" s="88"/>
      <c r="AC246" s="88"/>
      <c r="AD246" s="88"/>
      <c r="AE246" s="88"/>
      <c r="AF24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46" s="88">
        <f>Programacion[[#This Row],[ENERO]]+Programacion[[#This Row],[FEBRERO]]+Programacion[[#This Row],[MARZO]]</f>
        <v>0</v>
      </c>
      <c r="AH246" s="88">
        <f>Programacion[[#This Row],[DEVENGADO ENERO]]+Programacion[[#This Row],[DEVENGADO FEBRERO]]+Programacion[[#This Row],[DEVENGADO MARZO]]</f>
        <v>0</v>
      </c>
      <c r="AI246" s="88">
        <f>Programacion[[#This Row],[ABRIL]]+Programacion[[#This Row],[MAYO]]+Programacion[[#This Row],[JUNIO]]</f>
        <v>0</v>
      </c>
      <c r="AJ246" s="88">
        <f>Programacion[[#This Row],[DEVENGADO ABRIL]]+Programacion[[#This Row],[DEVENGADO MAYO]]+Programacion[[#This Row],[DEVENGADO JUNIO]]</f>
        <v>0</v>
      </c>
      <c r="AK246" s="88">
        <f>Programacion[[#This Row],[JULIO]]+Programacion[[#This Row],[AGOSTO]]+Programacion[[#This Row],[SEPTIEMBRE]]</f>
        <v>0</v>
      </c>
      <c r="AL246" s="88">
        <f>Programacion[[#This Row],[DEVENGADO JULIO]]+Programacion[[#This Row],[DEVENGADO AGOSTO]]+Programacion[[#This Row],[DEVENGADO SEPTIEMBRE]]</f>
        <v>0</v>
      </c>
      <c r="AM246" s="88">
        <f>Programacion[[#This Row],[OCTUBRE]]+Programacion[[#This Row],[NOVIEMBRE]]+Programacion[[#This Row],[DICIEMBRE]]</f>
        <v>176</v>
      </c>
      <c r="AN246" s="97">
        <f>Programacion[[#This Row],[DEVENGADO OCTUBRE]]+Programacion[[#This Row],[DEVENGADO NOVIEMBRE]]+Programacion[[#This Row],[DEVENGADO DICIEMBRE]]</f>
        <v>0</v>
      </c>
      <c r="AO246" s="97">
        <f>Programacion[[#This Row],[ENERO]]+Programacion[[#This Row],[FEBRERO]]+Programacion[[#This Row],[MARZO]]+Programacion[[#This Row],[ABRIL]]+Programacion[[#This Row],[MAYO]]+Programacion[[#This Row],[JUNIO]]</f>
        <v>0</v>
      </c>
      <c r="AP24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6" s="97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4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6" s="116"/>
    </row>
    <row r="247" spans="1:46" x14ac:dyDescent="0.25">
      <c r="A247" s="99" t="s">
        <v>150</v>
      </c>
      <c r="B247" s="90" t="s">
        <v>213</v>
      </c>
      <c r="C247" s="91" t="s">
        <v>73</v>
      </c>
      <c r="D247" s="81" t="s">
        <v>152</v>
      </c>
      <c r="E247" s="92">
        <v>99</v>
      </c>
      <c r="F247" s="83">
        <v>2.2999999999999998</v>
      </c>
      <c r="G247" s="94" t="s">
        <v>74</v>
      </c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>
        <v>3260</v>
      </c>
      <c r="AA247" s="88"/>
      <c r="AB247" s="88"/>
      <c r="AC247" s="88"/>
      <c r="AD247" s="88"/>
      <c r="AE247" s="88"/>
      <c r="AF24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47" s="88">
        <f>Programacion[[#This Row],[ENERO]]+Programacion[[#This Row],[FEBRERO]]+Programacion[[#This Row],[MARZO]]</f>
        <v>0</v>
      </c>
      <c r="AH247" s="88">
        <f>Programacion[[#This Row],[DEVENGADO ENERO]]+Programacion[[#This Row],[DEVENGADO FEBRERO]]+Programacion[[#This Row],[DEVENGADO MARZO]]</f>
        <v>0</v>
      </c>
      <c r="AI247" s="88">
        <f>Programacion[[#This Row],[ABRIL]]+Programacion[[#This Row],[MAYO]]+Programacion[[#This Row],[JUNIO]]</f>
        <v>0</v>
      </c>
      <c r="AJ247" s="88">
        <f>Programacion[[#This Row],[DEVENGADO ABRIL]]+Programacion[[#This Row],[DEVENGADO MAYO]]+Programacion[[#This Row],[DEVENGADO JUNIO]]</f>
        <v>0</v>
      </c>
      <c r="AK247" s="88">
        <f>Programacion[[#This Row],[JULIO]]+Programacion[[#This Row],[AGOSTO]]+Programacion[[#This Row],[SEPTIEMBRE]]</f>
        <v>0</v>
      </c>
      <c r="AL247" s="88">
        <f>Programacion[[#This Row],[DEVENGADO JULIO]]+Programacion[[#This Row],[DEVENGADO AGOSTO]]+Programacion[[#This Row],[DEVENGADO SEPTIEMBRE]]</f>
        <v>0</v>
      </c>
      <c r="AM247" s="88">
        <f>Programacion[[#This Row],[OCTUBRE]]+Programacion[[#This Row],[NOVIEMBRE]]+Programacion[[#This Row],[DICIEMBRE]]</f>
        <v>3260</v>
      </c>
      <c r="AN247" s="97">
        <f>Programacion[[#This Row],[DEVENGADO OCTUBRE]]+Programacion[[#This Row],[DEVENGADO NOVIEMBRE]]+Programacion[[#This Row],[DEVENGADO DICIEMBRE]]</f>
        <v>0</v>
      </c>
      <c r="AO247" s="97">
        <f>Programacion[[#This Row],[ENERO]]+Programacion[[#This Row],[FEBRERO]]+Programacion[[#This Row],[MARZO]]+Programacion[[#This Row],[ABRIL]]+Programacion[[#This Row],[MAYO]]+Programacion[[#This Row],[JUNIO]]</f>
        <v>0</v>
      </c>
      <c r="AP24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7" s="97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4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7" s="116"/>
    </row>
    <row r="248" spans="1:46" ht="30" x14ac:dyDescent="0.25">
      <c r="A248" s="99" t="s">
        <v>150</v>
      </c>
      <c r="B248" s="90" t="s">
        <v>214</v>
      </c>
      <c r="C248" s="91" t="s">
        <v>47</v>
      </c>
      <c r="D248" s="81" t="s">
        <v>152</v>
      </c>
      <c r="E248" s="92">
        <v>99</v>
      </c>
      <c r="F248" s="83">
        <v>2.2999999999999998</v>
      </c>
      <c r="G248" s="94" t="s">
        <v>49</v>
      </c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>
        <v>2400</v>
      </c>
      <c r="AA248" s="88"/>
      <c r="AB248" s="88"/>
      <c r="AC248" s="88"/>
      <c r="AD248" s="88"/>
      <c r="AE248" s="88"/>
      <c r="AF24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48" s="88">
        <f>Programacion[[#This Row],[ENERO]]+Programacion[[#This Row],[FEBRERO]]+Programacion[[#This Row],[MARZO]]</f>
        <v>0</v>
      </c>
      <c r="AH248" s="88">
        <f>Programacion[[#This Row],[DEVENGADO ENERO]]+Programacion[[#This Row],[DEVENGADO FEBRERO]]+Programacion[[#This Row],[DEVENGADO MARZO]]</f>
        <v>0</v>
      </c>
      <c r="AI248" s="88">
        <f>Programacion[[#This Row],[ABRIL]]+Programacion[[#This Row],[MAYO]]+Programacion[[#This Row],[JUNIO]]</f>
        <v>0</v>
      </c>
      <c r="AJ248" s="88">
        <f>Programacion[[#This Row],[DEVENGADO ABRIL]]+Programacion[[#This Row],[DEVENGADO MAYO]]+Programacion[[#This Row],[DEVENGADO JUNIO]]</f>
        <v>0</v>
      </c>
      <c r="AK248" s="88">
        <f>Programacion[[#This Row],[JULIO]]+Programacion[[#This Row],[AGOSTO]]+Programacion[[#This Row],[SEPTIEMBRE]]</f>
        <v>0</v>
      </c>
      <c r="AL248" s="88">
        <f>Programacion[[#This Row],[DEVENGADO JULIO]]+Programacion[[#This Row],[DEVENGADO AGOSTO]]+Programacion[[#This Row],[DEVENGADO SEPTIEMBRE]]</f>
        <v>0</v>
      </c>
      <c r="AM248" s="88">
        <f>Programacion[[#This Row],[OCTUBRE]]+Programacion[[#This Row],[NOVIEMBRE]]+Programacion[[#This Row],[DICIEMBRE]]</f>
        <v>2400</v>
      </c>
      <c r="AN248" s="97">
        <f>Programacion[[#This Row],[DEVENGADO OCTUBRE]]+Programacion[[#This Row],[DEVENGADO NOVIEMBRE]]+Programacion[[#This Row],[DEVENGADO DICIEMBRE]]</f>
        <v>0</v>
      </c>
      <c r="AO248" s="97">
        <f>Programacion[[#This Row],[ENERO]]+Programacion[[#This Row],[FEBRERO]]+Programacion[[#This Row],[MARZO]]+Programacion[[#This Row],[ABRIL]]+Programacion[[#This Row],[MAYO]]+Programacion[[#This Row],[JUNIO]]</f>
        <v>0</v>
      </c>
      <c r="AP24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8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4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8" s="116"/>
    </row>
    <row r="249" spans="1:46" ht="30" x14ac:dyDescent="0.25">
      <c r="A249" s="99" t="s">
        <v>150</v>
      </c>
      <c r="B249" s="90" t="s">
        <v>215</v>
      </c>
      <c r="C249" s="91" t="s">
        <v>47</v>
      </c>
      <c r="D249" s="81" t="s">
        <v>152</v>
      </c>
      <c r="E249" s="92">
        <v>99</v>
      </c>
      <c r="F249" s="83">
        <v>2.2999999999999998</v>
      </c>
      <c r="G249" s="94" t="s">
        <v>51</v>
      </c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>
        <v>1620</v>
      </c>
      <c r="AA249" s="88"/>
      <c r="AB249" s="88"/>
      <c r="AC249" s="88"/>
      <c r="AD249" s="88"/>
      <c r="AE249" s="88"/>
      <c r="AF24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49" s="88">
        <f>Programacion[[#This Row],[ENERO]]+Programacion[[#This Row],[FEBRERO]]+Programacion[[#This Row],[MARZO]]</f>
        <v>0</v>
      </c>
      <c r="AH249" s="88">
        <f>Programacion[[#This Row],[DEVENGADO ENERO]]+Programacion[[#This Row],[DEVENGADO FEBRERO]]+Programacion[[#This Row],[DEVENGADO MARZO]]</f>
        <v>0</v>
      </c>
      <c r="AI249" s="88">
        <f>Programacion[[#This Row],[ABRIL]]+Programacion[[#This Row],[MAYO]]+Programacion[[#This Row],[JUNIO]]</f>
        <v>0</v>
      </c>
      <c r="AJ249" s="88">
        <f>Programacion[[#This Row],[DEVENGADO ABRIL]]+Programacion[[#This Row],[DEVENGADO MAYO]]+Programacion[[#This Row],[DEVENGADO JUNIO]]</f>
        <v>0</v>
      </c>
      <c r="AK249" s="88">
        <f>Programacion[[#This Row],[JULIO]]+Programacion[[#This Row],[AGOSTO]]+Programacion[[#This Row],[SEPTIEMBRE]]</f>
        <v>0</v>
      </c>
      <c r="AL249" s="88">
        <f>Programacion[[#This Row],[DEVENGADO JULIO]]+Programacion[[#This Row],[DEVENGADO AGOSTO]]+Programacion[[#This Row],[DEVENGADO SEPTIEMBRE]]</f>
        <v>0</v>
      </c>
      <c r="AM249" s="88">
        <f>Programacion[[#This Row],[OCTUBRE]]+Programacion[[#This Row],[NOVIEMBRE]]+Programacion[[#This Row],[DICIEMBRE]]</f>
        <v>1620</v>
      </c>
      <c r="AN249" s="97">
        <f>Programacion[[#This Row],[DEVENGADO OCTUBRE]]+Programacion[[#This Row],[DEVENGADO NOVIEMBRE]]+Programacion[[#This Row],[DEVENGADO DICIEMBRE]]</f>
        <v>0</v>
      </c>
      <c r="AO249" s="97">
        <f>Programacion[[#This Row],[ENERO]]+Programacion[[#This Row],[FEBRERO]]+Programacion[[#This Row],[MARZO]]+Programacion[[#This Row],[ABRIL]]+Programacion[[#This Row],[MAYO]]+Programacion[[#This Row],[JUNIO]]</f>
        <v>0</v>
      </c>
      <c r="AP24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9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4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9" s="116"/>
    </row>
    <row r="250" spans="1:46" x14ac:dyDescent="0.25">
      <c r="A250" s="101" t="s">
        <v>216</v>
      </c>
      <c r="B250" s="102" t="s">
        <v>217</v>
      </c>
      <c r="C250" s="103" t="s">
        <v>189</v>
      </c>
      <c r="D250" s="103" t="s">
        <v>152</v>
      </c>
      <c r="E250" s="104">
        <v>102</v>
      </c>
      <c r="F250" s="105">
        <v>2.2999999999999998</v>
      </c>
      <c r="G250" s="103" t="s">
        <v>190</v>
      </c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>
        <v>3300</v>
      </c>
      <c r="U250" s="33">
        <v>3300</v>
      </c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50" s="33">
        <f>Programacion[[#This Row],[ENERO]]+Programacion[[#This Row],[FEBRERO]]+Programacion[[#This Row],[MARZO]]</f>
        <v>0</v>
      </c>
      <c r="AH250" s="33">
        <f>Programacion[[#This Row],[DEVENGADO ENERO]]+Programacion[[#This Row],[DEVENGADO FEBRERO]]+Programacion[[#This Row],[DEVENGADO MARZO]]</f>
        <v>0</v>
      </c>
      <c r="AI250" s="33">
        <f>Programacion[[#This Row],[ABRIL]]+Programacion[[#This Row],[MAYO]]+Programacion[[#This Row],[JUNIO]]</f>
        <v>0</v>
      </c>
      <c r="AJ250" s="33">
        <f>Programacion[[#This Row],[DEVENGADO ABRIL]]+Programacion[[#This Row],[DEVENGADO MAYO]]+Programacion[[#This Row],[DEVENGADO JUNIO]]</f>
        <v>0</v>
      </c>
      <c r="AK250" s="33">
        <f>Programacion[[#This Row],[JULIO]]+Programacion[[#This Row],[AGOSTO]]+Programacion[[#This Row],[SEPTIEMBRE]]</f>
        <v>3300</v>
      </c>
      <c r="AL250" s="33">
        <f>Programacion[[#This Row],[DEVENGADO JULIO]]+Programacion[[#This Row],[DEVENGADO AGOSTO]]+Programacion[[#This Row],[DEVENGADO SEPTIEMBRE]]</f>
        <v>3300</v>
      </c>
      <c r="AM250" s="33">
        <f>Programacion[[#This Row],[OCTUBRE]]+Programacion[[#This Row],[NOVIEMBRE]]+Programacion[[#This Row],[DICIEMBRE]]</f>
        <v>0</v>
      </c>
      <c r="AN250" s="21">
        <f>Programacion[[#This Row],[DEVENGADO OCTUBRE]]+Programacion[[#This Row],[DEVENGADO NOVIEMBRE]]+Programacion[[#This Row],[DEVENGADO DICIEMBRE]]</f>
        <v>0</v>
      </c>
      <c r="AO250" s="21">
        <f>Programacion[[#This Row],[ENERO]]+Programacion[[#This Row],[FEBRERO]]+Programacion[[#This Row],[MARZO]]+Programacion[[#This Row],[ABRIL]]+Programacion[[#This Row],[MAYO]]+Programacion[[#This Row],[JUNIO]]</f>
        <v>0</v>
      </c>
      <c r="AP25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0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5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50" s="116"/>
    </row>
    <row r="251" spans="1:46" ht="24" x14ac:dyDescent="0.25">
      <c r="A251" s="101" t="s">
        <v>216</v>
      </c>
      <c r="B251" s="107" t="s">
        <v>218</v>
      </c>
      <c r="C251" s="103" t="s">
        <v>56</v>
      </c>
      <c r="D251" s="103" t="s">
        <v>152</v>
      </c>
      <c r="E251" s="104">
        <v>102</v>
      </c>
      <c r="F251" s="105">
        <v>2.2999999999999998</v>
      </c>
      <c r="G251" s="103" t="s">
        <v>57</v>
      </c>
      <c r="H251" s="33"/>
      <c r="I251" s="33"/>
      <c r="J251" s="33"/>
      <c r="K251" s="33"/>
      <c r="L251" s="33">
        <v>8000</v>
      </c>
      <c r="M251" s="33">
        <v>8000</v>
      </c>
      <c r="N251" s="33">
        <v>8000</v>
      </c>
      <c r="O251" s="33">
        <v>8000</v>
      </c>
      <c r="P251" s="33">
        <v>8000</v>
      </c>
      <c r="Q251" s="33">
        <v>8000</v>
      </c>
      <c r="R251" s="33">
        <v>8000</v>
      </c>
      <c r="S251" s="33">
        <v>8000</v>
      </c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51" s="33">
        <f>Programacion[[#This Row],[ENERO]]+Programacion[[#This Row],[FEBRERO]]+Programacion[[#This Row],[MARZO]]</f>
        <v>8000</v>
      </c>
      <c r="AH251" s="33">
        <f>Programacion[[#This Row],[DEVENGADO ENERO]]+Programacion[[#This Row],[DEVENGADO FEBRERO]]+Programacion[[#This Row],[DEVENGADO MARZO]]</f>
        <v>8000</v>
      </c>
      <c r="AI251" s="33">
        <f>Programacion[[#This Row],[ABRIL]]+Programacion[[#This Row],[MAYO]]+Programacion[[#This Row],[JUNIO]]</f>
        <v>24000</v>
      </c>
      <c r="AJ251" s="33">
        <f>Programacion[[#This Row],[DEVENGADO ABRIL]]+Programacion[[#This Row],[DEVENGADO MAYO]]+Programacion[[#This Row],[DEVENGADO JUNIO]]</f>
        <v>24000</v>
      </c>
      <c r="AK251" s="33">
        <f>Programacion[[#This Row],[JULIO]]+Programacion[[#This Row],[AGOSTO]]+Programacion[[#This Row],[SEPTIEMBRE]]</f>
        <v>0</v>
      </c>
      <c r="AL251" s="33">
        <f>Programacion[[#This Row],[DEVENGADO JULIO]]+Programacion[[#This Row],[DEVENGADO AGOSTO]]+Programacion[[#This Row],[DEVENGADO SEPTIEMBRE]]</f>
        <v>0</v>
      </c>
      <c r="AM251" s="33">
        <f>Programacion[[#This Row],[OCTUBRE]]+Programacion[[#This Row],[NOVIEMBRE]]+Programacion[[#This Row],[DICIEMBRE]]</f>
        <v>0</v>
      </c>
      <c r="AN251" s="21">
        <f>Programacion[[#This Row],[DEVENGADO OCTUBRE]]+Programacion[[#This Row],[DEVENGADO NOVIEMBRE]]+Programacion[[#This Row],[DEVENGADO DICIEMBRE]]</f>
        <v>0</v>
      </c>
      <c r="AO251" s="21">
        <f>Programacion[[#This Row],[ENERO]]+Programacion[[#This Row],[FEBRERO]]+Programacion[[#This Row],[MARZO]]+Programacion[[#This Row],[ABRIL]]+Programacion[[#This Row],[MAYO]]+Programacion[[#This Row],[JUNIO]]</f>
        <v>32000</v>
      </c>
      <c r="AP25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5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51" s="116"/>
    </row>
    <row r="252" spans="1:46" ht="24" x14ac:dyDescent="0.25">
      <c r="A252" s="101" t="s">
        <v>216</v>
      </c>
      <c r="B252" s="107" t="s">
        <v>219</v>
      </c>
      <c r="C252" s="103" t="s">
        <v>56</v>
      </c>
      <c r="D252" s="103" t="s">
        <v>152</v>
      </c>
      <c r="E252" s="104">
        <v>103</v>
      </c>
      <c r="F252" s="105">
        <v>2.2999999999999998</v>
      </c>
      <c r="G252" s="103" t="s">
        <v>57</v>
      </c>
      <c r="H252" s="33"/>
      <c r="I252" s="33"/>
      <c r="J252" s="33"/>
      <c r="K252" s="33"/>
      <c r="L252" s="33">
        <v>11000</v>
      </c>
      <c r="M252" s="33">
        <v>11000</v>
      </c>
      <c r="N252" s="33">
        <v>11000</v>
      </c>
      <c r="O252" s="33">
        <v>11000</v>
      </c>
      <c r="P252" s="33">
        <v>11000</v>
      </c>
      <c r="Q252" s="33">
        <v>11000</v>
      </c>
      <c r="R252" s="33">
        <v>11000</v>
      </c>
      <c r="S252" s="33">
        <v>11000</v>
      </c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52" s="33">
        <f>Programacion[[#This Row],[ENERO]]+Programacion[[#This Row],[FEBRERO]]+Programacion[[#This Row],[MARZO]]</f>
        <v>11000</v>
      </c>
      <c r="AH252" s="33">
        <f>Programacion[[#This Row],[DEVENGADO ENERO]]+Programacion[[#This Row],[DEVENGADO FEBRERO]]+Programacion[[#This Row],[DEVENGADO MARZO]]</f>
        <v>11000</v>
      </c>
      <c r="AI252" s="33">
        <f>Programacion[[#This Row],[ABRIL]]+Programacion[[#This Row],[MAYO]]+Programacion[[#This Row],[JUNIO]]</f>
        <v>33000</v>
      </c>
      <c r="AJ252" s="33">
        <f>Programacion[[#This Row],[DEVENGADO ABRIL]]+Programacion[[#This Row],[DEVENGADO MAYO]]+Programacion[[#This Row],[DEVENGADO JUNIO]]</f>
        <v>33000</v>
      </c>
      <c r="AK252" s="33">
        <f>Programacion[[#This Row],[JULIO]]+Programacion[[#This Row],[AGOSTO]]+Programacion[[#This Row],[SEPTIEMBRE]]</f>
        <v>0</v>
      </c>
      <c r="AL252" s="33">
        <f>Programacion[[#This Row],[DEVENGADO JULIO]]+Programacion[[#This Row],[DEVENGADO AGOSTO]]+Programacion[[#This Row],[DEVENGADO SEPTIEMBRE]]</f>
        <v>0</v>
      </c>
      <c r="AM252" s="33">
        <f>Programacion[[#This Row],[OCTUBRE]]+Programacion[[#This Row],[NOVIEMBRE]]+Programacion[[#This Row],[DICIEMBRE]]</f>
        <v>0</v>
      </c>
      <c r="AN252" s="21">
        <f>Programacion[[#This Row],[DEVENGADO OCTUBRE]]+Programacion[[#This Row],[DEVENGADO NOVIEMBRE]]+Programacion[[#This Row],[DEVENGADO DICIEMBRE]]</f>
        <v>0</v>
      </c>
      <c r="AO252" s="21">
        <f>Programacion[[#This Row],[ENERO]]+Programacion[[#This Row],[FEBRERO]]+Programacion[[#This Row],[MARZO]]+Programacion[[#This Row],[ABRIL]]+Programacion[[#This Row],[MAYO]]+Programacion[[#This Row],[JUNIO]]</f>
        <v>44000</v>
      </c>
      <c r="AP25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5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52" s="116"/>
    </row>
    <row r="253" spans="1:46" x14ac:dyDescent="0.25">
      <c r="A253" s="101" t="s">
        <v>216</v>
      </c>
      <c r="B253" s="102" t="s">
        <v>220</v>
      </c>
      <c r="C253" s="103" t="s">
        <v>47</v>
      </c>
      <c r="D253" s="103" t="s">
        <v>152</v>
      </c>
      <c r="E253" s="104">
        <v>103</v>
      </c>
      <c r="F253" s="105">
        <v>2.2999999999999998</v>
      </c>
      <c r="G253" s="103" t="s">
        <v>49</v>
      </c>
      <c r="H253" s="33"/>
      <c r="I253" s="33"/>
      <c r="J253" s="33">
        <v>16465.060000000001</v>
      </c>
      <c r="K253" s="33">
        <v>16465.060000000001</v>
      </c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53" s="33">
        <f>Programacion[[#This Row],[ENERO]]+Programacion[[#This Row],[FEBRERO]]+Programacion[[#This Row],[MARZO]]</f>
        <v>16465.060000000001</v>
      </c>
      <c r="AH253" s="33">
        <f>Programacion[[#This Row],[DEVENGADO ENERO]]+Programacion[[#This Row],[DEVENGADO FEBRERO]]+Programacion[[#This Row],[DEVENGADO MARZO]]</f>
        <v>16465.060000000001</v>
      </c>
      <c r="AI253" s="33">
        <f>Programacion[[#This Row],[ABRIL]]+Programacion[[#This Row],[MAYO]]+Programacion[[#This Row],[JUNIO]]</f>
        <v>0</v>
      </c>
      <c r="AJ253" s="33">
        <f>Programacion[[#This Row],[DEVENGADO ABRIL]]+Programacion[[#This Row],[DEVENGADO MAYO]]+Programacion[[#This Row],[DEVENGADO JUNIO]]</f>
        <v>0</v>
      </c>
      <c r="AK253" s="33">
        <f>Programacion[[#This Row],[JULIO]]+Programacion[[#This Row],[AGOSTO]]+Programacion[[#This Row],[SEPTIEMBRE]]</f>
        <v>0</v>
      </c>
      <c r="AL253" s="33">
        <f>Programacion[[#This Row],[DEVENGADO JULIO]]+Programacion[[#This Row],[DEVENGADO AGOSTO]]+Programacion[[#This Row],[DEVENGADO SEPTIEMBRE]]</f>
        <v>0</v>
      </c>
      <c r="AM253" s="33">
        <f>Programacion[[#This Row],[OCTUBRE]]+Programacion[[#This Row],[NOVIEMBRE]]+Programacion[[#This Row],[DICIEMBRE]]</f>
        <v>0</v>
      </c>
      <c r="AN253" s="21">
        <f>Programacion[[#This Row],[DEVENGADO OCTUBRE]]+Programacion[[#This Row],[DEVENGADO NOVIEMBRE]]+Programacion[[#This Row],[DEVENGADO DICIEMBRE]]</f>
        <v>0</v>
      </c>
      <c r="AO253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5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53" s="116"/>
    </row>
    <row r="254" spans="1:46" x14ac:dyDescent="0.25">
      <c r="A254" s="101" t="s">
        <v>216</v>
      </c>
      <c r="B254" s="102" t="s">
        <v>83</v>
      </c>
      <c r="C254" s="103" t="s">
        <v>47</v>
      </c>
      <c r="D254" s="103" t="s">
        <v>152</v>
      </c>
      <c r="E254" s="104">
        <v>103</v>
      </c>
      <c r="F254" s="105">
        <v>2.2999999999999998</v>
      </c>
      <c r="G254" s="103" t="s">
        <v>51</v>
      </c>
      <c r="H254" s="33"/>
      <c r="I254" s="33"/>
      <c r="J254" s="33">
        <v>716.5</v>
      </c>
      <c r="K254" s="33">
        <v>716.5</v>
      </c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54" s="33">
        <f>Programacion[[#This Row],[ENERO]]+Programacion[[#This Row],[FEBRERO]]+Programacion[[#This Row],[MARZO]]</f>
        <v>716.5</v>
      </c>
      <c r="AH254" s="33">
        <f>Programacion[[#This Row],[DEVENGADO ENERO]]+Programacion[[#This Row],[DEVENGADO FEBRERO]]+Programacion[[#This Row],[DEVENGADO MARZO]]</f>
        <v>716.5</v>
      </c>
      <c r="AI254" s="33">
        <f>Programacion[[#This Row],[ABRIL]]+Programacion[[#This Row],[MAYO]]+Programacion[[#This Row],[JUNIO]]</f>
        <v>0</v>
      </c>
      <c r="AJ254" s="33">
        <f>Programacion[[#This Row],[DEVENGADO ABRIL]]+Programacion[[#This Row],[DEVENGADO MAYO]]+Programacion[[#This Row],[DEVENGADO JUNIO]]</f>
        <v>0</v>
      </c>
      <c r="AK254" s="33">
        <f>Programacion[[#This Row],[JULIO]]+Programacion[[#This Row],[AGOSTO]]+Programacion[[#This Row],[SEPTIEMBRE]]</f>
        <v>0</v>
      </c>
      <c r="AL254" s="33">
        <f>Programacion[[#This Row],[DEVENGADO JULIO]]+Programacion[[#This Row],[DEVENGADO AGOSTO]]+Programacion[[#This Row],[DEVENGADO SEPTIEMBRE]]</f>
        <v>0</v>
      </c>
      <c r="AM254" s="33">
        <f>Programacion[[#This Row],[OCTUBRE]]+Programacion[[#This Row],[NOVIEMBRE]]+Programacion[[#This Row],[DICIEMBRE]]</f>
        <v>0</v>
      </c>
      <c r="AN254" s="21">
        <f>Programacion[[#This Row],[DEVENGADO OCTUBRE]]+Programacion[[#This Row],[DEVENGADO NOVIEMBRE]]+Programacion[[#This Row],[DEVENGADO DICIEMBRE]]</f>
        <v>0</v>
      </c>
      <c r="AO254" s="21">
        <f>Programacion[[#This Row],[ENERO]]+Programacion[[#This Row],[FEBRERO]]+Programacion[[#This Row],[MARZO]]+Programacion[[#This Row],[ABRIL]]+Programacion[[#This Row],[MAYO]]+Programacion[[#This Row],[JUNIO]]</f>
        <v>716.5</v>
      </c>
      <c r="AP25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5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54" s="116"/>
    </row>
    <row r="255" spans="1:46" ht="30" x14ac:dyDescent="0.25">
      <c r="A255" s="101" t="s">
        <v>216</v>
      </c>
      <c r="B255" s="102" t="s">
        <v>221</v>
      </c>
      <c r="C255" s="103" t="s">
        <v>56</v>
      </c>
      <c r="D255" s="103" t="s">
        <v>152</v>
      </c>
      <c r="E255" s="104">
        <v>103</v>
      </c>
      <c r="F255" s="105">
        <v>2.2999999999999998</v>
      </c>
      <c r="G255" s="103" t="s">
        <v>57</v>
      </c>
      <c r="H255" s="33"/>
      <c r="I255" s="33"/>
      <c r="J255" s="33"/>
      <c r="K255" s="33"/>
      <c r="L255" s="33">
        <v>22572</v>
      </c>
      <c r="M255" s="33">
        <v>22572</v>
      </c>
      <c r="N255" s="33">
        <v>11628</v>
      </c>
      <c r="O255" s="33">
        <v>11628</v>
      </c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55" s="33">
        <f>Programacion[[#This Row],[ENERO]]+Programacion[[#This Row],[FEBRERO]]+Programacion[[#This Row],[MARZO]]</f>
        <v>22572</v>
      </c>
      <c r="AH255" s="33">
        <f>Programacion[[#This Row],[DEVENGADO ENERO]]+Programacion[[#This Row],[DEVENGADO FEBRERO]]+Programacion[[#This Row],[DEVENGADO MARZO]]</f>
        <v>22572</v>
      </c>
      <c r="AI255" s="33">
        <f>Programacion[[#This Row],[ABRIL]]+Programacion[[#This Row],[MAYO]]+Programacion[[#This Row],[JUNIO]]</f>
        <v>11628</v>
      </c>
      <c r="AJ255" s="33">
        <f>Programacion[[#This Row],[DEVENGADO ABRIL]]+Programacion[[#This Row],[DEVENGADO MAYO]]+Programacion[[#This Row],[DEVENGADO JUNIO]]</f>
        <v>11628</v>
      </c>
      <c r="AK255" s="33">
        <f>Programacion[[#This Row],[JULIO]]+Programacion[[#This Row],[AGOSTO]]+Programacion[[#This Row],[SEPTIEMBRE]]</f>
        <v>0</v>
      </c>
      <c r="AL255" s="33">
        <f>Programacion[[#This Row],[DEVENGADO JULIO]]+Programacion[[#This Row],[DEVENGADO AGOSTO]]+Programacion[[#This Row],[DEVENGADO SEPTIEMBRE]]</f>
        <v>0</v>
      </c>
      <c r="AM255" s="33">
        <f>Programacion[[#This Row],[OCTUBRE]]+Programacion[[#This Row],[NOVIEMBRE]]+Programacion[[#This Row],[DICIEMBRE]]</f>
        <v>0</v>
      </c>
      <c r="AN255" s="21">
        <f>Programacion[[#This Row],[DEVENGADO OCTUBRE]]+Programacion[[#This Row],[DEVENGADO NOVIEMBRE]]+Programacion[[#This Row],[DEVENGADO DICIEMBRE]]</f>
        <v>0</v>
      </c>
      <c r="AO255" s="21">
        <f>Programacion[[#This Row],[ENERO]]+Programacion[[#This Row],[FEBRERO]]+Programacion[[#This Row],[MARZO]]+Programacion[[#This Row],[ABRIL]]+Programacion[[#This Row],[MAYO]]+Programacion[[#This Row],[JUNIO]]</f>
        <v>34200</v>
      </c>
      <c r="AP25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5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55" s="116"/>
    </row>
    <row r="256" spans="1:46" x14ac:dyDescent="0.25">
      <c r="A256" s="101" t="s">
        <v>216</v>
      </c>
      <c r="B256" s="117" t="s">
        <v>84</v>
      </c>
      <c r="C256" s="103" t="s">
        <v>47</v>
      </c>
      <c r="D256" s="103" t="s">
        <v>152</v>
      </c>
      <c r="E256" s="104">
        <v>103</v>
      </c>
      <c r="F256" s="105">
        <v>2.2999999999999998</v>
      </c>
      <c r="G256" s="103" t="s">
        <v>85</v>
      </c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>
        <v>250</v>
      </c>
      <c r="U256" s="33">
        <v>250</v>
      </c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56" s="33">
        <f>Programacion[[#This Row],[ENERO]]+Programacion[[#This Row],[FEBRERO]]+Programacion[[#This Row],[MARZO]]</f>
        <v>0</v>
      </c>
      <c r="AH256" s="33">
        <f>Programacion[[#This Row],[DEVENGADO ENERO]]+Programacion[[#This Row],[DEVENGADO FEBRERO]]+Programacion[[#This Row],[DEVENGADO MARZO]]</f>
        <v>0</v>
      </c>
      <c r="AI256" s="33">
        <f>Programacion[[#This Row],[ABRIL]]+Programacion[[#This Row],[MAYO]]+Programacion[[#This Row],[JUNIO]]</f>
        <v>0</v>
      </c>
      <c r="AJ256" s="33">
        <f>Programacion[[#This Row],[DEVENGADO ABRIL]]+Programacion[[#This Row],[DEVENGADO MAYO]]+Programacion[[#This Row],[DEVENGADO JUNIO]]</f>
        <v>0</v>
      </c>
      <c r="AK256" s="33">
        <f>Programacion[[#This Row],[JULIO]]+Programacion[[#This Row],[AGOSTO]]+Programacion[[#This Row],[SEPTIEMBRE]]</f>
        <v>250</v>
      </c>
      <c r="AL256" s="33">
        <f>Programacion[[#This Row],[DEVENGADO JULIO]]+Programacion[[#This Row],[DEVENGADO AGOSTO]]+Programacion[[#This Row],[DEVENGADO SEPTIEMBRE]]</f>
        <v>250</v>
      </c>
      <c r="AM256" s="33">
        <f>Programacion[[#This Row],[OCTUBRE]]+Programacion[[#This Row],[NOVIEMBRE]]+Programacion[[#This Row],[DICIEMBRE]]</f>
        <v>0</v>
      </c>
      <c r="AN256" s="21">
        <f>Programacion[[#This Row],[DEVENGADO OCTUBRE]]+Programacion[[#This Row],[DEVENGADO NOVIEMBRE]]+Programacion[[#This Row],[DEVENGADO DICIEMBRE]]</f>
        <v>0</v>
      </c>
      <c r="AO256" s="21">
        <f>Programacion[[#This Row],[ENERO]]+Programacion[[#This Row],[FEBRERO]]+Programacion[[#This Row],[MARZO]]+Programacion[[#This Row],[ABRIL]]+Programacion[[#This Row],[MAYO]]+Programacion[[#This Row],[JUNIO]]</f>
        <v>0</v>
      </c>
      <c r="AP25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6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5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5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56" s="116"/>
    </row>
    <row r="257" spans="1:46" x14ac:dyDescent="0.25">
      <c r="A257" s="101" t="s">
        <v>216</v>
      </c>
      <c r="B257" s="102" t="s">
        <v>83</v>
      </c>
      <c r="C257" s="103" t="s">
        <v>47</v>
      </c>
      <c r="D257" s="103" t="s">
        <v>152</v>
      </c>
      <c r="E257" s="104">
        <v>103</v>
      </c>
      <c r="F257" s="105">
        <v>2.2999999999999998</v>
      </c>
      <c r="G257" s="103" t="s">
        <v>51</v>
      </c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>
        <v>675</v>
      </c>
      <c r="U257" s="33">
        <v>675</v>
      </c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57" s="33">
        <f>Programacion[[#This Row],[ENERO]]+Programacion[[#This Row],[FEBRERO]]+Programacion[[#This Row],[MARZO]]</f>
        <v>0</v>
      </c>
      <c r="AH257" s="33">
        <f>Programacion[[#This Row],[DEVENGADO ENERO]]+Programacion[[#This Row],[DEVENGADO FEBRERO]]+Programacion[[#This Row],[DEVENGADO MARZO]]</f>
        <v>0</v>
      </c>
      <c r="AI257" s="33">
        <f>Programacion[[#This Row],[ABRIL]]+Programacion[[#This Row],[MAYO]]+Programacion[[#This Row],[JUNIO]]</f>
        <v>0</v>
      </c>
      <c r="AJ257" s="33">
        <f>Programacion[[#This Row],[DEVENGADO ABRIL]]+Programacion[[#This Row],[DEVENGADO MAYO]]+Programacion[[#This Row],[DEVENGADO JUNIO]]</f>
        <v>0</v>
      </c>
      <c r="AK257" s="33">
        <f>Programacion[[#This Row],[JULIO]]+Programacion[[#This Row],[AGOSTO]]+Programacion[[#This Row],[SEPTIEMBRE]]</f>
        <v>675</v>
      </c>
      <c r="AL257" s="33">
        <f>Programacion[[#This Row],[DEVENGADO JULIO]]+Programacion[[#This Row],[DEVENGADO AGOSTO]]+Programacion[[#This Row],[DEVENGADO SEPTIEMBRE]]</f>
        <v>675</v>
      </c>
      <c r="AM257" s="33">
        <f>Programacion[[#This Row],[OCTUBRE]]+Programacion[[#This Row],[NOVIEMBRE]]+Programacion[[#This Row],[DICIEMBRE]]</f>
        <v>0</v>
      </c>
      <c r="AN257" s="21">
        <f>Programacion[[#This Row],[DEVENGADO OCTUBRE]]+Programacion[[#This Row],[DEVENGADO NOVIEMBRE]]+Programacion[[#This Row],[DEVENGADO DICIEMBRE]]</f>
        <v>0</v>
      </c>
      <c r="AO257" s="21">
        <f>Programacion[[#This Row],[ENERO]]+Programacion[[#This Row],[FEBRERO]]+Programacion[[#This Row],[MARZO]]+Programacion[[#This Row],[ABRIL]]+Programacion[[#This Row],[MAYO]]+Programacion[[#This Row],[JUNIO]]</f>
        <v>0</v>
      </c>
      <c r="AP25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7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5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5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57" s="116"/>
    </row>
    <row r="258" spans="1:46" x14ac:dyDescent="0.25">
      <c r="A258" s="101" t="s">
        <v>216</v>
      </c>
      <c r="B258" s="102" t="s">
        <v>241</v>
      </c>
      <c r="C258" s="81" t="s">
        <v>189</v>
      </c>
      <c r="D258" s="103" t="s">
        <v>152</v>
      </c>
      <c r="E258" s="104">
        <v>103</v>
      </c>
      <c r="F258" s="105">
        <v>2.2999999999999998</v>
      </c>
      <c r="G258" s="103" t="s">
        <v>190</v>
      </c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>
        <v>769</v>
      </c>
      <c r="U258" s="33">
        <v>769</v>
      </c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58" s="33">
        <f>Programacion[[#This Row],[ENERO]]+Programacion[[#This Row],[FEBRERO]]+Programacion[[#This Row],[MARZO]]</f>
        <v>0</v>
      </c>
      <c r="AH258" s="33">
        <f>Programacion[[#This Row],[DEVENGADO ENERO]]+Programacion[[#This Row],[DEVENGADO FEBRERO]]+Programacion[[#This Row],[DEVENGADO MARZO]]</f>
        <v>0</v>
      </c>
      <c r="AI258" s="33">
        <f>Programacion[[#This Row],[ABRIL]]+Programacion[[#This Row],[MAYO]]+Programacion[[#This Row],[JUNIO]]</f>
        <v>0</v>
      </c>
      <c r="AJ258" s="33">
        <f>Programacion[[#This Row],[DEVENGADO ABRIL]]+Programacion[[#This Row],[DEVENGADO MAYO]]+Programacion[[#This Row],[DEVENGADO JUNIO]]</f>
        <v>0</v>
      </c>
      <c r="AK258" s="33">
        <f>Programacion[[#This Row],[JULIO]]+Programacion[[#This Row],[AGOSTO]]+Programacion[[#This Row],[SEPTIEMBRE]]</f>
        <v>769</v>
      </c>
      <c r="AL258" s="33">
        <f>Programacion[[#This Row],[DEVENGADO JULIO]]+Programacion[[#This Row],[DEVENGADO AGOSTO]]+Programacion[[#This Row],[DEVENGADO SEPTIEMBRE]]</f>
        <v>769</v>
      </c>
      <c r="AM258" s="33">
        <f>Programacion[[#This Row],[OCTUBRE]]+Programacion[[#This Row],[NOVIEMBRE]]+Programacion[[#This Row],[DICIEMBRE]]</f>
        <v>0</v>
      </c>
      <c r="AN258" s="21">
        <f>Programacion[[#This Row],[DEVENGADO OCTUBRE]]+Programacion[[#This Row],[DEVENGADO NOVIEMBRE]]+Programacion[[#This Row],[DEVENGADO DICIEMBRE]]</f>
        <v>0</v>
      </c>
      <c r="AO258" s="21">
        <f>Programacion[[#This Row],[ENERO]]+Programacion[[#This Row],[FEBRERO]]+Programacion[[#This Row],[MARZO]]+Programacion[[#This Row],[ABRIL]]+Programacion[[#This Row],[MAYO]]+Programacion[[#This Row],[JUNIO]]</f>
        <v>0</v>
      </c>
      <c r="AP25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8" s="21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5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5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58" s="116"/>
    </row>
    <row r="259" spans="1:46" x14ac:dyDescent="0.25">
      <c r="A259" s="101" t="s">
        <v>216</v>
      </c>
      <c r="B259" s="102" t="s">
        <v>241</v>
      </c>
      <c r="C259" s="81" t="s">
        <v>197</v>
      </c>
      <c r="D259" s="103" t="s">
        <v>152</v>
      </c>
      <c r="E259" s="104">
        <v>102</v>
      </c>
      <c r="F259" s="105">
        <v>2.2999999999999998</v>
      </c>
      <c r="G259" s="103" t="s">
        <v>170</v>
      </c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>
        <v>6624</v>
      </c>
      <c r="U259" s="33">
        <v>6624</v>
      </c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59" s="33">
        <f>Programacion[[#This Row],[ENERO]]+Programacion[[#This Row],[FEBRERO]]+Programacion[[#This Row],[MARZO]]</f>
        <v>0</v>
      </c>
      <c r="AH259" s="33">
        <f>Programacion[[#This Row],[DEVENGADO ENERO]]+Programacion[[#This Row],[DEVENGADO FEBRERO]]+Programacion[[#This Row],[DEVENGADO MARZO]]</f>
        <v>0</v>
      </c>
      <c r="AI259" s="33">
        <f>Programacion[[#This Row],[ABRIL]]+Programacion[[#This Row],[MAYO]]+Programacion[[#This Row],[JUNIO]]</f>
        <v>0</v>
      </c>
      <c r="AJ259" s="33">
        <f>Programacion[[#This Row],[DEVENGADO ABRIL]]+Programacion[[#This Row],[DEVENGADO MAYO]]+Programacion[[#This Row],[DEVENGADO JUNIO]]</f>
        <v>0</v>
      </c>
      <c r="AK259" s="33">
        <f>Programacion[[#This Row],[JULIO]]+Programacion[[#This Row],[AGOSTO]]+Programacion[[#This Row],[SEPTIEMBRE]]</f>
        <v>6624</v>
      </c>
      <c r="AL259" s="33">
        <f>Programacion[[#This Row],[DEVENGADO JULIO]]+Programacion[[#This Row],[DEVENGADO AGOSTO]]+Programacion[[#This Row],[DEVENGADO SEPTIEMBRE]]</f>
        <v>6624</v>
      </c>
      <c r="AM259" s="33">
        <f>Programacion[[#This Row],[OCTUBRE]]+Programacion[[#This Row],[NOVIEMBRE]]+Programacion[[#This Row],[DICIEMBRE]]</f>
        <v>0</v>
      </c>
      <c r="AN259" s="21">
        <f>Programacion[[#This Row],[DEVENGADO OCTUBRE]]+Programacion[[#This Row],[DEVENGADO NOVIEMBRE]]+Programacion[[#This Row],[DEVENGADO DICIEMBRE]]</f>
        <v>0</v>
      </c>
      <c r="AO259" s="21">
        <f>Programacion[[#This Row],[ENERO]]+Programacion[[#This Row],[FEBRERO]]+Programacion[[#This Row],[MARZO]]+Programacion[[#This Row],[ABRIL]]+Programacion[[#This Row],[MAYO]]+Programacion[[#This Row],[JUNIO]]</f>
        <v>0</v>
      </c>
      <c r="AP25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9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5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5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59" s="116"/>
    </row>
    <row r="260" spans="1:46" x14ac:dyDescent="0.25">
      <c r="A260" s="101" t="s">
        <v>216</v>
      </c>
      <c r="B260" s="117" t="s">
        <v>242</v>
      </c>
      <c r="C260" s="46" t="s">
        <v>64</v>
      </c>
      <c r="D260" s="103" t="s">
        <v>152</v>
      </c>
      <c r="E260" s="104">
        <v>103</v>
      </c>
      <c r="F260" s="105">
        <v>2.2999999999999998</v>
      </c>
      <c r="G260" s="103" t="s">
        <v>243</v>
      </c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>
        <v>2700</v>
      </c>
      <c r="U260" s="33">
        <v>2700</v>
      </c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60" s="33">
        <f>Programacion[[#This Row],[ENERO]]+Programacion[[#This Row],[FEBRERO]]+Programacion[[#This Row],[MARZO]]</f>
        <v>0</v>
      </c>
      <c r="AH260" s="33">
        <f>Programacion[[#This Row],[DEVENGADO ENERO]]+Programacion[[#This Row],[DEVENGADO FEBRERO]]+Programacion[[#This Row],[DEVENGADO MARZO]]</f>
        <v>0</v>
      </c>
      <c r="AI260" s="33">
        <f>Programacion[[#This Row],[ABRIL]]+Programacion[[#This Row],[MAYO]]+Programacion[[#This Row],[JUNIO]]</f>
        <v>0</v>
      </c>
      <c r="AJ260" s="33">
        <f>Programacion[[#This Row],[DEVENGADO ABRIL]]+Programacion[[#This Row],[DEVENGADO MAYO]]+Programacion[[#This Row],[DEVENGADO JUNIO]]</f>
        <v>0</v>
      </c>
      <c r="AK260" s="33">
        <f>Programacion[[#This Row],[JULIO]]+Programacion[[#This Row],[AGOSTO]]+Programacion[[#This Row],[SEPTIEMBRE]]</f>
        <v>2700</v>
      </c>
      <c r="AL260" s="33">
        <f>Programacion[[#This Row],[DEVENGADO JULIO]]+Programacion[[#This Row],[DEVENGADO AGOSTO]]+Programacion[[#This Row],[DEVENGADO SEPTIEMBRE]]</f>
        <v>2700</v>
      </c>
      <c r="AM260" s="33">
        <f>Programacion[[#This Row],[OCTUBRE]]+Programacion[[#This Row],[NOVIEMBRE]]+Programacion[[#This Row],[DICIEMBRE]]</f>
        <v>0</v>
      </c>
      <c r="AN260" s="21">
        <f>Programacion[[#This Row],[DEVENGADO OCTUBRE]]+Programacion[[#This Row],[DEVENGADO NOVIEMBRE]]+Programacion[[#This Row],[DEVENGADO DICIEMBRE]]</f>
        <v>0</v>
      </c>
      <c r="AO260" s="21">
        <f>Programacion[[#This Row],[ENERO]]+Programacion[[#This Row],[FEBRERO]]+Programacion[[#This Row],[MARZO]]+Programacion[[#This Row],[ABRIL]]+Programacion[[#This Row],[MAYO]]+Programacion[[#This Row],[JUNIO]]</f>
        <v>0</v>
      </c>
      <c r="AP26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0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6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6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60" s="116"/>
    </row>
    <row r="261" spans="1:46" x14ac:dyDescent="0.25">
      <c r="A261" s="108" t="s">
        <v>216</v>
      </c>
      <c r="B261" s="109" t="s">
        <v>217</v>
      </c>
      <c r="C261" s="103" t="s">
        <v>189</v>
      </c>
      <c r="D261" s="110" t="s">
        <v>152</v>
      </c>
      <c r="E261" s="111">
        <v>103</v>
      </c>
      <c r="F261" s="112">
        <v>2.2999999999999998</v>
      </c>
      <c r="G261" s="103" t="s">
        <v>190</v>
      </c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>
        <v>11508</v>
      </c>
      <c r="U261" s="113">
        <v>11508</v>
      </c>
      <c r="V261" s="113"/>
      <c r="W261" s="113"/>
      <c r="X261" s="113"/>
      <c r="Y261" s="113"/>
      <c r="Z261" s="113"/>
      <c r="AA261" s="113"/>
      <c r="AB261" s="113"/>
      <c r="AC261" s="113"/>
      <c r="AD261" s="113"/>
      <c r="AE261" s="113"/>
      <c r="AF26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61" s="33">
        <f>Programacion[[#This Row],[ENERO]]+Programacion[[#This Row],[FEBRERO]]+Programacion[[#This Row],[MARZO]]</f>
        <v>0</v>
      </c>
      <c r="AH261" s="33">
        <f>Programacion[[#This Row],[DEVENGADO ENERO]]+Programacion[[#This Row],[DEVENGADO FEBRERO]]+Programacion[[#This Row],[DEVENGADO MARZO]]</f>
        <v>0</v>
      </c>
      <c r="AI261" s="33">
        <f>Programacion[[#This Row],[ABRIL]]+Programacion[[#This Row],[MAYO]]+Programacion[[#This Row],[JUNIO]]</f>
        <v>0</v>
      </c>
      <c r="AJ261" s="33">
        <f>Programacion[[#This Row],[DEVENGADO ABRIL]]+Programacion[[#This Row],[DEVENGADO MAYO]]+Programacion[[#This Row],[DEVENGADO JUNIO]]</f>
        <v>0</v>
      </c>
      <c r="AK261" s="33">
        <f>Programacion[[#This Row],[JULIO]]+Programacion[[#This Row],[AGOSTO]]+Programacion[[#This Row],[SEPTIEMBRE]]</f>
        <v>11508</v>
      </c>
      <c r="AL261" s="33">
        <f>Programacion[[#This Row],[DEVENGADO JULIO]]+Programacion[[#This Row],[DEVENGADO AGOSTO]]+Programacion[[#This Row],[DEVENGADO SEPTIEMBRE]]</f>
        <v>11508</v>
      </c>
      <c r="AM261" s="33">
        <f>Programacion[[#This Row],[OCTUBRE]]+Programacion[[#This Row],[NOVIEMBRE]]+Programacion[[#This Row],[DICIEMBRE]]</f>
        <v>0</v>
      </c>
      <c r="AN261" s="21">
        <f>Programacion[[#This Row],[DEVENGADO OCTUBRE]]+Programacion[[#This Row],[DEVENGADO NOVIEMBRE]]+Programacion[[#This Row],[DEVENGADO DICIEMBRE]]</f>
        <v>0</v>
      </c>
      <c r="AO261" s="21">
        <f>Programacion[[#This Row],[ENERO]]+Programacion[[#This Row],[FEBRERO]]+Programacion[[#This Row],[MARZO]]+Programacion[[#This Row],[ABRIL]]+Programacion[[#This Row],[MAYO]]+Programacion[[#This Row],[JUNIO]]</f>
        <v>0</v>
      </c>
      <c r="AP26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1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6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61" s="116"/>
    </row>
  </sheetData>
  <dataValidations count="2">
    <dataValidation type="list" allowBlank="1" showErrorMessage="1" sqref="C51:C62 C103:C104 C133 C136:C137 C149:C158 C180:C186" xr:uid="{9D5C3005-F434-4663-A00E-51DCCA9D3583}">
      <formula1>#REF!</formula1>
    </dataValidation>
    <dataValidation type="list" allowBlank="1" showErrorMessage="1" sqref="C16:C17 C19:C22 C43 C176 C101 C178 C11 C45:C48 C139 C142:C143" xr:uid="{F83E5698-0B4D-44B1-8568-7CB842025CDD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2026-09-11T20:49:28Z</dcterms:modified>
</cp:coreProperties>
</file>