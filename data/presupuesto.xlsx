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118C4557-C701-43A9-A21D-438D60F9AAE5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65" i="1" l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G217" i="1"/>
  <c r="C217" i="1"/>
  <c r="A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<sst xmlns="http://schemas.openxmlformats.org/spreadsheetml/2006/main" count="1362" uniqueCount="320">
  <si>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</si>
  <si>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</si>
  <si>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</si>
  <si>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</si>
  <si>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</si>
  <si>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</si>
  <si>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</si>
  <si>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</si>
  <si>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</si>
  <si>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</si>
  <si>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</si>
  <si>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</si>
  <si>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</si>
  <si>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</si>
  <si>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</si>
  <si>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</si>
  <si>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</si>
  <si>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</si>
  <si>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</si>
  <si>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</si>
  <si>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</si>
  <si>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</si>
  <si>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</si>
  <si>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</si>
  <si>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</si>
  <si>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</si>
  <si>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</si>
  <si>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</si>
  <si>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</si>
  <si>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</si>
  <si>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</si>
  <si>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</si>
  <si>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</si>
  <si>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</si>
  <si>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</si>
  <si>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</si>
  <si>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</si>
  <si>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</si>
  <si>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</si>
  <si>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</si>
  <si>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</si>
  <si>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</si>
  <si>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</si>
  <si>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</si>
  <si>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</si>
  <si>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</si>
  <si>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</si>
  <si>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</si>
  <si>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</si>
  <si>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</si>
  <si>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</si>
  <si>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</si>
  <si>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</si>
  <si>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</si>
  <si>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</si>
  <si>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</si>
  <si>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</si>
  <si>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</si>
  <si>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</si>
  <si>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</si>
  <si>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</si>
  <si>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</si>
  <si>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</si>
  <si>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</si>
  <si>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</si>
  <si>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</si>
  <si>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</si>
  <si>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</si>
  <si>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</si>
  <si>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</si>
  <si>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</si>
  <si>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</si>
  <si>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</si>
  <si>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</si>
  <si>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</si>
  <si>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</si>
  <si>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</si>
  <si>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</si>
  <si>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</si>
  <si>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</si>
  <si>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</si>
  <si>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</si>
  <si>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</si>
  <si>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</si>
  <si>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</si>
  <si>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</si>
  <si>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</si>
  <si>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</si>
  <si>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</si>
  <si>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</si>
  <si>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</si>
  <si>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</si>
  <si>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</si>
  <si>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</si>
  <si>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</si>
  <si>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</si>
  <si>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</si>
  <si>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</si>
  <si>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</si>
  <si>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</si>
  <si>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</si>
  <si>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</si>
  <si>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</si>
  <si>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</si>
  <si>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</si>
  <si>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</si>
  <si>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</si>
  <si>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</si>
  <si>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</si>
  <si>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</si>
  <si>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</si>
  <si>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</si>
  <si>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</si>
  <si>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</si>
  <si>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</si>
  <si>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</si>
  <si>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</si>
  <si>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</si>
  <si>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</si>
  <si>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</si>
  <si>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</si>
  <si>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</si>
  <si>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</si>
  <si>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</si>
  <si>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</si>
  <si>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</si>
  <si>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</si>
  <si>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</si>
  <si>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</si>
  <si>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</si>
  <si>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</si>
  <si>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</si>
  <si>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</si>
  <si>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</si>
  <si>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</si>
  <si>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</si>
  <si>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</si>
  <si>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</si>
  <si>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</si>
  <si>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</si>
  <si>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</si>
  <si>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</si>
  <si>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</si>
  <si>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</si>
  <si>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</si>
  <si>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</si>
  <si>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</si>
  <si>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</si>
  <si>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</si>
  <si>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</si>
  <si>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</si>
  <si>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</si>
  <si>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</si>
  <si>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</si>
  <si>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</si>
  <si>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</si>
  <si>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</si>
  <si>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</si>
  <si>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</si>
  <si>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</si>
  <si>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</si>
  <si>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</si>
  <si>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</si>
  <si>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</si>
  <si>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</si>
  <si>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</si>
  <si>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</si>
  <si>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</si>
  <si>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</si>
  <si>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</si>
  <si>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</si>
  <si>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</si>
  <si>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</si>
  <si>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</si>
  <si>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</si>
  <si>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</si>
  <si>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</si>
  <si>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</si>
  <si>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</si>
  <si>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</si>
  <si>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</si>
  <si>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</si>
  <si>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</si>
  <si>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</si>
  <si>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</si>
  <si>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</si>
  <si>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</si>
  <si>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</si>
  <si>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</si>
  <si>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</si>
  <si>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</si>
  <si>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</si>
  <si>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</si>
  <si>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</si>
  <si>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</si>
  <si>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</si>
  <si>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</si>
  <si>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</si>
  <si>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</si>
  <si>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</si>
  <si>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</si>
  <si>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</si>
  <si>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</si>
  <si>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</si>
  <si>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</si>
  <si>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</si>
  <si>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</si>
  <si>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</si>
  <si>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</si>
  <si>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</si>
  <si>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</si>
  <si>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</si>
  <si>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</si>
  <si>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</si>
  <si>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</si>
  <si>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</si>
  <si>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</si>
  <si>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</si>
  <si>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</si>
  <si>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</si>
  <si>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</si>
  <si>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</si>
  <si>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</si>
  <si>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</si>
  <si>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</si>
  <si>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</si>
  <si>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</si>
  <si>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</si>
  <si>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</si>
  <si>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</si>
  <si>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</si>
  <si>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</si>
  <si>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</si>
  <si>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</si>
  <si>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</si>
  <si>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</si>
  <si>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</si>
  <si>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</si>
  <si>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</si>
  <si>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</si>
  <si>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</si>
  <si>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</si>
  <si>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</si>
  <si>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</si>
  <si>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</si>
  <si>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</si>
  <si>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</si>
  <si>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</si>
  <si>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</si>
  <si>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</si>
  <si>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</si>
  <si>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</si>
  <si>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</si>
  <si>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</si>
  <si>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</si>
  <si>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</si>
  <si>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</si>
  <si>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</si>
  <si>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</si>
  <si>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</si>
  <si>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</si>
  <si>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</si>
  <si>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</si>
  <si>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</si>
  <si>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 xml:space="preserve">SERVICIO DE COORDINACION Y SISTEMATIZACIÓN DE INFORMACIÓN PARA EL SEB 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</si>
  <si>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</si>
  <si>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</si>
  <si>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</si>
  <si>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</si>
  <si>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</si>
  <si>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</si>
  <si>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</si>
  <si>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</si>
  <si>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</si>
  <si>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</si>
  <si>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</si>
  <si>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</si>
  <si>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</si>
  <si>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</si>
  <si>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</si>
  <si>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</si>
  <si>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</si>
  <si>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</si>
  <si>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</si>
  <si>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</si>
  <si>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</si>
  <si>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</si>
  <si>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</si>
  <si>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</si>
  <si>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</si>
  <si>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</si>
  <si>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</si>
  <si>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</si>
  <si>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</si>
  <si>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</si>
  <si>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</si>
  <si>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</si>
  <si>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</si>
  <si>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</si>
  <si>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</si>
  <si>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</si>
  <si>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</si>
  <si>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</si>
  <si>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para estudios socioeconómicos de servicios climáticos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</si>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</sst>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  <fill>
      <patternFill patternType="solid">
        <fgColor rgb="FFB6D7A8"/>
        <bgColor rgb="FFB6D7A8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4" fontId="6" fillId="9" borderId="5" xfId="0" applyNumberFormat="1" applyFont="1" applyFill="1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 wrapText="1"/>
    </xf>
    <xf numFmtId="49" fontId="6" fillId="15" borderId="5" xfId="0" applyNumberFormat="1" applyFont="1" applyFill="1" applyBorder="1" applyAlignment="1">
      <alignment horizontal="center" vertical="center" wrapText="1"/>
    </xf>
    <xf numFmtId="1" fontId="6" fillId="15" borderId="5" xfId="0" applyNumberFormat="1" applyFont="1" applyFill="1" applyBorder="1" applyAlignment="1">
      <alignment horizontal="center" vertical="center" wrapText="1"/>
    </xf>
    <xf numFmtId="1" fontId="6" fillId="15" borderId="5" xfId="0" applyNumberFormat="1" applyFont="1" applyFill="1" applyBorder="1" applyAlignment="1">
      <alignment horizontal="center" vertical="center"/>
    </xf>
    <xf numFmtId="4" fontId="6" fillId="15" borderId="5" xfId="0" applyNumberFormat="1" applyFont="1" applyFill="1" applyBorder="1" applyAlignment="1">
      <alignment horizontal="center" vertical="center"/>
    </xf>
    <xf numFmtId="1" fontId="6" fillId="13" borderId="5" xfId="0" applyNumberFormat="1" applyFont="1" applyFill="1" applyBorder="1" applyAlignment="1">
      <alignment horizontal="center" vertical="center" wrapText="1"/>
    </xf>
    <xf numFmtId="4" fontId="6" fillId="13" borderId="5" xfId="0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47416A-AD15-4C35-891D-077F4F7DB329}" name="Programacion" displayName="Programacion" ref="A1:AS265" totalsRowShown="0" headerRowDxfId="47" dataDxfId="46" tableBorderDxfId="45" headerRowCellStyle="Moneda" dataCellStyle="Moneda">
  <autoFilter ref="A1:AS265" xr:uid="{E770EC71-DFC5-4046-BADD-3F344D291365}"/>
  <tableColumns count="45">
    <tableColumn id="1" xr3:uid="{AB89B3B6-A7F9-42CD-8DF5-C5DA59736ABF}" name="CENTRO COSTO" dataDxfId="44"/>
    <tableColumn id="2" xr3:uid="{610B280F-6B5A-4268-9C1F-22C19120B363}" name="NOMBRE DEL SERVICIO/BIEN A REQUERIR" dataDxfId="43"/>
    <tableColumn id="3" xr3:uid="{9517F4FF-4CFA-4499-83EB-E62D97363178}" name="RUBRO" dataDxfId="42"/>
    <tableColumn id="4" xr3:uid="{759155BE-3810-44CD-95A5-60D655042033}" name="FUENTE DE FINANCIAMIENTO" dataDxfId="41"/>
    <tableColumn id="5" xr3:uid="{DA2F9885-FF55-4E8D-8DA3-20362B50CF45}" name="META" dataDxfId="40"/>
    <tableColumn id="6" xr3:uid="{038D8218-6176-4378-B2C1-F84219DA94D6}" name="GENÉRICA DE GASTO" dataDxfId="39" dataCellStyle="Moneda"/>
    <tableColumn id="7" xr3:uid="{CEB836F6-1B2E-4811-8527-B242EDA33CE7}" name="CLASIFICADOR" dataDxfId="38"/>
    <tableColumn id="8" xr3:uid="{BBEBAB4F-AE72-48F1-85EA-67920EA4D7EA}" name="ENERO" dataDxfId="37" dataCellStyle="Moneda"/>
    <tableColumn id="21" xr3:uid="{DD6017A0-4432-4809-A3AD-568CF80C2064}" name="DEVENGADO ENERO" dataDxfId="36" dataCellStyle="Moneda"/>
    <tableColumn id="9" xr3:uid="{A93B5B33-F17E-42BF-ABA4-83202788C4FB}" name="FEBRERO" dataDxfId="35" dataCellStyle="Moneda"/>
    <tableColumn id="22" xr3:uid="{EB754193-23C7-4108-9382-0BF69D798856}" name="DEVENGADO FEBRERO" dataDxfId="34" dataCellStyle="Moneda"/>
    <tableColumn id="10" xr3:uid="{8417D73F-F348-4003-8F06-6FBE55B83360}" name="MARZO" dataDxfId="33" dataCellStyle="Moneda"/>
    <tableColumn id="23" xr3:uid="{E26C173C-C675-4AB5-886E-07859C46965D}" name="DEVENGADO MARZO" dataDxfId="32" dataCellStyle="Moneda"/>
    <tableColumn id="11" xr3:uid="{392D76C6-80B0-4D5F-85ED-CAC801DB20F1}" name="ABRIL" dataDxfId="31" dataCellStyle="Moneda"/>
    <tableColumn id="24" xr3:uid="{D94772C0-094B-4953-9D3C-A1BB26020C87}" name="DEVENGADO ABRIL" dataDxfId="30" dataCellStyle="Moneda"/>
    <tableColumn id="12" xr3:uid="{FF56B509-04C6-4599-8327-375CC98BA91B}" name="MAYO" dataDxfId="29" dataCellStyle="Moneda"/>
    <tableColumn id="25" xr3:uid="{E8763E7F-FFC6-4AFC-882A-9C6FF81BCD25}" name="DEVENGADO MAYO" dataDxfId="28" dataCellStyle="Moneda"/>
    <tableColumn id="13" xr3:uid="{E62C7D33-1B9B-4A3A-B6CB-862387B4FE9A}" name="JUNIO" dataDxfId="27" dataCellStyle="Moneda"/>
    <tableColumn id="26" xr3:uid="{AC6C9F8B-A79A-4F84-A9FE-857ACDD69933}" name="DEVENGADO JUNIO" dataDxfId="26" dataCellStyle="Moneda"/>
    <tableColumn id="14" xr3:uid="{9345953A-0E93-4737-9A7A-79CDFB434479}" name="JULIO" dataDxfId="25" dataCellStyle="Moneda"/>
    <tableColumn id="27" xr3:uid="{FF3A8CB8-809E-42E6-9891-05E223DAED50}" name="DEVENGADO JULIO" dataDxfId="24" dataCellStyle="Moneda"/>
    <tableColumn id="15" xr3:uid="{6924533A-1C17-408B-951F-12BBF350F8F4}" name="AGOSTO" dataDxfId="23" dataCellStyle="Moneda"/>
    <tableColumn id="28" xr3:uid="{55B562D9-0F62-49B6-8398-84A417363528}" name="DEVENGADO AGOSTO" dataDxfId="22" dataCellStyle="Moneda"/>
    <tableColumn id="16" xr3:uid="{3BD2DE36-A497-417C-8794-CACF61276869}" name="SEPTIEMBRE" dataDxfId="21" dataCellStyle="Moneda"/>
    <tableColumn id="29" xr3:uid="{33C2B137-EBAA-491D-83B1-3BB53248174B}" name="DEVENGADO SEPTIEMBRE" dataDxfId="20" dataCellStyle="Moneda"/>
    <tableColumn id="17" xr3:uid="{234E8154-C0F1-438F-AE6E-CD48A3F92464}" name="OCTUBRE" dataDxfId="19" dataCellStyle="Moneda"/>
    <tableColumn id="30" xr3:uid="{9DC1963F-CB0C-433E-A04B-7E613D3C25D2}" name="DEVENGADO OCTUBRE" dataDxfId="18" dataCellStyle="Moneda"/>
    <tableColumn id="18" xr3:uid="{9AA91CAB-47A0-4028-A25F-44E64C81AE64}" name="NOVIEMBRE" dataDxfId="17" dataCellStyle="Moneda"/>
    <tableColumn id="32" xr3:uid="{5B10A797-5D9F-496C-9C47-858B3C484FF6}" name="DEVENGADO NOVIEMBRE" dataDxfId="16" dataCellStyle="Moneda"/>
    <tableColumn id="19" xr3:uid="{8B314C90-415E-4BC7-9DA1-E2725CA5F09B}" name="DICIEMBRE" dataDxfId="15" dataCellStyle="Moneda"/>
    <tableColumn id="33" xr3:uid="{DC0E8465-30C9-45B2-8336-F843713A149E}" name="DEVENGADO DICIEMBRE" dataDxfId="14" dataCellStyle="Moneda"/>
    <tableColumn id="20" xr3:uid="{DB22561A-11D9-482D-86AA-CE139318B9DF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4F255C88-2D43-4AF4-9F1A-38D044626F0F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BED092A7-3430-4C1C-A3CD-6315A4741E99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B01B0CB8-C597-4E0C-9F3E-10238346893B}" name="SEGUNDO TRIMESTRE" dataDxfId="10" dataCellStyle="Moneda">
      <calculatedColumnFormula>Programacion[[#This Row],[ABRIL]]+Programacion[[#This Row],[MAYO]]+Programacion[[#This Row],[JUNIO]]</calculatedColumnFormula>
    </tableColumn>
    <tableColumn id="44" xr3:uid="{9249E769-4237-4140-9F91-BC9142E2A6AC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3F264C96-F364-4189-8AE1-ECA87C427F20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AE53F212-FB3E-4672-B1DD-A6CE3F0F265E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FBEA68F3-A782-42F3-8070-1EF05996D82A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8CC1E691-A7A7-4027-93E3-C504D080FBAD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65D7A42D-9FD8-4C47-A37D-CF8057A4D36A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0728D21A-11CD-470F-82C6-A5DFD7C770E1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E383C12A-61D6-4D1E-8420-1F14BE816EB1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D248DD8C-E3E4-4F70-A66E-2458BF91C05D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1A7259EF-8B54-4A5E-8605-5904B73C6D26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65"/>
  <sheetViews>
    <sheetView tabSelected="1" topLeftCell="A197" zoomScale="85" zoomScaleNormal="85" workbookViewId="0">
      <selection activeCell="A197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3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3"/>
    </row>
    <row r="4" spans="1:46" ht="30" x14ac:dyDescent="0.25">
      <c r="A4" s="11" t="s">
        <v>45</v>
      </c>
      <c r="B4" s="12" t="s">
        <v>228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3"/>
    </row>
    <row r="5" spans="1:46" x14ac:dyDescent="0.25">
      <c r="A5" s="11" t="s">
        <v>45</v>
      </c>
      <c r="B5" s="12" t="s">
        <v>84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85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3"/>
    </row>
    <row r="6" spans="1:46" x14ac:dyDescent="0.25">
      <c r="A6" s="11" t="s">
        <v>45</v>
      </c>
      <c r="B6" s="12" t="s">
        <v>236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3"/>
    </row>
    <row r="7" spans="1:46" ht="30" x14ac:dyDescent="0.25">
      <c r="A7" s="11" t="s">
        <v>45</v>
      </c>
      <c r="B7" s="12" t="s">
        <v>241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3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3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3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3"/>
    </row>
    <row r="11" spans="1:46" x14ac:dyDescent="0.25">
      <c r="A11" s="115" t="s">
        <v>45</v>
      </c>
      <c r="B11" s="115" t="s">
        <v>50</v>
      </c>
      <c r="C11" s="115" t="s">
        <v>243</v>
      </c>
      <c r="D11" s="116" t="s">
        <v>48</v>
      </c>
      <c r="E11" s="117">
        <v>39</v>
      </c>
      <c r="F11" s="117">
        <v>23</v>
      </c>
      <c r="G11" s="116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3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3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3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3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3"/>
    </row>
    <row r="16" spans="1:46" ht="30" x14ac:dyDescent="0.25">
      <c r="A16" s="115" t="s">
        <v>45</v>
      </c>
      <c r="B16" s="118" t="s">
        <v>244</v>
      </c>
      <c r="C16" s="115" t="s">
        <v>245</v>
      </c>
      <c r="D16" s="116" t="s">
        <v>48</v>
      </c>
      <c r="E16" s="117">
        <v>39</v>
      </c>
      <c r="F16" s="117">
        <v>23</v>
      </c>
      <c r="G16" s="116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3"/>
    </row>
    <row r="17" spans="1:46" x14ac:dyDescent="0.25">
      <c r="A17" s="115" t="s">
        <v>45</v>
      </c>
      <c r="B17" s="118" t="s">
        <v>50</v>
      </c>
      <c r="C17" s="115" t="s">
        <v>243</v>
      </c>
      <c r="D17" s="116" t="s">
        <v>48</v>
      </c>
      <c r="E17" s="117">
        <v>39</v>
      </c>
      <c r="F17" s="117">
        <v>23</v>
      </c>
      <c r="G17" s="116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3"/>
    </row>
    <row r="18" spans="1:46" ht="30" x14ac:dyDescent="0.25">
      <c r="A18" s="115" t="s">
        <v>45</v>
      </c>
      <c r="B18" s="115" t="s">
        <v>246</v>
      </c>
      <c r="C18" s="115" t="s">
        <v>84</v>
      </c>
      <c r="D18" s="116" t="s">
        <v>48</v>
      </c>
      <c r="E18" s="117">
        <v>39</v>
      </c>
      <c r="F18" s="117">
        <v>23</v>
      </c>
      <c r="G18" s="116" t="s">
        <v>85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>
        <v>900</v>
      </c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900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" s="113"/>
    </row>
    <row r="19" spans="1:46" ht="30" x14ac:dyDescent="0.25">
      <c r="A19" s="115" t="s">
        <v>45</v>
      </c>
      <c r="B19" s="118" t="s">
        <v>247</v>
      </c>
      <c r="C19" s="115" t="s">
        <v>245</v>
      </c>
      <c r="D19" s="116" t="s">
        <v>48</v>
      </c>
      <c r="E19" s="117">
        <v>39</v>
      </c>
      <c r="F19" s="117">
        <v>23</v>
      </c>
      <c r="G19" s="116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3"/>
    </row>
    <row r="20" spans="1:46" x14ac:dyDescent="0.25">
      <c r="A20" s="115" t="s">
        <v>45</v>
      </c>
      <c r="B20" s="118" t="s">
        <v>50</v>
      </c>
      <c r="C20" s="115" t="s">
        <v>243</v>
      </c>
      <c r="D20" s="116" t="s">
        <v>48</v>
      </c>
      <c r="E20" s="117">
        <v>39</v>
      </c>
      <c r="F20" s="117">
        <v>23</v>
      </c>
      <c r="G20" s="116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3"/>
    </row>
    <row r="21" spans="1:46" ht="30" x14ac:dyDescent="0.25">
      <c r="A21" s="115" t="s">
        <v>45</v>
      </c>
      <c r="B21" s="118" t="s">
        <v>248</v>
      </c>
      <c r="C21" s="115" t="s">
        <v>245</v>
      </c>
      <c r="D21" s="116" t="s">
        <v>48</v>
      </c>
      <c r="E21" s="117">
        <v>39</v>
      </c>
      <c r="F21" s="117">
        <v>23</v>
      </c>
      <c r="G21" s="116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>
        <v>13000</v>
      </c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13000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3"/>
    </row>
    <row r="22" spans="1:46" x14ac:dyDescent="0.25">
      <c r="A22" s="115" t="s">
        <v>45</v>
      </c>
      <c r="B22" s="118" t="s">
        <v>50</v>
      </c>
      <c r="C22" s="115" t="s">
        <v>243</v>
      </c>
      <c r="D22" s="116" t="s">
        <v>48</v>
      </c>
      <c r="E22" s="117">
        <v>39</v>
      </c>
      <c r="F22" s="117">
        <v>23</v>
      </c>
      <c r="G22" s="116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>
        <v>7020</v>
      </c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7020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3"/>
    </row>
    <row r="23" spans="1:46" ht="30" x14ac:dyDescent="0.25">
      <c r="A23" s="11" t="s">
        <v>45</v>
      </c>
      <c r="B23" s="12" t="s">
        <v>318</v>
      </c>
      <c r="C23" s="13" t="s">
        <v>73</v>
      </c>
      <c r="D23" s="14" t="s">
        <v>48</v>
      </c>
      <c r="E23" s="15">
        <v>39</v>
      </c>
      <c r="F23" s="16">
        <v>2.2999999999999998</v>
      </c>
      <c r="G23" s="14" t="s">
        <v>74</v>
      </c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>
        <v>5000</v>
      </c>
      <c r="AA23" s="33"/>
      <c r="AB23" s="33"/>
      <c r="AC23" s="33"/>
      <c r="AD23" s="33"/>
      <c r="AE23" s="33"/>
      <c r="AF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23" s="33">
        <f>Programacion[[#This Row],[ENERO]]+Programacion[[#This Row],[FEBRERO]]+Programacion[[#This Row],[MARZO]]</f>
        <v>0</v>
      </c>
      <c r="AH23" s="33">
        <f>Programacion[[#This Row],[DEVENGADO ENERO]]+Programacion[[#This Row],[DEVENGADO FEBRERO]]+Programacion[[#This Row],[DEVENGADO MARZO]]</f>
        <v>0</v>
      </c>
      <c r="AI23" s="33">
        <f>Programacion[[#This Row],[ABRIL]]+Programacion[[#This Row],[MAYO]]+Programacion[[#This Row],[JUNIO]]</f>
        <v>0</v>
      </c>
      <c r="AJ23" s="33">
        <f>Programacion[[#This Row],[DEVENGADO ABRIL]]+Programacion[[#This Row],[DEVENGADO MAYO]]+Programacion[[#This Row],[DEVENGADO JUNIO]]</f>
        <v>0</v>
      </c>
      <c r="AK23" s="33">
        <f>Programacion[[#This Row],[JULIO]]+Programacion[[#This Row],[AGOSTO]]+Programacion[[#This Row],[SEPTIEMBRE]]</f>
        <v>0</v>
      </c>
      <c r="AL23" s="33">
        <f>Programacion[[#This Row],[DEVENGADO JULIO]]+Programacion[[#This Row],[DEVENGADO AGOSTO]]+Programacion[[#This Row],[DEVENGADO SEPTIEMBRE]]</f>
        <v>0</v>
      </c>
      <c r="AM23" s="33">
        <f>Programacion[[#This Row],[OCTUBRE]]+Programacion[[#This Row],[NOVIEMBRE]]+Programacion[[#This Row],[DICIEMBRE]]</f>
        <v>5000</v>
      </c>
      <c r="AN23" s="21">
        <f>Programacion[[#This Row],[DEVENGADO OCTUBRE]]+Programacion[[#This Row],[DEVENGADO NOVIEMBRE]]+Programacion[[#This Row],[DEVENGADO DICIEMBRE]]</f>
        <v>0</v>
      </c>
      <c r="AO23" s="21">
        <f>Programacion[[#This Row],[ENERO]]+Programacion[[#This Row],[FEBRERO]]+Programacion[[#This Row],[MARZO]]+Programacion[[#This Row],[ABRIL]]+Programacion[[#This Row],[MAYO]]+Programacion[[#This Row],[JUNIO]]</f>
        <v>0</v>
      </c>
      <c r="AP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" s="113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39</v>
      </c>
      <c r="F24" s="16">
        <v>2.2999999999999998</v>
      </c>
      <c r="G24" s="14" t="s">
        <v>57</v>
      </c>
      <c r="H24" s="17"/>
      <c r="I24" s="17"/>
      <c r="J24" s="17">
        <v>5000</v>
      </c>
      <c r="K24" s="17">
        <v>5000</v>
      </c>
      <c r="L24" s="17">
        <v>5000</v>
      </c>
      <c r="M24" s="17">
        <v>5000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4" s="19">
        <f>Programacion[[#This Row],[ENERO]]+Programacion[[#This Row],[FEBRERO]]+Programacion[[#This Row],[MARZO]]</f>
        <v>10000</v>
      </c>
      <c r="AH24" s="19">
        <f>Programacion[[#This Row],[DEVENGADO ENERO]]+Programacion[[#This Row],[DEVENGADO FEBRERO]]+Programacion[[#This Row],[DEVENGADO MARZO]]</f>
        <v>10000</v>
      </c>
      <c r="AI24" s="19">
        <f>Programacion[[#This Row],[ABRIL]]+Programacion[[#This Row],[MAYO]]+Programacion[[#This Row],[JUNIO]]</f>
        <v>0</v>
      </c>
      <c r="AJ24" s="19">
        <f>Programacion[[#This Row],[DEVENGADO ABRIL]]+Programacion[[#This Row],[DEVENGADO MAYO]]+Programacion[[#This Row],[DEVENGADO JUNIO]]</f>
        <v>0</v>
      </c>
      <c r="AK24" s="19">
        <f>Programacion[[#This Row],[JULIO]]+Programacion[[#This Row],[AGOSTO]]+Programacion[[#This Row],[SEPTIEMBRE]]</f>
        <v>0</v>
      </c>
      <c r="AL24" s="19">
        <f>Programacion[[#This Row],[DEVENGADO JULIO]]+Programacion[[#This Row],[DEVENGADO AGOSTO]]+Programacion[[#This Row],[DEVENGADO SEPTIEMBRE]]</f>
        <v>0</v>
      </c>
      <c r="AM24" s="19">
        <f>Programacion[[#This Row],[OCTUBRE]]+Programacion[[#This Row],[NOVIEMBRE]]+Programacion[[#This Row],[DICIEMBRE]]</f>
        <v>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10000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4" s="113"/>
    </row>
    <row r="25" spans="1:46" ht="30" x14ac:dyDescent="0.25">
      <c r="A25" s="11" t="s">
        <v>45</v>
      </c>
      <c r="B25" s="12" t="s">
        <v>55</v>
      </c>
      <c r="C25" s="13" t="s">
        <v>56</v>
      </c>
      <c r="D25" s="14" t="s">
        <v>48</v>
      </c>
      <c r="E25" s="15">
        <v>3</v>
      </c>
      <c r="F25" s="16">
        <v>2.2999999999999998</v>
      </c>
      <c r="G25" s="14" t="s">
        <v>57</v>
      </c>
      <c r="H25" s="17"/>
      <c r="I25" s="17"/>
      <c r="J25" s="17"/>
      <c r="K25" s="17"/>
      <c r="L25" s="17"/>
      <c r="M25" s="17"/>
      <c r="N25" s="17">
        <v>5000</v>
      </c>
      <c r="O25" s="17">
        <v>5000</v>
      </c>
      <c r="P25" s="17">
        <v>5000</v>
      </c>
      <c r="Q25" s="17">
        <v>5000</v>
      </c>
      <c r="R25" s="17">
        <v>10000</v>
      </c>
      <c r="S25" s="17">
        <v>10000</v>
      </c>
      <c r="T25" s="17">
        <v>5000</v>
      </c>
      <c r="U25" s="17">
        <v>5000</v>
      </c>
      <c r="V25" s="17">
        <v>5000</v>
      </c>
      <c r="W25" s="17">
        <v>5000</v>
      </c>
      <c r="X25" s="17">
        <v>5000</v>
      </c>
      <c r="Y25" s="17"/>
      <c r="Z25" s="17">
        <v>5000</v>
      </c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5" s="19">
        <f>Programacion[[#This Row],[ENERO]]+Programacion[[#This Row],[FEBRERO]]+Programacion[[#This Row],[MARZO]]</f>
        <v>0</v>
      </c>
      <c r="AH25" s="19">
        <f>Programacion[[#This Row],[DEVENGADO ENERO]]+Programacion[[#This Row],[DEVENGADO FEBRERO]]+Programacion[[#This Row],[DEVENGADO MARZO]]</f>
        <v>0</v>
      </c>
      <c r="AI25" s="19">
        <f>Programacion[[#This Row],[ABRIL]]+Programacion[[#This Row],[MAYO]]+Programacion[[#This Row],[JUNIO]]</f>
        <v>20000</v>
      </c>
      <c r="AJ25" s="19">
        <f>Programacion[[#This Row],[DEVENGADO ABRIL]]+Programacion[[#This Row],[DEVENGADO MAYO]]+Programacion[[#This Row],[DEVENGADO JUNIO]]</f>
        <v>20000</v>
      </c>
      <c r="AK25" s="19">
        <f>Programacion[[#This Row],[JULIO]]+Programacion[[#This Row],[AGOSTO]]+Programacion[[#This Row],[SEPTIEMBRE]]</f>
        <v>15000</v>
      </c>
      <c r="AL25" s="19">
        <f>Programacion[[#This Row],[DEVENGADO JULIO]]+Programacion[[#This Row],[DEVENGADO AGOSTO]]+Programacion[[#This Row],[DEVENGADO SEPTIEMBRE]]</f>
        <v>10000</v>
      </c>
      <c r="AM25" s="19">
        <f>Programacion[[#This Row],[OCTUBRE]]+Programacion[[#This Row],[NOVIEMBRE]]+Programacion[[#This Row],[DICIEMBRE]]</f>
        <v>5000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20000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5" s="113"/>
    </row>
    <row r="26" spans="1:46" ht="30" x14ac:dyDescent="0.25">
      <c r="A26" s="11" t="s">
        <v>45</v>
      </c>
      <c r="B26" s="12" t="s">
        <v>55</v>
      </c>
      <c r="C26" s="13" t="s">
        <v>56</v>
      </c>
      <c r="D26" s="14" t="s">
        <v>48</v>
      </c>
      <c r="E26" s="15">
        <v>39</v>
      </c>
      <c r="F26" s="16">
        <v>2.2999999999999998</v>
      </c>
      <c r="G26" s="14" t="s">
        <v>57</v>
      </c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>
        <v>1500</v>
      </c>
      <c r="AA26" s="33"/>
      <c r="AB26" s="33">
        <v>1500</v>
      </c>
      <c r="AC26" s="33"/>
      <c r="AD26" s="33">
        <v>1500</v>
      </c>
      <c r="AE26" s="33"/>
      <c r="AF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6" s="33">
        <f>Programacion[[#This Row],[ENERO]]+Programacion[[#This Row],[FEBRERO]]+Programacion[[#This Row],[MARZO]]</f>
        <v>0</v>
      </c>
      <c r="AH26" s="33">
        <f>Programacion[[#This Row],[DEVENGADO ENERO]]+Programacion[[#This Row],[DEVENGADO FEBRERO]]+Programacion[[#This Row],[DEVENGADO MARZO]]</f>
        <v>0</v>
      </c>
      <c r="AI26" s="33">
        <f>Programacion[[#This Row],[ABRIL]]+Programacion[[#This Row],[MAYO]]+Programacion[[#This Row],[JUNIO]]</f>
        <v>0</v>
      </c>
      <c r="AJ26" s="33">
        <f>Programacion[[#This Row],[DEVENGADO ABRIL]]+Programacion[[#This Row],[DEVENGADO MAYO]]+Programacion[[#This Row],[DEVENGADO JUNIO]]</f>
        <v>0</v>
      </c>
      <c r="AK26" s="33">
        <f>Programacion[[#This Row],[JULIO]]+Programacion[[#This Row],[AGOSTO]]+Programacion[[#This Row],[SEPTIEMBRE]]</f>
        <v>0</v>
      </c>
      <c r="AL26" s="33">
        <f>Programacion[[#This Row],[DEVENGADO JULIO]]+Programacion[[#This Row],[DEVENGADO AGOSTO]]+Programacion[[#This Row],[DEVENGADO SEPTIEMBRE]]</f>
        <v>0</v>
      </c>
      <c r="AM26" s="33">
        <f>Programacion[[#This Row],[OCTUBRE]]+Programacion[[#This Row],[NOVIEMBRE]]+Programacion[[#This Row],[DICIEMBRE]]</f>
        <v>4500</v>
      </c>
      <c r="AN26" s="21">
        <f>Programacion[[#This Row],[DEVENGADO OCTUBRE]]+Programacion[[#This Row],[DEVENGADO NOVIEMBRE]]+Programacion[[#This Row],[DEVENGADO DICIEMBRE]]</f>
        <v>0</v>
      </c>
      <c r="AO26" s="21">
        <f>Programacion[[#This Row],[ENERO]]+Programacion[[#This Row],[FEBRERO]]+Programacion[[#This Row],[MARZO]]+Programacion[[#This Row],[ABRIL]]+Programacion[[#This Row],[MAYO]]+Programacion[[#This Row],[JUNIO]]</f>
        <v>0</v>
      </c>
      <c r="AP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1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113"/>
    </row>
    <row r="27" spans="1:46" x14ac:dyDescent="0.25">
      <c r="A27" s="11" t="s">
        <v>45</v>
      </c>
      <c r="B27" s="12" t="s">
        <v>58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5760</v>
      </c>
      <c r="K27" s="17">
        <v>5760</v>
      </c>
      <c r="L27" s="17">
        <v>5760</v>
      </c>
      <c r="M27" s="17">
        <v>5760</v>
      </c>
      <c r="N27" s="17">
        <v>5760</v>
      </c>
      <c r="O27" s="17">
        <v>5760</v>
      </c>
      <c r="P27" s="17">
        <v>12240</v>
      </c>
      <c r="Q27" s="17">
        <v>12240</v>
      </c>
      <c r="R27" s="17">
        <v>6480</v>
      </c>
      <c r="S27" s="17">
        <v>6480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7" s="19">
        <f>Programacion[[#This Row],[ENERO]]+Programacion[[#This Row],[FEBRERO]]+Programacion[[#This Row],[MARZO]]</f>
        <v>11520</v>
      </c>
      <c r="AH27" s="19">
        <f>Programacion[[#This Row],[DEVENGADO ENERO]]+Programacion[[#This Row],[DEVENGADO FEBRERO]]+Programacion[[#This Row],[DEVENGADO MARZO]]</f>
        <v>11520</v>
      </c>
      <c r="AI27" s="19">
        <f>Programacion[[#This Row],[ABRIL]]+Programacion[[#This Row],[MAYO]]+Programacion[[#This Row],[JUNIO]]</f>
        <v>24480</v>
      </c>
      <c r="AJ27" s="19">
        <f>Programacion[[#This Row],[DEVENGADO ABRIL]]+Programacion[[#This Row],[DEVENGADO MAYO]]+Programacion[[#This Row],[DEVENGADO JUNIO]]</f>
        <v>24480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36000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7" s="113"/>
    </row>
    <row r="28" spans="1:46" x14ac:dyDescent="0.25">
      <c r="A28" s="11" t="s">
        <v>45</v>
      </c>
      <c r="B28" s="12" t="s">
        <v>59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6000</v>
      </c>
      <c r="U28" s="17">
        <v>6000</v>
      </c>
      <c r="V28" s="17">
        <v>6000</v>
      </c>
      <c r="W28" s="17">
        <v>6000</v>
      </c>
      <c r="X28" s="17">
        <v>6000</v>
      </c>
      <c r="Y28" s="17"/>
      <c r="Z28" s="17">
        <v>6000</v>
      </c>
      <c r="AA28" s="17"/>
      <c r="AB28" s="17">
        <v>6000</v>
      </c>
      <c r="AC28" s="17"/>
      <c r="AD28" s="17">
        <v>6000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18000</v>
      </c>
      <c r="AL28" s="19">
        <f>Programacion[[#This Row],[DEVENGADO JULIO]]+Programacion[[#This Row],[DEVENGADO AGOSTO]]+Programacion[[#This Row],[DEVENGADO SEPTIEMBRE]]</f>
        <v>12000</v>
      </c>
      <c r="AM28" s="19">
        <f>Programacion[[#This Row],[OCTUBRE]]+Programacion[[#This Row],[NOVIEMBRE]]+Programacion[[#This Row],[DICIEMBRE]]</f>
        <v>18000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8" s="113"/>
    </row>
    <row r="29" spans="1:46" x14ac:dyDescent="0.25">
      <c r="A29" s="11" t="s">
        <v>45</v>
      </c>
      <c r="B29" s="12" t="s">
        <v>60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4320</v>
      </c>
      <c r="K29" s="17">
        <v>4320</v>
      </c>
      <c r="L29" s="17">
        <v>4320</v>
      </c>
      <c r="M29" s="17">
        <v>4320</v>
      </c>
      <c r="N29" s="17">
        <v>4320</v>
      </c>
      <c r="O29" s="17">
        <v>4320</v>
      </c>
      <c r="P29" s="17">
        <v>9180</v>
      </c>
      <c r="Q29" s="17">
        <v>9180</v>
      </c>
      <c r="R29" s="17">
        <v>4860</v>
      </c>
      <c r="S29" s="17">
        <v>4860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9" s="19">
        <f>Programacion[[#This Row],[ENERO]]+Programacion[[#This Row],[FEBRERO]]+Programacion[[#This Row],[MARZO]]</f>
        <v>8640</v>
      </c>
      <c r="AH29" s="19">
        <f>Programacion[[#This Row],[DEVENGADO ENERO]]+Programacion[[#This Row],[DEVENGADO FEBRERO]]+Programacion[[#This Row],[DEVENGADO MARZO]]</f>
        <v>8640</v>
      </c>
      <c r="AI29" s="19">
        <f>Programacion[[#This Row],[ABRIL]]+Programacion[[#This Row],[MAYO]]+Programacion[[#This Row],[JUNIO]]</f>
        <v>18360</v>
      </c>
      <c r="AJ29" s="19">
        <f>Programacion[[#This Row],[DEVENGADO ABRIL]]+Programacion[[#This Row],[DEVENGADO MAYO]]+Programacion[[#This Row],[DEVENGADO JUNIO]]</f>
        <v>18360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27000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9" s="113"/>
    </row>
    <row r="30" spans="1:46" ht="30" x14ac:dyDescent="0.25">
      <c r="A30" s="11" t="s">
        <v>45</v>
      </c>
      <c r="B30" s="12" t="s">
        <v>61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3"/>
    </row>
    <row r="31" spans="1:46" ht="30" x14ac:dyDescent="0.25">
      <c r="A31" s="11" t="s">
        <v>45</v>
      </c>
      <c r="B31" s="12" t="s">
        <v>62</v>
      </c>
      <c r="C31" s="13" t="s">
        <v>56</v>
      </c>
      <c r="D31" s="14" t="s">
        <v>48</v>
      </c>
      <c r="E31" s="15">
        <v>39</v>
      </c>
      <c r="F31" s="16">
        <v>2.2999999999999998</v>
      </c>
      <c r="G31" s="14" t="s">
        <v>57</v>
      </c>
      <c r="H31" s="17"/>
      <c r="I31" s="17"/>
      <c r="J31" s="17">
        <v>3840</v>
      </c>
      <c r="K31" s="17">
        <v>3840</v>
      </c>
      <c r="L31" s="17">
        <v>3840</v>
      </c>
      <c r="M31" s="17">
        <v>3840</v>
      </c>
      <c r="N31" s="17">
        <v>3840</v>
      </c>
      <c r="O31" s="17">
        <v>3840</v>
      </c>
      <c r="P31" s="17">
        <v>8160</v>
      </c>
      <c r="Q31" s="17">
        <v>8160</v>
      </c>
      <c r="R31" s="17">
        <v>4320</v>
      </c>
      <c r="S31" s="17">
        <v>4320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1" s="19">
        <f>Programacion[[#This Row],[ENERO]]+Programacion[[#This Row],[FEBRERO]]+Programacion[[#This Row],[MARZO]]</f>
        <v>7680</v>
      </c>
      <c r="AH31" s="19">
        <f>Programacion[[#This Row],[DEVENGADO ENERO]]+Programacion[[#This Row],[DEVENGADO FEBRERO]]+Programacion[[#This Row],[DEVENGADO MARZO]]</f>
        <v>7680</v>
      </c>
      <c r="AI31" s="19">
        <f>Programacion[[#This Row],[ABRIL]]+Programacion[[#This Row],[MAYO]]+Programacion[[#This Row],[JUNIO]]</f>
        <v>16320</v>
      </c>
      <c r="AJ31" s="19">
        <f>Programacion[[#This Row],[DEVENGADO ABRIL]]+Programacion[[#This Row],[DEVENGADO MAYO]]+Programacion[[#This Row],[DEVENGADO JUNIO]]</f>
        <v>16320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0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24000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1" s="113"/>
    </row>
    <row r="32" spans="1:46" x14ac:dyDescent="0.25">
      <c r="A32" s="11" t="s">
        <v>45</v>
      </c>
      <c r="B32" s="12" t="s">
        <v>63</v>
      </c>
      <c r="C32" s="13" t="s">
        <v>56</v>
      </c>
      <c r="D32" s="14" t="s">
        <v>48</v>
      </c>
      <c r="E32" s="15">
        <v>3</v>
      </c>
      <c r="F32" s="16">
        <v>2.2999999999999998</v>
      </c>
      <c r="G32" s="14" t="s">
        <v>57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>
        <v>4000</v>
      </c>
      <c r="U32" s="17">
        <v>4000</v>
      </c>
      <c r="V32" s="17">
        <v>4000</v>
      </c>
      <c r="W32" s="17">
        <v>4000</v>
      </c>
      <c r="X32" s="17">
        <v>4000</v>
      </c>
      <c r="Y32" s="17"/>
      <c r="Z32" s="17">
        <v>4000</v>
      </c>
      <c r="AA32" s="17"/>
      <c r="AB32" s="17">
        <v>4000</v>
      </c>
      <c r="AC32" s="17"/>
      <c r="AD32" s="17">
        <v>4000</v>
      </c>
      <c r="AE32" s="17"/>
      <c r="AF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2" s="19">
        <f>Programacion[[#This Row],[ENERO]]+Programacion[[#This Row],[FEBRERO]]+Programacion[[#This Row],[MARZO]]</f>
        <v>0</v>
      </c>
      <c r="AH32" s="19">
        <f>Programacion[[#This Row],[DEVENGADO ENERO]]+Programacion[[#This Row],[DEVENGADO FEBRERO]]+Programacion[[#This Row],[DEVENGADO MARZO]]</f>
        <v>0</v>
      </c>
      <c r="AI32" s="19">
        <f>Programacion[[#This Row],[ABRIL]]+Programacion[[#This Row],[MAYO]]+Programacion[[#This Row],[JUNIO]]</f>
        <v>0</v>
      </c>
      <c r="AJ32" s="19">
        <f>Programacion[[#This Row],[DEVENGADO ABRIL]]+Programacion[[#This Row],[DEVENGADO MAYO]]+Programacion[[#This Row],[DEVENGADO JUNIO]]</f>
        <v>0</v>
      </c>
      <c r="AK32" s="19">
        <f>Programacion[[#This Row],[JULIO]]+Programacion[[#This Row],[AGOSTO]]+Programacion[[#This Row],[SEPTIEMBRE]]</f>
        <v>12000</v>
      </c>
      <c r="AL32" s="19">
        <f>Programacion[[#This Row],[DEVENGADO JULIO]]+Programacion[[#This Row],[DEVENGADO AGOSTO]]+Programacion[[#This Row],[DEVENGADO SEPTIEMBRE]]</f>
        <v>8000</v>
      </c>
      <c r="AM32" s="19">
        <f>Programacion[[#This Row],[OCTUBRE]]+Programacion[[#This Row],[NOVIEMBRE]]+Programacion[[#This Row],[DICIEMBRE]]</f>
        <v>12000</v>
      </c>
      <c r="AN32" s="20">
        <f>Programacion[[#This Row],[DEVENGADO OCTUBRE]]+Programacion[[#This Row],[DEVENGADO NOVIEMBRE]]+Programacion[[#This Row],[DEVENGADO DICIEMBRE]]</f>
        <v>0</v>
      </c>
      <c r="AO32" s="20">
        <f>Programacion[[#This Row],[ENERO]]+Programacion[[#This Row],[FEBRERO]]+Programacion[[#This Row],[MARZO]]+Programacion[[#This Row],[ABRIL]]+Programacion[[#This Row],[MAYO]]+Programacion[[#This Row],[JUNIO]]</f>
        <v>0</v>
      </c>
      <c r="AP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2" s="113"/>
    </row>
    <row r="33" spans="1:46" x14ac:dyDescent="0.25">
      <c r="A33" s="98" t="s">
        <v>45</v>
      </c>
      <c r="B33" s="99" t="s">
        <v>229</v>
      </c>
      <c r="C33" s="100" t="s">
        <v>186</v>
      </c>
      <c r="D33" s="100" t="s">
        <v>48</v>
      </c>
      <c r="E33" s="101">
        <v>39</v>
      </c>
      <c r="F33" s="102">
        <v>2.2999999999999998</v>
      </c>
      <c r="G33" s="100" t="s">
        <v>230</v>
      </c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>
        <v>2880</v>
      </c>
      <c r="S33" s="33"/>
      <c r="T33" s="33"/>
      <c r="U33" s="33">
        <v>2880</v>
      </c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3" s="33">
        <f>Programacion[[#This Row],[ENERO]]+Programacion[[#This Row],[FEBRERO]]+Programacion[[#This Row],[MARZO]]</f>
        <v>0</v>
      </c>
      <c r="AH33" s="33">
        <f>Programacion[[#This Row],[DEVENGADO ENERO]]+Programacion[[#This Row],[DEVENGADO FEBRERO]]+Programacion[[#This Row],[DEVENGADO MARZO]]</f>
        <v>0</v>
      </c>
      <c r="AI33" s="33">
        <f>Programacion[[#This Row],[ABRIL]]+Programacion[[#This Row],[MAYO]]+Programacion[[#This Row],[JUNIO]]</f>
        <v>2880</v>
      </c>
      <c r="AJ33" s="33">
        <f>Programacion[[#This Row],[DEVENGADO ABRIL]]+Programacion[[#This Row],[DEVENGADO MAYO]]+Programacion[[#This Row],[DEVENGADO JUNIO]]</f>
        <v>0</v>
      </c>
      <c r="AK33" s="33">
        <f>Programacion[[#This Row],[JULIO]]+Programacion[[#This Row],[AGOSTO]]+Programacion[[#This Row],[SEPTIEMBRE]]</f>
        <v>0</v>
      </c>
      <c r="AL33" s="33">
        <f>Programacion[[#This Row],[DEVENGADO JULIO]]+Programacion[[#This Row],[DEVENGADO AGOSTO]]+Programacion[[#This Row],[DEVENGADO SEPTIEMBRE]]</f>
        <v>2880</v>
      </c>
      <c r="AM33" s="33">
        <f>Programacion[[#This Row],[OCTUBRE]]+Programacion[[#This Row],[NOVIEMBRE]]+Programacion[[#This Row],[DICIEMBRE]]</f>
        <v>0</v>
      </c>
      <c r="AN33" s="21">
        <f>Programacion[[#This Row],[DEVENGADO OCTUBRE]]+Programacion[[#This Row],[DEVENGADO NOVIEMBRE]]+Programacion[[#This Row],[DEVENGADO DICIEMBRE]]</f>
        <v>0</v>
      </c>
      <c r="AO33" s="21">
        <f>Programacion[[#This Row],[ENERO]]+Programacion[[#This Row],[FEBRERO]]+Programacion[[#This Row],[MARZO]]+Programacion[[#This Row],[ABRIL]]+Programacion[[#This Row],[MAYO]]+Programacion[[#This Row],[JUNIO]]</f>
        <v>2880</v>
      </c>
      <c r="AP3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3" s="113"/>
    </row>
    <row r="34" spans="1:46" x14ac:dyDescent="0.25">
      <c r="A34" s="11" t="s">
        <v>45</v>
      </c>
      <c r="B34" s="12" t="s">
        <v>66</v>
      </c>
      <c r="C34" s="13" t="s">
        <v>64</v>
      </c>
      <c r="D34" s="14" t="s">
        <v>48</v>
      </c>
      <c r="E34" s="15">
        <v>39</v>
      </c>
      <c r="F34" s="16">
        <v>2.2999999999999998</v>
      </c>
      <c r="G34" s="14" t="s">
        <v>67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>
        <v>11000</v>
      </c>
      <c r="S34" s="17"/>
      <c r="T34" s="17"/>
      <c r="U34" s="17">
        <v>11000</v>
      </c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11000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0</v>
      </c>
      <c r="AL34" s="19">
        <f>Programacion[[#This Row],[DEVENGADO JULIO]]+Programacion[[#This Row],[DEVENGADO AGOSTO]]+Programacion[[#This Row],[DEVENGADO SEPTIEMBRE]]</f>
        <v>11000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11000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4" s="113"/>
    </row>
    <row r="35" spans="1:46" x14ac:dyDescent="0.25">
      <c r="A35" s="11" t="s">
        <v>45</v>
      </c>
      <c r="B35" s="12" t="s">
        <v>68</v>
      </c>
      <c r="C35" s="13" t="s">
        <v>64</v>
      </c>
      <c r="D35" s="14" t="s">
        <v>48</v>
      </c>
      <c r="E35" s="15">
        <v>39</v>
      </c>
      <c r="F35" s="16">
        <v>2.2999999999999998</v>
      </c>
      <c r="G35" s="14" t="s">
        <v>65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>
        <v>26980</v>
      </c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5" s="19">
        <f>Programacion[[#This Row],[ENERO]]+Programacion[[#This Row],[FEBRERO]]+Programacion[[#This Row],[MARZO]]</f>
        <v>0</v>
      </c>
      <c r="AH35" s="19">
        <f>Programacion[[#This Row],[DEVENGADO ENERO]]+Programacion[[#This Row],[DEVENGADO FEBRERO]]+Programacion[[#This Row],[DEVENGADO MARZO]]</f>
        <v>0</v>
      </c>
      <c r="AI35" s="19">
        <f>Programacion[[#This Row],[ABRIL]]+Programacion[[#This Row],[MAYO]]+Programacion[[#This Row],[JUNIO]]</f>
        <v>0</v>
      </c>
      <c r="AJ35" s="19">
        <f>Programacion[[#This Row],[DEVENGADO ABRIL]]+Programacion[[#This Row],[DEVENGADO MAYO]]+Programacion[[#This Row],[DEVENGADO JUNIO]]</f>
        <v>0</v>
      </c>
      <c r="AK35" s="19">
        <f>Programacion[[#This Row],[JULIO]]+Programacion[[#This Row],[AGOSTO]]+Programacion[[#This Row],[SEPTIEMBRE]]</f>
        <v>26980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5" s="113"/>
    </row>
    <row r="36" spans="1:46" x14ac:dyDescent="0.25">
      <c r="A36" s="11" t="s">
        <v>45</v>
      </c>
      <c r="B36" s="12" t="s">
        <v>69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70</v>
      </c>
      <c r="H36" s="17"/>
      <c r="I36" s="17"/>
      <c r="J36" s="17"/>
      <c r="K36" s="17"/>
      <c r="L36" s="17">
        <v>8500</v>
      </c>
      <c r="M36" s="17">
        <v>8500</v>
      </c>
      <c r="N36" s="17">
        <v>8500</v>
      </c>
      <c r="O36" s="17">
        <v>8500</v>
      </c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6" s="19">
        <f>Programacion[[#This Row],[ENERO]]+Programacion[[#This Row],[FEBRERO]]+Programacion[[#This Row],[MARZO]]</f>
        <v>8500</v>
      </c>
      <c r="AH36" s="19">
        <f>Programacion[[#This Row],[DEVENGADO ENERO]]+Programacion[[#This Row],[DEVENGADO FEBRERO]]+Programacion[[#This Row],[DEVENGADO MARZO]]</f>
        <v>8500</v>
      </c>
      <c r="AI36" s="19">
        <f>Programacion[[#This Row],[ABRIL]]+Programacion[[#This Row],[MAYO]]+Programacion[[#This Row],[JUNIO]]</f>
        <v>8500</v>
      </c>
      <c r="AJ36" s="19">
        <f>Programacion[[#This Row],[DEVENGADO ABRIL]]+Programacion[[#This Row],[DEVENGADO MAYO]]+Programacion[[#This Row],[DEVENGADO JUNIO]]</f>
        <v>8500</v>
      </c>
      <c r="AK36" s="19">
        <f>Programacion[[#This Row],[JULIO]]+Programacion[[#This Row],[AGOSTO]]+Programacion[[#This Row],[SEPTIEMBRE]]</f>
        <v>0</v>
      </c>
      <c r="AL36" s="19">
        <f>Programacion[[#This Row],[DEVENGADO JULIO]]+Programacion[[#This Row],[DEVENGADO AGOSTO]]+Programacion[[#This Row],[DEVENGADO SEPTIEMBRE]]</f>
        <v>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17000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6" s="113"/>
    </row>
    <row r="37" spans="1:46" x14ac:dyDescent="0.25">
      <c r="A37" s="11" t="s">
        <v>45</v>
      </c>
      <c r="B37" s="12" t="s">
        <v>69</v>
      </c>
      <c r="C37" s="13" t="s">
        <v>56</v>
      </c>
      <c r="D37" s="14" t="s">
        <v>48</v>
      </c>
      <c r="E37" s="15">
        <v>31</v>
      </c>
      <c r="F37" s="16">
        <v>2.2999999999999998</v>
      </c>
      <c r="G37" s="14" t="s">
        <v>70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>
        <v>14400</v>
      </c>
      <c r="S37" s="17">
        <v>14400</v>
      </c>
      <c r="T37" s="17"/>
      <c r="U37" s="17"/>
      <c r="V37" s="17">
        <v>15600</v>
      </c>
      <c r="W37" s="17">
        <v>15600</v>
      </c>
      <c r="X37" s="17"/>
      <c r="Y37" s="17"/>
      <c r="Z37" s="17"/>
      <c r="AA37" s="17"/>
      <c r="AB37" s="17"/>
      <c r="AC37" s="17"/>
      <c r="AD37" s="17"/>
      <c r="AE37" s="17"/>
      <c r="AF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19">
        <f>Programacion[[#This Row],[ENERO]]+Programacion[[#This Row],[FEBRERO]]+Programacion[[#This Row],[MARZO]]</f>
        <v>0</v>
      </c>
      <c r="AH37" s="19">
        <f>Programacion[[#This Row],[DEVENGADO ENERO]]+Programacion[[#This Row],[DEVENGADO FEBRERO]]+Programacion[[#This Row],[DEVENGADO MARZO]]</f>
        <v>0</v>
      </c>
      <c r="AI37" s="19">
        <f>Programacion[[#This Row],[ABRIL]]+Programacion[[#This Row],[MAYO]]+Programacion[[#This Row],[JUNIO]]</f>
        <v>14400</v>
      </c>
      <c r="AJ37" s="19">
        <f>Programacion[[#This Row],[DEVENGADO ABRIL]]+Programacion[[#This Row],[DEVENGADO MAYO]]+Programacion[[#This Row],[DEVENGADO JUNIO]]</f>
        <v>14400</v>
      </c>
      <c r="AK37" s="19">
        <f>Programacion[[#This Row],[JULIO]]+Programacion[[#This Row],[AGOSTO]]+Programacion[[#This Row],[SEPTIEMBRE]]</f>
        <v>15600</v>
      </c>
      <c r="AL37" s="19">
        <f>Programacion[[#This Row],[DEVENGADO JULIO]]+Programacion[[#This Row],[DEVENGADO AGOSTO]]+Programacion[[#This Row],[DEVENGADO SEPTIEMBRE]]</f>
        <v>15600</v>
      </c>
      <c r="AM37" s="19">
        <f>Programacion[[#This Row],[OCTUBRE]]+Programacion[[#This Row],[NOVIEMBRE]]+Programacion[[#This Row],[DICIEMBRE]]</f>
        <v>0</v>
      </c>
      <c r="AN37" s="20">
        <f>Programacion[[#This Row],[DEVENGADO OCTUBRE]]+Programacion[[#This Row],[DEVENGADO NOVIEMBRE]]+Programacion[[#This Row],[DEVENGADO DICIEMBRE]]</f>
        <v>0</v>
      </c>
      <c r="AO37" s="20">
        <f>Programacion[[#This Row],[ENERO]]+Programacion[[#This Row],[FEBRERO]]+Programacion[[#This Row],[MARZO]]+Programacion[[#This Row],[ABRIL]]+Programacion[[#This Row],[MAYO]]+Programacion[[#This Row],[JUNIO]]</f>
        <v>14400</v>
      </c>
      <c r="AP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7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37" s="113"/>
    </row>
    <row r="38" spans="1:46" x14ac:dyDescent="0.25">
      <c r="A38" s="11" t="s">
        <v>45</v>
      </c>
      <c r="B38" s="12" t="s">
        <v>69</v>
      </c>
      <c r="C38" s="13" t="s">
        <v>56</v>
      </c>
      <c r="D38" s="14" t="s">
        <v>48</v>
      </c>
      <c r="E38" s="15">
        <v>39</v>
      </c>
      <c r="F38" s="16">
        <v>2.2999999999999998</v>
      </c>
      <c r="G38" s="14" t="s">
        <v>70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>
        <v>7500</v>
      </c>
      <c r="Y38" s="33"/>
      <c r="Z38" s="33">
        <v>7500</v>
      </c>
      <c r="AA38" s="33"/>
      <c r="AB38" s="33">
        <v>7500</v>
      </c>
      <c r="AC38" s="33"/>
      <c r="AD38" s="33">
        <v>7500</v>
      </c>
      <c r="AE38" s="33"/>
      <c r="AF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8" s="33">
        <f>Programacion[[#This Row],[ENERO]]+Programacion[[#This Row],[FEBRERO]]+Programacion[[#This Row],[MARZO]]</f>
        <v>0</v>
      </c>
      <c r="AH38" s="33">
        <f>Programacion[[#This Row],[DEVENGADO ENERO]]+Programacion[[#This Row],[DEVENGADO FEBRERO]]+Programacion[[#This Row],[DEVENGADO MARZO]]</f>
        <v>0</v>
      </c>
      <c r="AI38" s="33">
        <f>Programacion[[#This Row],[ABRIL]]+Programacion[[#This Row],[MAYO]]+Programacion[[#This Row],[JUNIO]]</f>
        <v>0</v>
      </c>
      <c r="AJ38" s="33">
        <f>Programacion[[#This Row],[DEVENGADO ABRIL]]+Programacion[[#This Row],[DEVENGADO MAYO]]+Programacion[[#This Row],[DEVENGADO JUNIO]]</f>
        <v>0</v>
      </c>
      <c r="AK38" s="33">
        <f>Programacion[[#This Row],[JULIO]]+Programacion[[#This Row],[AGOSTO]]+Programacion[[#This Row],[SEPTIEMBRE]]</f>
        <v>7500</v>
      </c>
      <c r="AL38" s="33">
        <f>Programacion[[#This Row],[DEVENGADO JULIO]]+Programacion[[#This Row],[DEVENGADO AGOSTO]]+Programacion[[#This Row],[DEVENGADO SEPTIEMBRE]]</f>
        <v>0</v>
      </c>
      <c r="AM38" s="33">
        <f>Programacion[[#This Row],[OCTUBRE]]+Programacion[[#This Row],[NOVIEMBRE]]+Programacion[[#This Row],[DICIEMBRE]]</f>
        <v>22500</v>
      </c>
      <c r="AN38" s="21">
        <f>Programacion[[#This Row],[DEVENGADO OCTUBRE]]+Programacion[[#This Row],[DEVENGADO NOVIEMBRE]]+Programacion[[#This Row],[DEVENGADO DICIEMBRE]]</f>
        <v>0</v>
      </c>
      <c r="AO38" s="21">
        <f>Programacion[[#This Row],[ENERO]]+Programacion[[#This Row],[FEBRERO]]+Programacion[[#This Row],[MARZO]]+Programacion[[#This Row],[ABRIL]]+Programacion[[#This Row],[MAYO]]+Programacion[[#This Row],[JUNIO]]</f>
        <v>0</v>
      </c>
      <c r="AP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8" s="113"/>
    </row>
    <row r="39" spans="1:46" ht="30" x14ac:dyDescent="0.25">
      <c r="A39" s="11" t="s">
        <v>45</v>
      </c>
      <c r="B39" s="12" t="s">
        <v>71</v>
      </c>
      <c r="C39" s="13" t="s">
        <v>56</v>
      </c>
      <c r="D39" s="14" t="s">
        <v>48</v>
      </c>
      <c r="E39" s="15">
        <v>31</v>
      </c>
      <c r="F39" s="16">
        <v>2.2999999999999998</v>
      </c>
      <c r="G39" s="14" t="s">
        <v>70</v>
      </c>
      <c r="H39" s="17"/>
      <c r="I39" s="17"/>
      <c r="J39" s="17"/>
      <c r="K39" s="17"/>
      <c r="L39" s="17"/>
      <c r="M39" s="17"/>
      <c r="N39" s="17">
        <v>4000</v>
      </c>
      <c r="O39" s="17">
        <v>4000</v>
      </c>
      <c r="P39" s="17"/>
      <c r="Q39" s="17"/>
      <c r="R39" s="17">
        <v>4000</v>
      </c>
      <c r="S39" s="17">
        <v>4000</v>
      </c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9" s="19">
        <f>Programacion[[#This Row],[ENERO]]+Programacion[[#This Row],[FEBRERO]]+Programacion[[#This Row],[MARZO]]</f>
        <v>0</v>
      </c>
      <c r="AH39" s="19">
        <f>Programacion[[#This Row],[DEVENGADO ENERO]]+Programacion[[#This Row],[DEVENGADO FEBRERO]]+Programacion[[#This Row],[DEVENGADO MARZO]]</f>
        <v>0</v>
      </c>
      <c r="AI39" s="19">
        <f>Programacion[[#This Row],[ABRIL]]+Programacion[[#This Row],[MAYO]]+Programacion[[#This Row],[JUNIO]]</f>
        <v>8000</v>
      </c>
      <c r="AJ39" s="19">
        <f>Programacion[[#This Row],[DEVENGADO ABRIL]]+Programacion[[#This Row],[DEVENGADO MAYO]]+Programacion[[#This Row],[DEVENGADO JUNIO]]</f>
        <v>8000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8000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9" s="113"/>
    </row>
    <row r="40" spans="1:46" ht="30" x14ac:dyDescent="0.25">
      <c r="A40" s="11" t="s">
        <v>45</v>
      </c>
      <c r="B40" s="12" t="s">
        <v>72</v>
      </c>
      <c r="C40" s="13" t="s">
        <v>73</v>
      </c>
      <c r="D40" s="14" t="s">
        <v>48</v>
      </c>
      <c r="E40" s="15">
        <v>39</v>
      </c>
      <c r="F40" s="16">
        <v>2.2999999999999998</v>
      </c>
      <c r="G40" s="14" t="s">
        <v>74</v>
      </c>
      <c r="H40" s="17"/>
      <c r="I40" s="17"/>
      <c r="J40" s="17"/>
      <c r="K40" s="17"/>
      <c r="L40" s="17">
        <v>3640</v>
      </c>
      <c r="M40" s="17">
        <v>3640</v>
      </c>
      <c r="N40" s="17">
        <v>1820</v>
      </c>
      <c r="O40" s="17">
        <v>1820</v>
      </c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0" s="19">
        <f>Programacion[[#This Row],[ENERO]]+Programacion[[#This Row],[FEBRERO]]+Programacion[[#This Row],[MARZO]]</f>
        <v>3640</v>
      </c>
      <c r="AH40" s="19">
        <f>Programacion[[#This Row],[DEVENGADO ENERO]]+Programacion[[#This Row],[DEVENGADO FEBRERO]]+Programacion[[#This Row],[DEVENGADO MARZO]]</f>
        <v>3640</v>
      </c>
      <c r="AI40" s="19">
        <f>Programacion[[#This Row],[ABRIL]]+Programacion[[#This Row],[MAYO]]+Programacion[[#This Row],[JUNIO]]</f>
        <v>1820</v>
      </c>
      <c r="AJ40" s="19">
        <f>Programacion[[#This Row],[DEVENGADO ABRIL]]+Programacion[[#This Row],[DEVENGADO MAYO]]+Programacion[[#This Row],[DEVENGADO JUNIO]]</f>
        <v>1820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5460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0" s="113"/>
    </row>
    <row r="41" spans="1:46" ht="30" x14ac:dyDescent="0.25">
      <c r="A41" s="11" t="s">
        <v>45</v>
      </c>
      <c r="B41" s="12" t="s">
        <v>75</v>
      </c>
      <c r="C41" s="13" t="s">
        <v>73</v>
      </c>
      <c r="D41" s="14" t="s">
        <v>48</v>
      </c>
      <c r="E41" s="15">
        <v>39</v>
      </c>
      <c r="F41" s="16">
        <v>2.2999999999999998</v>
      </c>
      <c r="G41" s="14" t="s">
        <v>74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>
        <v>4000</v>
      </c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1" s="19">
        <f>Programacion[[#This Row],[ENERO]]+Programacion[[#This Row],[FEBRERO]]+Programacion[[#This Row],[MARZO]]</f>
        <v>0</v>
      </c>
      <c r="AH41" s="19">
        <f>Programacion[[#This Row],[DEVENGADO ENERO]]+Programacion[[#This Row],[DEVENGADO FEBRERO]]+Programacion[[#This Row],[DEVENGADO MARZO]]</f>
        <v>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4000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1" s="113"/>
    </row>
    <row r="42" spans="1:46" ht="30" x14ac:dyDescent="0.25">
      <c r="A42" s="11" t="s">
        <v>45</v>
      </c>
      <c r="B42" s="12" t="s">
        <v>76</v>
      </c>
      <c r="C42" s="13" t="s">
        <v>73</v>
      </c>
      <c r="D42" s="14" t="s">
        <v>48</v>
      </c>
      <c r="E42" s="15">
        <v>39</v>
      </c>
      <c r="F42" s="16">
        <v>2.2999999999999998</v>
      </c>
      <c r="G42" s="14" t="s">
        <v>74</v>
      </c>
      <c r="H42" s="17"/>
      <c r="I42" s="17"/>
      <c r="J42" s="17"/>
      <c r="K42" s="17"/>
      <c r="L42" s="17">
        <v>690</v>
      </c>
      <c r="M42" s="17">
        <v>690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2" s="19">
        <f>Programacion[[#This Row],[ENERO]]+Programacion[[#This Row],[FEBRERO]]+Programacion[[#This Row],[MARZO]]</f>
        <v>690</v>
      </c>
      <c r="AH42" s="19">
        <f>Programacion[[#This Row],[DEVENGADO ENERO]]+Programacion[[#This Row],[DEVENGADO FEBRERO]]+Programacion[[#This Row],[DEVENGADO MARZO]]</f>
        <v>690</v>
      </c>
      <c r="AI42" s="19">
        <f>Programacion[[#This Row],[ABRIL]]+Programacion[[#This Row],[MAYO]]+Programacion[[#This Row],[JUNIO]]</f>
        <v>0</v>
      </c>
      <c r="AJ42" s="19">
        <f>Programacion[[#This Row],[DEVENGADO ABRIL]]+Programacion[[#This Row],[DEVENGADO MAYO]]+Programacion[[#This Row],[DEVENGADO JUNIO]]</f>
        <v>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690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2" s="113"/>
    </row>
    <row r="43" spans="1:46" ht="30" x14ac:dyDescent="0.25">
      <c r="A43" s="11" t="s">
        <v>45</v>
      </c>
      <c r="B43" s="12" t="s">
        <v>77</v>
      </c>
      <c r="C43" s="13" t="s">
        <v>73</v>
      </c>
      <c r="D43" s="14" t="s">
        <v>48</v>
      </c>
      <c r="E43" s="15">
        <v>39</v>
      </c>
      <c r="F43" s="16">
        <v>2.2999999999999998</v>
      </c>
      <c r="G43" s="14" t="s">
        <v>74</v>
      </c>
      <c r="H43" s="17"/>
      <c r="I43" s="17"/>
      <c r="J43" s="17"/>
      <c r="K43" s="17"/>
      <c r="L43" s="17"/>
      <c r="M43" s="17"/>
      <c r="N43" s="17"/>
      <c r="O43" s="17"/>
      <c r="P43" s="17">
        <v>500</v>
      </c>
      <c r="Q43" s="17">
        <v>500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500</v>
      </c>
      <c r="AJ43" s="19">
        <f>Programacion[[#This Row],[DEVENGADO ABRIL]]+Programacion[[#This Row],[DEVENGADO MAYO]]+Programacion[[#This Row],[DEVENGADO JUNIO]]</f>
        <v>500</v>
      </c>
      <c r="AK43" s="19">
        <f>Programacion[[#This Row],[JULIO]]+Programacion[[#This Row],[AGOSTO]]+Programacion[[#This Row],[SEPTIEMBRE]]</f>
        <v>0</v>
      </c>
      <c r="AL43" s="19">
        <f>Programacion[[#This Row],[DEVENGADO JULIO]]+Programacion[[#This Row],[DEVENGADO AGOSTO]]+Programacion[[#This Row],[DEVENGADO SEPTIEMBRE]]</f>
        <v>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500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3" s="113"/>
    </row>
    <row r="44" spans="1:46" ht="30" x14ac:dyDescent="0.25">
      <c r="A44" s="11" t="s">
        <v>45</v>
      </c>
      <c r="B44" s="12" t="s">
        <v>78</v>
      </c>
      <c r="C44" s="13" t="s">
        <v>73</v>
      </c>
      <c r="D44" s="14" t="s">
        <v>48</v>
      </c>
      <c r="E44" s="15">
        <v>39</v>
      </c>
      <c r="F44" s="16">
        <v>2.2999999999999998</v>
      </c>
      <c r="G44" s="14" t="s">
        <v>74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7350</v>
      </c>
      <c r="U44" s="17">
        <v>7350</v>
      </c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4" s="19">
        <f>Programacion[[#This Row],[ENERO]]+Programacion[[#This Row],[FEBRERO]]+Programacion[[#This Row],[MARZO]]</f>
        <v>0</v>
      </c>
      <c r="AH44" s="19">
        <f>Programacion[[#This Row],[DEVENGADO ENERO]]+Programacion[[#This Row],[DEVENGADO FEBRERO]]+Programacion[[#This Row],[DEVENGADO MARZO]]</f>
        <v>0</v>
      </c>
      <c r="AI44" s="19">
        <f>Programacion[[#This Row],[ABRIL]]+Programacion[[#This Row],[MAYO]]+Programacion[[#This Row],[JUNIO]]</f>
        <v>0</v>
      </c>
      <c r="AJ44" s="19">
        <f>Programacion[[#This Row],[DEVENGADO ABRIL]]+Programacion[[#This Row],[DEVENGADO MAYO]]+Programacion[[#This Row],[DEVENGADO JUNIO]]</f>
        <v>0</v>
      </c>
      <c r="AK44" s="19">
        <f>Programacion[[#This Row],[JULIO]]+Programacion[[#This Row],[AGOSTO]]+Programacion[[#This Row],[SEPTIEMBRE]]</f>
        <v>7350</v>
      </c>
      <c r="AL44" s="19">
        <f>Programacion[[#This Row],[DEVENGADO JULIO]]+Programacion[[#This Row],[DEVENGADO AGOSTO]]+Programacion[[#This Row],[DEVENGADO SEPTIEMBRE]]</f>
        <v>7350</v>
      </c>
      <c r="AM44" s="19">
        <f>Programacion[[#This Row],[OCTUBRE]]+Programacion[[#This Row],[NOVIEMBRE]]+Programacion[[#This Row],[DICIEMBRE]]</f>
        <v>0</v>
      </c>
      <c r="AN44" s="20">
        <f>Programacion[[#This Row],[DEVENGADO OCTUBRE]]+Programacion[[#This Row],[DEVENGADO NOVIEMBRE]]+Programacion[[#This Row],[DEVENGADO DICIEMBRE]]</f>
        <v>0</v>
      </c>
      <c r="AO44" s="20">
        <f>Programacion[[#This Row],[ENERO]]+Programacion[[#This Row],[FEBRERO]]+Programacion[[#This Row],[MARZO]]+Programacion[[#This Row],[ABRIL]]+Programacion[[#This Row],[MAYO]]+Programacion[[#This Row],[JUNIO]]</f>
        <v>0</v>
      </c>
      <c r="AP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4" s="113"/>
    </row>
    <row r="45" spans="1:46" ht="30" x14ac:dyDescent="0.25">
      <c r="A45" s="115" t="s">
        <v>45</v>
      </c>
      <c r="B45" s="115" t="s">
        <v>249</v>
      </c>
      <c r="C45" s="115" t="s">
        <v>250</v>
      </c>
      <c r="D45" s="116" t="s">
        <v>48</v>
      </c>
      <c r="E45" s="117">
        <v>39</v>
      </c>
      <c r="F45" s="117">
        <v>23</v>
      </c>
      <c r="G45" s="116" t="s">
        <v>74</v>
      </c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>
        <v>2000</v>
      </c>
      <c r="AA45" s="33"/>
      <c r="AB45" s="33"/>
      <c r="AC45" s="33"/>
      <c r="AD45" s="33"/>
      <c r="AE45" s="33"/>
      <c r="AF4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5" s="33">
        <f>Programacion[[#This Row],[ENERO]]+Programacion[[#This Row],[FEBRERO]]+Programacion[[#This Row],[MARZO]]</f>
        <v>0</v>
      </c>
      <c r="AH45" s="33">
        <f>Programacion[[#This Row],[DEVENGADO ENERO]]+Programacion[[#This Row],[DEVENGADO FEBRERO]]+Programacion[[#This Row],[DEVENGADO MARZO]]</f>
        <v>0</v>
      </c>
      <c r="AI45" s="33">
        <f>Programacion[[#This Row],[ABRIL]]+Programacion[[#This Row],[MAYO]]+Programacion[[#This Row],[JUNIO]]</f>
        <v>0</v>
      </c>
      <c r="AJ45" s="33">
        <f>Programacion[[#This Row],[DEVENGADO ABRIL]]+Programacion[[#This Row],[DEVENGADO MAYO]]+Programacion[[#This Row],[DEVENGADO JUNIO]]</f>
        <v>0</v>
      </c>
      <c r="AK45" s="33">
        <f>Programacion[[#This Row],[JULIO]]+Programacion[[#This Row],[AGOSTO]]+Programacion[[#This Row],[SEPTIEMBRE]]</f>
        <v>0</v>
      </c>
      <c r="AL45" s="33">
        <f>Programacion[[#This Row],[DEVENGADO JULIO]]+Programacion[[#This Row],[DEVENGADO AGOSTO]]+Programacion[[#This Row],[DEVENGADO SEPTIEMBRE]]</f>
        <v>0</v>
      </c>
      <c r="AM45" s="33">
        <f>Programacion[[#This Row],[OCTUBRE]]+Programacion[[#This Row],[NOVIEMBRE]]+Programacion[[#This Row],[DICIEMBRE]]</f>
        <v>2000</v>
      </c>
      <c r="AN45" s="21">
        <f>Programacion[[#This Row],[DEVENGADO OCTUBRE]]+Programacion[[#This Row],[DEVENGADO NOVIEMBRE]]+Programacion[[#This Row],[DEVENGADO DICIEMBRE]]</f>
        <v>0</v>
      </c>
      <c r="AO45" s="21">
        <f>Programacion[[#This Row],[ENERO]]+Programacion[[#This Row],[FEBRERO]]+Programacion[[#This Row],[MARZO]]+Programacion[[#This Row],[ABRIL]]+Programacion[[#This Row],[MAYO]]+Programacion[[#This Row],[JUNIO]]</f>
        <v>0</v>
      </c>
      <c r="AP4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5" s="113"/>
    </row>
    <row r="46" spans="1:46" ht="30" x14ac:dyDescent="0.25">
      <c r="A46" s="11" t="s">
        <v>45</v>
      </c>
      <c r="B46" s="12" t="s">
        <v>79</v>
      </c>
      <c r="C46" s="13" t="s">
        <v>73</v>
      </c>
      <c r="D46" s="14" t="s">
        <v>48</v>
      </c>
      <c r="E46" s="15">
        <v>39</v>
      </c>
      <c r="F46" s="16">
        <v>2.2999999999999998</v>
      </c>
      <c r="G46" s="14" t="s">
        <v>74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>
        <v>880</v>
      </c>
      <c r="U46" s="17">
        <v>880</v>
      </c>
      <c r="V46" s="17"/>
      <c r="W46" s="17"/>
      <c r="X46" s="17">
        <v>880</v>
      </c>
      <c r="Y46" s="17"/>
      <c r="Z46" s="17"/>
      <c r="AA46" s="17"/>
      <c r="AB46" s="17"/>
      <c r="AC46" s="17"/>
      <c r="AD46" s="17">
        <v>880</v>
      </c>
      <c r="AE46" s="17"/>
      <c r="AF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6" s="19">
        <f>Programacion[[#This Row],[ENERO]]+Programacion[[#This Row],[FEBRERO]]+Programacion[[#This Row],[MARZO]]</f>
        <v>0</v>
      </c>
      <c r="AH46" s="19">
        <f>Programacion[[#This Row],[DEVENGADO ENERO]]+Programacion[[#This Row],[DEVENGADO FEBRERO]]+Programacion[[#This Row],[DEVENGADO MARZO]]</f>
        <v>0</v>
      </c>
      <c r="AI46" s="19">
        <f>Programacion[[#This Row],[ABRIL]]+Programacion[[#This Row],[MAYO]]+Programacion[[#This Row],[JUNIO]]</f>
        <v>0</v>
      </c>
      <c r="AJ46" s="19">
        <f>Programacion[[#This Row],[DEVENGADO ABRIL]]+Programacion[[#This Row],[DEVENGADO MAYO]]+Programacion[[#This Row],[DEVENGADO JUNIO]]</f>
        <v>0</v>
      </c>
      <c r="AK46" s="19">
        <f>Programacion[[#This Row],[JULIO]]+Programacion[[#This Row],[AGOSTO]]+Programacion[[#This Row],[SEPTIEMBRE]]</f>
        <v>1760</v>
      </c>
      <c r="AL46" s="19">
        <f>Programacion[[#This Row],[DEVENGADO JULIO]]+Programacion[[#This Row],[DEVENGADO AGOSTO]]+Programacion[[#This Row],[DEVENGADO SEPTIEMBRE]]</f>
        <v>880</v>
      </c>
      <c r="AM46" s="19">
        <f>Programacion[[#This Row],[OCTUBRE]]+Programacion[[#This Row],[NOVIEMBRE]]+Programacion[[#This Row],[DICIEMBRE]]</f>
        <v>880</v>
      </c>
      <c r="AN46" s="20">
        <f>Programacion[[#This Row],[DEVENGADO OCTUBRE]]+Programacion[[#This Row],[DEVENGADO NOVIEMBRE]]+Programacion[[#This Row],[DEVENGADO DICIEMBRE]]</f>
        <v>0</v>
      </c>
      <c r="AO46" s="20">
        <f>Programacion[[#This Row],[ENERO]]+Programacion[[#This Row],[FEBRERO]]+Programacion[[#This Row],[MARZO]]+Programacion[[#This Row],[ABRIL]]+Programacion[[#This Row],[MAYO]]+Programacion[[#This Row],[JUNIO]]</f>
        <v>0</v>
      </c>
      <c r="AP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6" s="113"/>
    </row>
    <row r="47" spans="1:46" x14ac:dyDescent="0.25">
      <c r="A47" s="115" t="s">
        <v>45</v>
      </c>
      <c r="B47" s="119" t="s">
        <v>251</v>
      </c>
      <c r="C47" s="115" t="s">
        <v>252</v>
      </c>
      <c r="D47" s="116" t="s">
        <v>48</v>
      </c>
      <c r="E47" s="120">
        <v>39</v>
      </c>
      <c r="F47" s="117">
        <v>23</v>
      </c>
      <c r="G47" s="121" t="s">
        <v>253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>
        <v>1050</v>
      </c>
      <c r="W47" s="33">
        <v>1030</v>
      </c>
      <c r="X47" s="33"/>
      <c r="Y47" s="33"/>
      <c r="Z47" s="33"/>
      <c r="AA47" s="33"/>
      <c r="AB47" s="33"/>
      <c r="AC47" s="33"/>
      <c r="AD47" s="33"/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1050</v>
      </c>
      <c r="AL47" s="33">
        <f>Programacion[[#This Row],[DEVENGADO JULIO]]+Programacion[[#This Row],[DEVENGADO AGOSTO]]+Programacion[[#This Row],[DEVENGADO SEPTIEMBRE]]</f>
        <v>1030</v>
      </c>
      <c r="AM47" s="33">
        <f>Programacion[[#This Row],[OCTUBRE]]+Programacion[[#This Row],[NOVIEMBRE]]+Programacion[[#This Row],[DICIEMBRE]]</f>
        <v>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1050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47" s="113"/>
    </row>
    <row r="48" spans="1:46" x14ac:dyDescent="0.25">
      <c r="A48" s="115" t="s">
        <v>45</v>
      </c>
      <c r="B48" s="119" t="s">
        <v>254</v>
      </c>
      <c r="C48" s="115" t="s">
        <v>252</v>
      </c>
      <c r="D48" s="116" t="s">
        <v>48</v>
      </c>
      <c r="E48" s="120">
        <v>39</v>
      </c>
      <c r="F48" s="117">
        <v>23</v>
      </c>
      <c r="G48" s="121" t="s">
        <v>67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>
        <v>11335.47</v>
      </c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11335.47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48" s="113"/>
    </row>
    <row r="49" spans="1:46" x14ac:dyDescent="0.25">
      <c r="A49" s="142" t="s">
        <v>45</v>
      </c>
      <c r="B49" s="142" t="s">
        <v>266</v>
      </c>
      <c r="C49" s="142" t="s">
        <v>256</v>
      </c>
      <c r="D49" s="142" t="s">
        <v>48</v>
      </c>
      <c r="E49" s="142">
        <v>39</v>
      </c>
      <c r="F49" s="142">
        <v>26</v>
      </c>
      <c r="G49" s="142" t="s">
        <v>118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>
        <v>13500</v>
      </c>
      <c r="W49" s="33">
        <v>13500</v>
      </c>
      <c r="X49" s="33"/>
      <c r="Y49" s="33"/>
      <c r="Z49" s="33"/>
      <c r="AA49" s="33"/>
      <c r="AB49" s="33"/>
      <c r="AC49" s="33"/>
      <c r="AD49" s="33"/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13500</v>
      </c>
      <c r="AL49" s="33">
        <f>Programacion[[#This Row],[DEVENGADO JULIO]]+Programacion[[#This Row],[DEVENGADO AGOSTO]]+Programacion[[#This Row],[DEVENGADO SEPTIEMBRE]]</f>
        <v>13500</v>
      </c>
      <c r="AM49" s="33">
        <f>Programacion[[#This Row],[OCTUBRE]]+Programacion[[#This Row],[NOVIEMBRE]]+Programacion[[#This Row],[DICIEMBRE]]</f>
        <v>0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49" s="113"/>
    </row>
    <row r="50" spans="1:46" x14ac:dyDescent="0.25">
      <c r="A50" s="119" t="s">
        <v>45</v>
      </c>
      <c r="B50" s="119" t="s">
        <v>255</v>
      </c>
      <c r="C50" s="121" t="s">
        <v>256</v>
      </c>
      <c r="D50" s="116" t="s">
        <v>48</v>
      </c>
      <c r="E50" s="120">
        <v>3</v>
      </c>
      <c r="F50" s="120">
        <v>26</v>
      </c>
      <c r="G50" s="121" t="s">
        <v>118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>
        <v>188000</v>
      </c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0</v>
      </c>
      <c r="AL50" s="33">
        <f>Programacion[[#This Row],[DEVENGADO JULIO]]+Programacion[[#This Row],[DEVENGADO AGOSTO]]+Programacion[[#This Row],[DEVENGADO SEPTIEMBRE]]</f>
        <v>0</v>
      </c>
      <c r="AM50" s="33">
        <f>Programacion[[#This Row],[OCTUBRE]]+Programacion[[#This Row],[NOVIEMBRE]]+Programacion[[#This Row],[DICIEMBRE]]</f>
        <v>188000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3"/>
    </row>
    <row r="51" spans="1:46" x14ac:dyDescent="0.25">
      <c r="A51" s="22" t="s">
        <v>45</v>
      </c>
      <c r="B51" s="23" t="s">
        <v>219</v>
      </c>
      <c r="C51" s="13" t="s">
        <v>80</v>
      </c>
      <c r="D51" s="13" t="s">
        <v>48</v>
      </c>
      <c r="E51" s="24">
        <v>39</v>
      </c>
      <c r="F51" s="25">
        <v>2.6</v>
      </c>
      <c r="G51" s="13" t="s">
        <v>220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>
        <v>2270</v>
      </c>
      <c r="U51" s="33">
        <v>2270</v>
      </c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1" s="33">
        <f>Programacion[[#This Row],[ENERO]]+Programacion[[#This Row],[FEBRERO]]+Programacion[[#This Row],[MARZO]]</f>
        <v>0</v>
      </c>
      <c r="AH51" s="33">
        <f>Programacion[[#This Row],[DEVENGADO ENERO]]+Programacion[[#This Row],[DEVENGADO FEBRERO]]+Programacion[[#This Row],[DEVENGADO MARZO]]</f>
        <v>0</v>
      </c>
      <c r="AI51" s="33">
        <f>Programacion[[#This Row],[ABRIL]]+Programacion[[#This Row],[MAYO]]+Programacion[[#This Row],[JUNIO]]</f>
        <v>0</v>
      </c>
      <c r="AJ51" s="33">
        <f>Programacion[[#This Row],[DEVENGADO ABRIL]]+Programacion[[#This Row],[DEVENGADO MAYO]]+Programacion[[#This Row],[DEVENGADO JUNIO]]</f>
        <v>0</v>
      </c>
      <c r="AK51" s="33">
        <f>Programacion[[#This Row],[JULIO]]+Programacion[[#This Row],[AGOSTO]]+Programacion[[#This Row],[SEPTIEMBRE]]</f>
        <v>2270</v>
      </c>
      <c r="AL51" s="33">
        <f>Programacion[[#This Row],[DEVENGADO JULIO]]+Programacion[[#This Row],[DEVENGADO AGOSTO]]+Programacion[[#This Row],[DEVENGADO SEPTIEMBRE]]</f>
        <v>2270</v>
      </c>
      <c r="AM51" s="33">
        <f>Programacion[[#This Row],[OCTUBRE]]+Programacion[[#This Row],[NOVIEMBRE]]+Programacion[[#This Row],[DICIEMBRE]]</f>
        <v>0</v>
      </c>
      <c r="AN51" s="21">
        <f>Programacion[[#This Row],[DEVENGADO OCTUBRE]]+Programacion[[#This Row],[DEVENGADO NOVIEMBRE]]+Programacion[[#This Row],[DEVENGADO DICIEMBRE]]</f>
        <v>0</v>
      </c>
      <c r="AO51" s="21">
        <f>Programacion[[#This Row],[ENERO]]+Programacion[[#This Row],[FEBRERO]]+Programacion[[#This Row],[MARZO]]+Programacion[[#This Row],[ABRIL]]+Programacion[[#This Row],[MAYO]]+Programacion[[#This Row],[JUNIO]]</f>
        <v>0</v>
      </c>
      <c r="AP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1" s="113"/>
    </row>
    <row r="52" spans="1:46" x14ac:dyDescent="0.25">
      <c r="A52" s="22" t="s">
        <v>81</v>
      </c>
      <c r="B52" s="23" t="s">
        <v>231</v>
      </c>
      <c r="C52" s="13" t="s">
        <v>80</v>
      </c>
      <c r="D52" s="13" t="s">
        <v>48</v>
      </c>
      <c r="E52" s="24">
        <v>39</v>
      </c>
      <c r="F52" s="25">
        <v>2.6</v>
      </c>
      <c r="G52" s="13" t="s">
        <v>221</v>
      </c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>
        <v>2000</v>
      </c>
      <c r="Y52" s="112"/>
      <c r="Z52" s="112"/>
      <c r="AA52" s="112"/>
      <c r="AB52" s="112"/>
      <c r="AC52" s="112"/>
      <c r="AD52" s="112"/>
      <c r="AE52" s="112"/>
      <c r="AF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52" s="19">
        <f>Programacion[[#This Row],[ENERO]]+Programacion[[#This Row],[FEBRERO]]+Programacion[[#This Row],[MARZO]]</f>
        <v>0</v>
      </c>
      <c r="AH52" s="19">
        <f>Programacion[[#This Row],[DEVENGADO ENERO]]+Programacion[[#This Row],[DEVENGADO FEBRERO]]+Programacion[[#This Row],[DEVENGADO MARZO]]</f>
        <v>0</v>
      </c>
      <c r="AI52" s="19">
        <f>Programacion[[#This Row],[ABRIL]]+Programacion[[#This Row],[MAYO]]+Programacion[[#This Row],[JUNIO]]</f>
        <v>0</v>
      </c>
      <c r="AJ52" s="19">
        <f>Programacion[[#This Row],[DEVENGADO ABRIL]]+Programacion[[#This Row],[DEVENGADO MAYO]]+Programacion[[#This Row],[DEVENGADO JUNIO]]</f>
        <v>0</v>
      </c>
      <c r="AK52" s="19">
        <f>Programacion[[#This Row],[JULIO]]+Programacion[[#This Row],[AGOSTO]]+Programacion[[#This Row],[SEPTIEMBRE]]</f>
        <v>2000</v>
      </c>
      <c r="AL52" s="19">
        <f>Programacion[[#This Row],[DEVENGADO JULIO]]+Programacion[[#This Row],[DEVENGADO AGOSTO]]+Programacion[[#This Row],[DEVENGADO SEPTIEMBRE]]</f>
        <v>0</v>
      </c>
      <c r="AM52" s="19">
        <f>Programacion[[#This Row],[OCTUBRE]]+Programacion[[#This Row],[NOVIEMBRE]]+Programacion[[#This Row],[DICIEMBRE]]</f>
        <v>0</v>
      </c>
      <c r="AN52" s="20">
        <f>Programacion[[#This Row],[DEVENGADO OCTUBRE]]+Programacion[[#This Row],[DEVENGADO NOVIEMBRE]]+Programacion[[#This Row],[DEVENGADO DICIEMBRE]]</f>
        <v>0</v>
      </c>
      <c r="AO52" s="20">
        <f>Programacion[[#This Row],[ENERO]]+Programacion[[#This Row],[FEBRERO]]+Programacion[[#This Row],[MARZO]]+Programacion[[#This Row],[ABRIL]]+Programacion[[#This Row],[MAYO]]+Programacion[[#This Row],[JUNIO]]</f>
        <v>0</v>
      </c>
      <c r="AP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3"/>
    </row>
    <row r="53" spans="1:46" x14ac:dyDescent="0.25">
      <c r="A53" s="115" t="s">
        <v>45</v>
      </c>
      <c r="B53" s="115" t="s">
        <v>283</v>
      </c>
      <c r="C53" s="115" t="s">
        <v>261</v>
      </c>
      <c r="D53" s="116" t="s">
        <v>48</v>
      </c>
      <c r="E53" s="117">
        <v>3</v>
      </c>
      <c r="F53" s="117">
        <v>23</v>
      </c>
      <c r="G53" s="116" t="s">
        <v>57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143">
        <v>11000</v>
      </c>
      <c r="Y53" s="33"/>
      <c r="Z53" s="143">
        <v>11000</v>
      </c>
      <c r="AA53" s="33"/>
      <c r="AB53" s="143">
        <v>11000</v>
      </c>
      <c r="AC53" s="33"/>
      <c r="AD53" s="143">
        <v>11000</v>
      </c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11000</v>
      </c>
      <c r="AL53" s="33">
        <f>Programacion[[#This Row],[DEVENGADO JULIO]]+Programacion[[#This Row],[DEVENGADO AGOSTO]]+Programacion[[#This Row],[DEVENGADO SEPTIEMBRE]]</f>
        <v>0</v>
      </c>
      <c r="AM53" s="33">
        <f>Programacion[[#This Row],[OCTUBRE]]+Programacion[[#This Row],[NOVIEMBRE]]+Programacion[[#This Row],[DICIEMBRE]]</f>
        <v>33000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3" s="113"/>
    </row>
    <row r="54" spans="1:46" x14ac:dyDescent="0.25">
      <c r="A54" s="115" t="s">
        <v>45</v>
      </c>
      <c r="B54" s="115" t="s">
        <v>284</v>
      </c>
      <c r="C54" s="115" t="s">
        <v>261</v>
      </c>
      <c r="D54" s="116" t="s">
        <v>285</v>
      </c>
      <c r="E54" s="117">
        <v>134</v>
      </c>
      <c r="F54" s="117">
        <v>23</v>
      </c>
      <c r="G54" s="116" t="s">
        <v>70</v>
      </c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143">
        <v>3500</v>
      </c>
      <c r="Y54" s="33"/>
      <c r="Z54" s="143">
        <v>3500</v>
      </c>
      <c r="AA54" s="33"/>
      <c r="AB54" s="143">
        <v>3500</v>
      </c>
      <c r="AC54" s="33"/>
      <c r="AD54" s="143">
        <v>3500</v>
      </c>
      <c r="AE54" s="33"/>
      <c r="AF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4" s="33">
        <f>Programacion[[#This Row],[ENERO]]+Programacion[[#This Row],[FEBRERO]]+Programacion[[#This Row],[MARZO]]</f>
        <v>0</v>
      </c>
      <c r="AH54" s="33">
        <f>Programacion[[#This Row],[DEVENGADO ENERO]]+Programacion[[#This Row],[DEVENGADO FEBRERO]]+Programacion[[#This Row],[DEVENGADO MARZO]]</f>
        <v>0</v>
      </c>
      <c r="AI54" s="33">
        <f>Programacion[[#This Row],[ABRIL]]+Programacion[[#This Row],[MAYO]]+Programacion[[#This Row],[JUNIO]]</f>
        <v>0</v>
      </c>
      <c r="AJ54" s="33">
        <f>Programacion[[#This Row],[DEVENGADO ABRIL]]+Programacion[[#This Row],[DEVENGADO MAYO]]+Programacion[[#This Row],[DEVENGADO JUNIO]]</f>
        <v>0</v>
      </c>
      <c r="AK54" s="33">
        <f>Programacion[[#This Row],[JULIO]]+Programacion[[#This Row],[AGOSTO]]+Programacion[[#This Row],[SEPTIEMBRE]]</f>
        <v>3500</v>
      </c>
      <c r="AL54" s="33">
        <f>Programacion[[#This Row],[DEVENGADO JULIO]]+Programacion[[#This Row],[DEVENGADO AGOSTO]]+Programacion[[#This Row],[DEVENGADO SEPTIEMBRE]]</f>
        <v>0</v>
      </c>
      <c r="AM54" s="33">
        <f>Programacion[[#This Row],[OCTUBRE]]+Programacion[[#This Row],[NOVIEMBRE]]+Programacion[[#This Row],[DICIEMBRE]]</f>
        <v>10500</v>
      </c>
      <c r="AN54" s="21">
        <f>Programacion[[#This Row],[DEVENGADO OCTUBRE]]+Programacion[[#This Row],[DEVENGADO NOVIEMBRE]]+Programacion[[#This Row],[DEVENGADO DICIEMBRE]]</f>
        <v>0</v>
      </c>
      <c r="AO54" s="21">
        <f>Programacion[[#This Row],[ENERO]]+Programacion[[#This Row],[FEBRERO]]+Programacion[[#This Row],[MARZO]]+Programacion[[#This Row],[ABRIL]]+Programacion[[#This Row],[MAYO]]+Programacion[[#This Row],[JUNIO]]</f>
        <v>0</v>
      </c>
      <c r="AP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3"/>
    </row>
    <row r="55" spans="1:46" x14ac:dyDescent="0.25">
      <c r="A55" s="115" t="s">
        <v>45</v>
      </c>
      <c r="B55" s="115" t="s">
        <v>286</v>
      </c>
      <c r="C55" s="115" t="s">
        <v>261</v>
      </c>
      <c r="D55" s="116" t="s">
        <v>285</v>
      </c>
      <c r="E55" s="117">
        <v>134</v>
      </c>
      <c r="F55" s="117">
        <v>23</v>
      </c>
      <c r="G55" s="116" t="s">
        <v>70</v>
      </c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143"/>
      <c r="Y55" s="33"/>
      <c r="Z55" s="143"/>
      <c r="AA55" s="33"/>
      <c r="AB55" s="143">
        <v>6000</v>
      </c>
      <c r="AC55" s="33"/>
      <c r="AD55" s="143">
        <v>6000</v>
      </c>
      <c r="AE55" s="33"/>
      <c r="AF5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5" s="33">
        <f>Programacion[[#This Row],[ENERO]]+Programacion[[#This Row],[FEBRERO]]+Programacion[[#This Row],[MARZO]]</f>
        <v>0</v>
      </c>
      <c r="AH55" s="33">
        <f>Programacion[[#This Row],[DEVENGADO ENERO]]+Programacion[[#This Row],[DEVENGADO FEBRERO]]+Programacion[[#This Row],[DEVENGADO MARZO]]</f>
        <v>0</v>
      </c>
      <c r="AI55" s="33">
        <f>Programacion[[#This Row],[ABRIL]]+Programacion[[#This Row],[MAYO]]+Programacion[[#This Row],[JUNIO]]</f>
        <v>0</v>
      </c>
      <c r="AJ55" s="33">
        <f>Programacion[[#This Row],[DEVENGADO ABRIL]]+Programacion[[#This Row],[DEVENGADO MAYO]]+Programacion[[#This Row],[DEVENGADO JUNIO]]</f>
        <v>0</v>
      </c>
      <c r="AK55" s="33">
        <f>Programacion[[#This Row],[JULIO]]+Programacion[[#This Row],[AGOSTO]]+Programacion[[#This Row],[SEPTIEMBRE]]</f>
        <v>0</v>
      </c>
      <c r="AL55" s="33">
        <f>Programacion[[#This Row],[DEVENGADO JULIO]]+Programacion[[#This Row],[DEVENGADO AGOSTO]]+Programacion[[#This Row],[DEVENGADO SEPTIEMBRE]]</f>
        <v>0</v>
      </c>
      <c r="AM55" s="33">
        <f>Programacion[[#This Row],[OCTUBRE]]+Programacion[[#This Row],[NOVIEMBRE]]+Programacion[[#This Row],[DICIEMBRE]]</f>
        <v>12000</v>
      </c>
      <c r="AN55" s="21">
        <f>Programacion[[#This Row],[DEVENGADO OCTUBRE]]+Programacion[[#This Row],[DEVENGADO NOVIEMBRE]]+Programacion[[#This Row],[DEVENGADO DICIEMBRE]]</f>
        <v>0</v>
      </c>
      <c r="AO55" s="21">
        <f>Programacion[[#This Row],[ENERO]]+Programacion[[#This Row],[FEBRERO]]+Programacion[[#This Row],[MARZO]]+Programacion[[#This Row],[ABRIL]]+Programacion[[#This Row],[MAYO]]+Programacion[[#This Row],[JUNIO]]</f>
        <v>0</v>
      </c>
      <c r="AP5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5" s="113"/>
    </row>
    <row r="56" spans="1:46" x14ac:dyDescent="0.25">
      <c r="A56" s="115" t="s">
        <v>45</v>
      </c>
      <c r="B56" s="115" t="s">
        <v>287</v>
      </c>
      <c r="C56" s="115" t="s">
        <v>261</v>
      </c>
      <c r="D56" s="116" t="s">
        <v>285</v>
      </c>
      <c r="E56" s="117">
        <v>134</v>
      </c>
      <c r="F56" s="117">
        <v>23</v>
      </c>
      <c r="G56" s="116" t="s">
        <v>70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143">
        <v>3500</v>
      </c>
      <c r="Y56" s="33"/>
      <c r="Z56" s="143">
        <v>3500</v>
      </c>
      <c r="AA56" s="33"/>
      <c r="AB56" s="143">
        <v>3500</v>
      </c>
      <c r="AC56" s="33"/>
      <c r="AD56" s="143">
        <v>3500</v>
      </c>
      <c r="AE56" s="33"/>
      <c r="AF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6" s="33">
        <f>Programacion[[#This Row],[ENERO]]+Programacion[[#This Row],[FEBRERO]]+Programacion[[#This Row],[MARZO]]</f>
        <v>0</v>
      </c>
      <c r="AH56" s="33">
        <f>Programacion[[#This Row],[DEVENGADO ENERO]]+Programacion[[#This Row],[DEVENGADO FEBRERO]]+Programacion[[#This Row],[DEVENGADO MARZO]]</f>
        <v>0</v>
      </c>
      <c r="AI56" s="33">
        <f>Programacion[[#This Row],[ABRIL]]+Programacion[[#This Row],[MAYO]]+Programacion[[#This Row],[JUNIO]]</f>
        <v>0</v>
      </c>
      <c r="AJ56" s="33">
        <f>Programacion[[#This Row],[DEVENGADO ABRIL]]+Programacion[[#This Row],[DEVENGADO MAYO]]+Programacion[[#This Row],[DEVENGADO JUNIO]]</f>
        <v>0</v>
      </c>
      <c r="AK56" s="33">
        <f>Programacion[[#This Row],[JULIO]]+Programacion[[#This Row],[AGOSTO]]+Programacion[[#This Row],[SEPTIEMBRE]]</f>
        <v>3500</v>
      </c>
      <c r="AL56" s="33">
        <f>Programacion[[#This Row],[DEVENGADO JULIO]]+Programacion[[#This Row],[DEVENGADO AGOSTO]]+Programacion[[#This Row],[DEVENGADO SEPTIEMBRE]]</f>
        <v>0</v>
      </c>
      <c r="AM56" s="33">
        <f>Programacion[[#This Row],[OCTUBRE]]+Programacion[[#This Row],[NOVIEMBRE]]+Programacion[[#This Row],[DICIEMBRE]]</f>
        <v>10500</v>
      </c>
      <c r="AN56" s="21">
        <f>Programacion[[#This Row],[DEVENGADO OCTUBRE]]+Programacion[[#This Row],[DEVENGADO NOVIEMBRE]]+Programacion[[#This Row],[DEVENGADO DICIEMBRE]]</f>
        <v>0</v>
      </c>
      <c r="AO56" s="21">
        <f>Programacion[[#This Row],[ENERO]]+Programacion[[#This Row],[FEBRERO]]+Programacion[[#This Row],[MARZO]]+Programacion[[#This Row],[ABRIL]]+Programacion[[#This Row],[MAYO]]+Programacion[[#This Row],[JUNIO]]</f>
        <v>0</v>
      </c>
      <c r="AP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6" s="113"/>
    </row>
    <row r="57" spans="1:46" x14ac:dyDescent="0.25">
      <c r="A57" s="115" t="s">
        <v>45</v>
      </c>
      <c r="B57" s="115" t="s">
        <v>288</v>
      </c>
      <c r="C57" s="115" t="s">
        <v>261</v>
      </c>
      <c r="D57" s="116" t="s">
        <v>285</v>
      </c>
      <c r="E57" s="117">
        <v>134</v>
      </c>
      <c r="F57" s="117">
        <v>23</v>
      </c>
      <c r="G57" s="116" t="s">
        <v>70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143">
        <v>4500</v>
      </c>
      <c r="Y57" s="33"/>
      <c r="Z57" s="143">
        <v>4500</v>
      </c>
      <c r="AA57" s="33"/>
      <c r="AB57" s="143">
        <v>4500</v>
      </c>
      <c r="AC57" s="33"/>
      <c r="AD57" s="143">
        <v>4500</v>
      </c>
      <c r="AE57" s="33"/>
      <c r="AF5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57" s="33">
        <f>Programacion[[#This Row],[ENERO]]+Programacion[[#This Row],[FEBRERO]]+Programacion[[#This Row],[MARZO]]</f>
        <v>0</v>
      </c>
      <c r="AH57" s="33">
        <f>Programacion[[#This Row],[DEVENGADO ENERO]]+Programacion[[#This Row],[DEVENGADO FEBRERO]]+Programacion[[#This Row],[DEVENGADO MARZO]]</f>
        <v>0</v>
      </c>
      <c r="AI57" s="33">
        <f>Programacion[[#This Row],[ABRIL]]+Programacion[[#This Row],[MAYO]]+Programacion[[#This Row],[JUNIO]]</f>
        <v>0</v>
      </c>
      <c r="AJ57" s="33">
        <f>Programacion[[#This Row],[DEVENGADO ABRIL]]+Programacion[[#This Row],[DEVENGADO MAYO]]+Programacion[[#This Row],[DEVENGADO JUNIO]]</f>
        <v>0</v>
      </c>
      <c r="AK57" s="33">
        <f>Programacion[[#This Row],[JULIO]]+Programacion[[#This Row],[AGOSTO]]+Programacion[[#This Row],[SEPTIEMBRE]]</f>
        <v>4500</v>
      </c>
      <c r="AL57" s="33">
        <f>Programacion[[#This Row],[DEVENGADO JULIO]]+Programacion[[#This Row],[DEVENGADO AGOSTO]]+Programacion[[#This Row],[DEVENGADO SEPTIEMBRE]]</f>
        <v>0</v>
      </c>
      <c r="AM57" s="33">
        <f>Programacion[[#This Row],[OCTUBRE]]+Programacion[[#This Row],[NOVIEMBRE]]+Programacion[[#This Row],[DICIEMBRE]]</f>
        <v>13500</v>
      </c>
      <c r="AN57" s="21">
        <f>Programacion[[#This Row],[DEVENGADO OCTUBRE]]+Programacion[[#This Row],[DEVENGADO NOVIEMBRE]]+Programacion[[#This Row],[DEVENGADO DICIEMBRE]]</f>
        <v>0</v>
      </c>
      <c r="AO57" s="21">
        <f>Programacion[[#This Row],[ENERO]]+Programacion[[#This Row],[FEBRERO]]+Programacion[[#This Row],[MARZO]]+Programacion[[#This Row],[ABRIL]]+Programacion[[#This Row],[MAYO]]+Programacion[[#This Row],[JUNIO]]</f>
        <v>0</v>
      </c>
      <c r="AP5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21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5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7" s="113"/>
    </row>
    <row r="58" spans="1:46" ht="30" x14ac:dyDescent="0.25">
      <c r="A58" s="115" t="s">
        <v>45</v>
      </c>
      <c r="B58" s="115" t="s">
        <v>289</v>
      </c>
      <c r="C58" s="115" t="s">
        <v>261</v>
      </c>
      <c r="D58" s="116" t="s">
        <v>285</v>
      </c>
      <c r="E58" s="117">
        <v>134</v>
      </c>
      <c r="F58" s="117">
        <v>23</v>
      </c>
      <c r="G58" s="116" t="s">
        <v>70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143"/>
      <c r="Y58" s="33"/>
      <c r="Z58" s="143"/>
      <c r="AA58" s="33"/>
      <c r="AB58" s="143">
        <v>3500</v>
      </c>
      <c r="AC58" s="33"/>
      <c r="AD58" s="143">
        <v>3500</v>
      </c>
      <c r="AE58" s="33"/>
      <c r="AF5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58" s="33">
        <f>Programacion[[#This Row],[ENERO]]+Programacion[[#This Row],[FEBRERO]]+Programacion[[#This Row],[MARZO]]</f>
        <v>0</v>
      </c>
      <c r="AH58" s="33">
        <f>Programacion[[#This Row],[DEVENGADO ENERO]]+Programacion[[#This Row],[DEVENGADO FEBRERO]]+Programacion[[#This Row],[DEVENGADO MARZO]]</f>
        <v>0</v>
      </c>
      <c r="AI58" s="33">
        <f>Programacion[[#This Row],[ABRIL]]+Programacion[[#This Row],[MAYO]]+Programacion[[#This Row],[JUNIO]]</f>
        <v>0</v>
      </c>
      <c r="AJ58" s="33">
        <f>Programacion[[#This Row],[DEVENGADO ABRIL]]+Programacion[[#This Row],[DEVENGADO MAYO]]+Programacion[[#This Row],[DEVENGADO JUNIO]]</f>
        <v>0</v>
      </c>
      <c r="AK58" s="33">
        <f>Programacion[[#This Row],[JULIO]]+Programacion[[#This Row],[AGOSTO]]+Programacion[[#This Row],[SEPTIEMBRE]]</f>
        <v>0</v>
      </c>
      <c r="AL58" s="33">
        <f>Programacion[[#This Row],[DEVENGADO JULIO]]+Programacion[[#This Row],[DEVENGADO AGOSTO]]+Programacion[[#This Row],[DEVENGADO SEPTIEMBRE]]</f>
        <v>0</v>
      </c>
      <c r="AM58" s="33">
        <f>Programacion[[#This Row],[OCTUBRE]]+Programacion[[#This Row],[NOVIEMBRE]]+Programacion[[#This Row],[DICIEMBRE]]</f>
        <v>7000</v>
      </c>
      <c r="AN58" s="21">
        <f>Programacion[[#This Row],[DEVENGADO OCTUBRE]]+Programacion[[#This Row],[DEVENGADO NOVIEMBRE]]+Programacion[[#This Row],[DEVENGADO DICIEMBRE]]</f>
        <v>0</v>
      </c>
      <c r="AO58" s="21">
        <f>Programacion[[#This Row],[ENERO]]+Programacion[[#This Row],[FEBRERO]]+Programacion[[#This Row],[MARZO]]+Programacion[[#This Row],[ABRIL]]+Programacion[[#This Row],[MAYO]]+Programacion[[#This Row],[JUNIO]]</f>
        <v>0</v>
      </c>
      <c r="AP5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5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113"/>
    </row>
    <row r="59" spans="1:46" x14ac:dyDescent="0.25">
      <c r="A59" s="115" t="s">
        <v>45</v>
      </c>
      <c r="B59" s="115" t="s">
        <v>290</v>
      </c>
      <c r="C59" s="115" t="s">
        <v>261</v>
      </c>
      <c r="D59" s="116" t="s">
        <v>285</v>
      </c>
      <c r="E59" s="117">
        <v>134</v>
      </c>
      <c r="F59" s="117">
        <v>23</v>
      </c>
      <c r="G59" s="116" t="s">
        <v>70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143"/>
      <c r="Y59" s="33"/>
      <c r="Z59" s="143"/>
      <c r="AA59" s="33"/>
      <c r="AB59" s="143"/>
      <c r="AC59" s="33"/>
      <c r="AD59" s="143">
        <v>3500</v>
      </c>
      <c r="AE59" s="33"/>
      <c r="AF5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59" s="33">
        <f>Programacion[[#This Row],[ENERO]]+Programacion[[#This Row],[FEBRERO]]+Programacion[[#This Row],[MARZO]]</f>
        <v>0</v>
      </c>
      <c r="AH59" s="33">
        <f>Programacion[[#This Row],[DEVENGADO ENERO]]+Programacion[[#This Row],[DEVENGADO FEBRERO]]+Programacion[[#This Row],[DEVENGADO MARZO]]</f>
        <v>0</v>
      </c>
      <c r="AI59" s="33">
        <f>Programacion[[#This Row],[ABRIL]]+Programacion[[#This Row],[MAYO]]+Programacion[[#This Row],[JUNIO]]</f>
        <v>0</v>
      </c>
      <c r="AJ59" s="33">
        <f>Programacion[[#This Row],[DEVENGADO ABRIL]]+Programacion[[#This Row],[DEVENGADO MAYO]]+Programacion[[#This Row],[DEVENGADO JUNIO]]</f>
        <v>0</v>
      </c>
      <c r="AK59" s="33">
        <f>Programacion[[#This Row],[JULIO]]+Programacion[[#This Row],[AGOSTO]]+Programacion[[#This Row],[SEPTIEMBRE]]</f>
        <v>0</v>
      </c>
      <c r="AL59" s="33">
        <f>Programacion[[#This Row],[DEVENGADO JULIO]]+Programacion[[#This Row],[DEVENGADO AGOSTO]]+Programacion[[#This Row],[DEVENGADO SEPTIEMBRE]]</f>
        <v>0</v>
      </c>
      <c r="AM59" s="33">
        <f>Programacion[[#This Row],[OCTUBRE]]+Programacion[[#This Row],[NOVIEMBRE]]+Programacion[[#This Row],[DICIEMBRE]]</f>
        <v>3500</v>
      </c>
      <c r="AN59" s="21">
        <f>Programacion[[#This Row],[DEVENGADO OCTUBRE]]+Programacion[[#This Row],[DEVENGADO NOVIEMBRE]]+Programacion[[#This Row],[DEVENGADO DICIEMBRE]]</f>
        <v>0</v>
      </c>
      <c r="AO59" s="21">
        <f>Programacion[[#This Row],[ENERO]]+Programacion[[#This Row],[FEBRERO]]+Programacion[[#This Row],[MARZO]]+Programacion[[#This Row],[ABRIL]]+Programacion[[#This Row],[MAYO]]+Programacion[[#This Row],[JUNIO]]</f>
        <v>0</v>
      </c>
      <c r="AP5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21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5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9" s="113"/>
    </row>
    <row r="60" spans="1:46" x14ac:dyDescent="0.25">
      <c r="A60" s="115" t="s">
        <v>45</v>
      </c>
      <c r="B60" s="115" t="s">
        <v>291</v>
      </c>
      <c r="C60" s="115" t="s">
        <v>261</v>
      </c>
      <c r="D60" s="116" t="s">
        <v>285</v>
      </c>
      <c r="E60" s="117">
        <v>134</v>
      </c>
      <c r="F60" s="117">
        <v>23</v>
      </c>
      <c r="G60" s="116" t="s">
        <v>70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143">
        <v>4500</v>
      </c>
      <c r="Y60" s="33"/>
      <c r="Z60" s="143">
        <v>4500</v>
      </c>
      <c r="AA60" s="33"/>
      <c r="AB60" s="143">
        <v>4500</v>
      </c>
      <c r="AC60" s="33"/>
      <c r="AD60" s="143">
        <v>4500</v>
      </c>
      <c r="AE60" s="33"/>
      <c r="AF6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0" s="33">
        <f>Programacion[[#This Row],[ENERO]]+Programacion[[#This Row],[FEBRERO]]+Programacion[[#This Row],[MARZO]]</f>
        <v>0</v>
      </c>
      <c r="AH60" s="33">
        <f>Programacion[[#This Row],[DEVENGADO ENERO]]+Programacion[[#This Row],[DEVENGADO FEBRERO]]+Programacion[[#This Row],[DEVENGADO MARZO]]</f>
        <v>0</v>
      </c>
      <c r="AI60" s="33">
        <f>Programacion[[#This Row],[ABRIL]]+Programacion[[#This Row],[MAYO]]+Programacion[[#This Row],[JUNIO]]</f>
        <v>0</v>
      </c>
      <c r="AJ60" s="33">
        <f>Programacion[[#This Row],[DEVENGADO ABRIL]]+Programacion[[#This Row],[DEVENGADO MAYO]]+Programacion[[#This Row],[DEVENGADO JUNIO]]</f>
        <v>0</v>
      </c>
      <c r="AK60" s="33">
        <f>Programacion[[#This Row],[JULIO]]+Programacion[[#This Row],[AGOSTO]]+Programacion[[#This Row],[SEPTIEMBRE]]</f>
        <v>4500</v>
      </c>
      <c r="AL60" s="33">
        <f>Programacion[[#This Row],[DEVENGADO JULIO]]+Programacion[[#This Row],[DEVENGADO AGOSTO]]+Programacion[[#This Row],[DEVENGADO SEPTIEMBRE]]</f>
        <v>0</v>
      </c>
      <c r="AM60" s="33">
        <f>Programacion[[#This Row],[OCTUBRE]]+Programacion[[#This Row],[NOVIEMBRE]]+Programacion[[#This Row],[DICIEMBRE]]</f>
        <v>13500</v>
      </c>
      <c r="AN60" s="21">
        <f>Programacion[[#This Row],[DEVENGADO OCTUBRE]]+Programacion[[#This Row],[DEVENGADO NOVIEMBRE]]+Programacion[[#This Row],[DEVENGADO DICIEMBRE]]</f>
        <v>0</v>
      </c>
      <c r="AO60" s="21">
        <f>Programacion[[#This Row],[ENERO]]+Programacion[[#This Row],[FEBRERO]]+Programacion[[#This Row],[MARZO]]+Programacion[[#This Row],[ABRIL]]+Programacion[[#This Row],[MAYO]]+Programacion[[#This Row],[JUNIO]]</f>
        <v>0</v>
      </c>
      <c r="AP6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21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0" s="113"/>
    </row>
    <row r="61" spans="1:46" ht="45" x14ac:dyDescent="0.25">
      <c r="A61" s="115" t="s">
        <v>45</v>
      </c>
      <c r="B61" s="115" t="s">
        <v>292</v>
      </c>
      <c r="C61" s="115" t="s">
        <v>261</v>
      </c>
      <c r="D61" s="116" t="s">
        <v>285</v>
      </c>
      <c r="E61" s="117">
        <v>134</v>
      </c>
      <c r="F61" s="117">
        <v>23</v>
      </c>
      <c r="G61" s="116" t="s">
        <v>70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143">
        <v>6500</v>
      </c>
      <c r="Y61" s="33"/>
      <c r="Z61" s="143">
        <v>6500</v>
      </c>
      <c r="AA61" s="33"/>
      <c r="AB61" s="143">
        <v>6500</v>
      </c>
      <c r="AC61" s="33"/>
      <c r="AD61" s="143">
        <v>6500</v>
      </c>
      <c r="AE61" s="33"/>
      <c r="AF6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1" s="33">
        <f>Programacion[[#This Row],[ENERO]]+Programacion[[#This Row],[FEBRERO]]+Programacion[[#This Row],[MARZO]]</f>
        <v>0</v>
      </c>
      <c r="AH61" s="33">
        <f>Programacion[[#This Row],[DEVENGADO ENERO]]+Programacion[[#This Row],[DEVENGADO FEBRERO]]+Programacion[[#This Row],[DEVENGADO MARZO]]</f>
        <v>0</v>
      </c>
      <c r="AI61" s="33">
        <f>Programacion[[#This Row],[ABRIL]]+Programacion[[#This Row],[MAYO]]+Programacion[[#This Row],[JUNIO]]</f>
        <v>0</v>
      </c>
      <c r="AJ61" s="33">
        <f>Programacion[[#This Row],[DEVENGADO ABRIL]]+Programacion[[#This Row],[DEVENGADO MAYO]]+Programacion[[#This Row],[DEVENGADO JUNIO]]</f>
        <v>0</v>
      </c>
      <c r="AK61" s="33">
        <f>Programacion[[#This Row],[JULIO]]+Programacion[[#This Row],[AGOSTO]]+Programacion[[#This Row],[SEPTIEMBRE]]</f>
        <v>6500</v>
      </c>
      <c r="AL61" s="33">
        <f>Programacion[[#This Row],[DEVENGADO JULIO]]+Programacion[[#This Row],[DEVENGADO AGOSTO]]+Programacion[[#This Row],[DEVENGADO SEPTIEMBRE]]</f>
        <v>0</v>
      </c>
      <c r="AM61" s="33">
        <f>Programacion[[#This Row],[OCTUBRE]]+Programacion[[#This Row],[NOVIEMBRE]]+Programacion[[#This Row],[DICIEMBRE]]</f>
        <v>19500</v>
      </c>
      <c r="AN61" s="21">
        <f>Programacion[[#This Row],[DEVENGADO OCTUBRE]]+Programacion[[#This Row],[DEVENGADO NOVIEMBRE]]+Programacion[[#This Row],[DEVENGADO DICIEMBRE]]</f>
        <v>0</v>
      </c>
      <c r="AO61" s="21">
        <f>Programacion[[#This Row],[ENERO]]+Programacion[[#This Row],[FEBRERO]]+Programacion[[#This Row],[MARZO]]+Programacion[[#This Row],[ABRIL]]+Programacion[[#This Row],[MAYO]]+Programacion[[#This Row],[JUNIO]]</f>
        <v>0</v>
      </c>
      <c r="AP6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21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113"/>
    </row>
    <row r="62" spans="1:46" x14ac:dyDescent="0.25">
      <c r="A62" s="115" t="s">
        <v>45</v>
      </c>
      <c r="B62" s="115" t="s">
        <v>293</v>
      </c>
      <c r="C62" s="115" t="s">
        <v>261</v>
      </c>
      <c r="D62" s="116" t="s">
        <v>285</v>
      </c>
      <c r="E62" s="117">
        <v>134</v>
      </c>
      <c r="F62" s="117">
        <v>23</v>
      </c>
      <c r="G62" s="116" t="s">
        <v>70</v>
      </c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143"/>
      <c r="Y62" s="33"/>
      <c r="Z62" s="143"/>
      <c r="AA62" s="33"/>
      <c r="AB62" s="143">
        <v>5500</v>
      </c>
      <c r="AC62" s="33"/>
      <c r="AD62" s="143">
        <v>5500</v>
      </c>
      <c r="AE62" s="33"/>
      <c r="AF6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2" s="33">
        <f>Programacion[[#This Row],[ENERO]]+Programacion[[#This Row],[FEBRERO]]+Programacion[[#This Row],[MARZO]]</f>
        <v>0</v>
      </c>
      <c r="AH62" s="33">
        <f>Programacion[[#This Row],[DEVENGADO ENERO]]+Programacion[[#This Row],[DEVENGADO FEBRERO]]+Programacion[[#This Row],[DEVENGADO MARZO]]</f>
        <v>0</v>
      </c>
      <c r="AI62" s="33">
        <f>Programacion[[#This Row],[ABRIL]]+Programacion[[#This Row],[MAYO]]+Programacion[[#This Row],[JUNIO]]</f>
        <v>0</v>
      </c>
      <c r="AJ62" s="33">
        <f>Programacion[[#This Row],[DEVENGADO ABRIL]]+Programacion[[#This Row],[DEVENGADO MAYO]]+Programacion[[#This Row],[DEVENGADO JUNIO]]</f>
        <v>0</v>
      </c>
      <c r="AK62" s="33">
        <f>Programacion[[#This Row],[JULIO]]+Programacion[[#This Row],[AGOSTO]]+Programacion[[#This Row],[SEPTIEMBRE]]</f>
        <v>0</v>
      </c>
      <c r="AL62" s="33">
        <f>Programacion[[#This Row],[DEVENGADO JULIO]]+Programacion[[#This Row],[DEVENGADO AGOSTO]]+Programacion[[#This Row],[DEVENGADO SEPTIEMBRE]]</f>
        <v>0</v>
      </c>
      <c r="AM62" s="33">
        <f>Programacion[[#This Row],[OCTUBRE]]+Programacion[[#This Row],[NOVIEMBRE]]+Programacion[[#This Row],[DICIEMBRE]]</f>
        <v>11000</v>
      </c>
      <c r="AN62" s="21">
        <f>Programacion[[#This Row],[DEVENGADO OCTUBRE]]+Programacion[[#This Row],[DEVENGADO NOVIEMBRE]]+Programacion[[#This Row],[DEVENGADO DICIEMBRE]]</f>
        <v>0</v>
      </c>
      <c r="AO62" s="21">
        <f>Programacion[[#This Row],[ENERO]]+Programacion[[#This Row],[FEBRERO]]+Programacion[[#This Row],[MARZO]]+Programacion[[#This Row],[ABRIL]]+Programacion[[#This Row],[MAYO]]+Programacion[[#This Row],[JUNIO]]</f>
        <v>0</v>
      </c>
      <c r="AP6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21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113"/>
    </row>
    <row r="63" spans="1:46" ht="30" x14ac:dyDescent="0.25">
      <c r="A63" s="115" t="s">
        <v>45</v>
      </c>
      <c r="B63" s="118" t="s">
        <v>294</v>
      </c>
      <c r="C63" s="115" t="s">
        <v>245</v>
      </c>
      <c r="D63" s="116" t="s">
        <v>285</v>
      </c>
      <c r="E63" s="117">
        <v>134</v>
      </c>
      <c r="F63" s="117">
        <v>23</v>
      </c>
      <c r="G63" s="116" t="s">
        <v>49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143"/>
      <c r="AA63" s="33"/>
      <c r="AB63" s="143">
        <v>2000</v>
      </c>
      <c r="AC63" s="33"/>
      <c r="AD63" s="143"/>
      <c r="AE63" s="33"/>
      <c r="AF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3" s="33">
        <f>Programacion[[#This Row],[ENERO]]+Programacion[[#This Row],[FEBRERO]]+Programacion[[#This Row],[MARZO]]</f>
        <v>0</v>
      </c>
      <c r="AH63" s="33">
        <f>Programacion[[#This Row],[DEVENGADO ENERO]]+Programacion[[#This Row],[DEVENGADO FEBRERO]]+Programacion[[#This Row],[DEVENGADO MARZO]]</f>
        <v>0</v>
      </c>
      <c r="AI63" s="33">
        <f>Programacion[[#This Row],[ABRIL]]+Programacion[[#This Row],[MAYO]]+Programacion[[#This Row],[JUNIO]]</f>
        <v>0</v>
      </c>
      <c r="AJ63" s="33">
        <f>Programacion[[#This Row],[DEVENGADO ABRIL]]+Programacion[[#This Row],[DEVENGADO MAYO]]+Programacion[[#This Row],[DEVENGADO JUNIO]]</f>
        <v>0</v>
      </c>
      <c r="AK63" s="33">
        <f>Programacion[[#This Row],[JULIO]]+Programacion[[#This Row],[AGOSTO]]+Programacion[[#This Row],[SEPTIEMBRE]]</f>
        <v>0</v>
      </c>
      <c r="AL63" s="33">
        <f>Programacion[[#This Row],[DEVENGADO JULIO]]+Programacion[[#This Row],[DEVENGADO AGOSTO]]+Programacion[[#This Row],[DEVENGADO SEPTIEMBRE]]</f>
        <v>0</v>
      </c>
      <c r="AM63" s="33">
        <f>Programacion[[#This Row],[OCTUBRE]]+Programacion[[#This Row],[NOVIEMBRE]]+Programacion[[#This Row],[DICIEMBRE]]</f>
        <v>2000</v>
      </c>
      <c r="AN63" s="21">
        <f>Programacion[[#This Row],[DEVENGADO OCTUBRE]]+Programacion[[#This Row],[DEVENGADO NOVIEMBRE]]+Programacion[[#This Row],[DEVENGADO DICIEMBRE]]</f>
        <v>0</v>
      </c>
      <c r="AO63" s="21">
        <f>Programacion[[#This Row],[ENERO]]+Programacion[[#This Row],[FEBRERO]]+Programacion[[#This Row],[MARZO]]+Programacion[[#This Row],[ABRIL]]+Programacion[[#This Row],[MAYO]]+Programacion[[#This Row],[JUNIO]]</f>
        <v>0</v>
      </c>
      <c r="AP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3" s="113"/>
    </row>
    <row r="64" spans="1:46" x14ac:dyDescent="0.25">
      <c r="A64" s="115" t="s">
        <v>45</v>
      </c>
      <c r="B64" s="118" t="s">
        <v>295</v>
      </c>
      <c r="C64" s="115" t="s">
        <v>243</v>
      </c>
      <c r="D64" s="116" t="s">
        <v>285</v>
      </c>
      <c r="E64" s="117">
        <v>134</v>
      </c>
      <c r="F64" s="117">
        <v>23</v>
      </c>
      <c r="G64" s="116" t="s">
        <v>51</v>
      </c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143"/>
      <c r="AA64" s="33"/>
      <c r="AB64" s="143">
        <v>1500</v>
      </c>
      <c r="AC64" s="33"/>
      <c r="AD64" s="143"/>
      <c r="AE64" s="33"/>
      <c r="AF6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4" s="33">
        <f>Programacion[[#This Row],[ENERO]]+Programacion[[#This Row],[FEBRERO]]+Programacion[[#This Row],[MARZO]]</f>
        <v>0</v>
      </c>
      <c r="AH64" s="33">
        <f>Programacion[[#This Row],[DEVENGADO ENERO]]+Programacion[[#This Row],[DEVENGADO FEBRERO]]+Programacion[[#This Row],[DEVENGADO MARZO]]</f>
        <v>0</v>
      </c>
      <c r="AI64" s="33">
        <f>Programacion[[#This Row],[ABRIL]]+Programacion[[#This Row],[MAYO]]+Programacion[[#This Row],[JUNIO]]</f>
        <v>0</v>
      </c>
      <c r="AJ64" s="33">
        <f>Programacion[[#This Row],[DEVENGADO ABRIL]]+Programacion[[#This Row],[DEVENGADO MAYO]]+Programacion[[#This Row],[DEVENGADO JUNIO]]</f>
        <v>0</v>
      </c>
      <c r="AK64" s="33">
        <f>Programacion[[#This Row],[JULIO]]+Programacion[[#This Row],[AGOSTO]]+Programacion[[#This Row],[SEPTIEMBRE]]</f>
        <v>0</v>
      </c>
      <c r="AL64" s="33">
        <f>Programacion[[#This Row],[DEVENGADO JULIO]]+Programacion[[#This Row],[DEVENGADO AGOSTO]]+Programacion[[#This Row],[DEVENGADO SEPTIEMBRE]]</f>
        <v>0</v>
      </c>
      <c r="AM64" s="33">
        <f>Programacion[[#This Row],[OCTUBRE]]+Programacion[[#This Row],[NOVIEMBRE]]+Programacion[[#This Row],[DICIEMBRE]]</f>
        <v>1500</v>
      </c>
      <c r="AN64" s="21">
        <f>Programacion[[#This Row],[DEVENGADO OCTUBRE]]+Programacion[[#This Row],[DEVENGADO NOVIEMBRE]]+Programacion[[#This Row],[DEVENGADO DICIEMBRE]]</f>
        <v>0</v>
      </c>
      <c r="AO64" s="21">
        <f>Programacion[[#This Row],[ENERO]]+Programacion[[#This Row],[FEBRERO]]+Programacion[[#This Row],[MARZO]]+Programacion[[#This Row],[ABRIL]]+Programacion[[#This Row],[MAYO]]+Programacion[[#This Row],[JUNIO]]</f>
        <v>0</v>
      </c>
      <c r="AP6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21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4" s="113"/>
    </row>
    <row r="65" spans="1:46" ht="30" x14ac:dyDescent="0.25">
      <c r="A65" s="26" t="s">
        <v>81</v>
      </c>
      <c r="B65" s="27" t="s">
        <v>82</v>
      </c>
      <c r="C65" s="28" t="s">
        <v>64</v>
      </c>
      <c r="D65" s="28" t="s">
        <v>48</v>
      </c>
      <c r="E65" s="29">
        <v>39</v>
      </c>
      <c r="F65" s="30">
        <v>2.2999999999999998</v>
      </c>
      <c r="G65" s="28" t="s">
        <v>65</v>
      </c>
      <c r="H65" s="31"/>
      <c r="I65" s="31"/>
      <c r="J65" s="31"/>
      <c r="K65" s="31"/>
      <c r="L65" s="31">
        <v>15803</v>
      </c>
      <c r="M65" s="31">
        <v>15803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5" s="19">
        <f>Programacion[[#This Row],[ENERO]]+Programacion[[#This Row],[FEBRERO]]+Programacion[[#This Row],[MARZO]]</f>
        <v>15803</v>
      </c>
      <c r="AH65" s="19">
        <f>Programacion[[#This Row],[DEVENGADO ENERO]]+Programacion[[#This Row],[DEVENGADO FEBRERO]]+Programacion[[#This Row],[DEVENGADO MARZO]]</f>
        <v>15803</v>
      </c>
      <c r="AI65" s="19">
        <f>Programacion[[#This Row],[ABRIL]]+Programacion[[#This Row],[MAYO]]+Programacion[[#This Row],[JUNIO]]</f>
        <v>0</v>
      </c>
      <c r="AJ65" s="19">
        <f>Programacion[[#This Row],[DEVENGADO ABRIL]]+Programacion[[#This Row],[DEVENGADO MAYO]]+Programacion[[#This Row],[DEVENGADO JUNIO]]</f>
        <v>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15803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5" s="113"/>
    </row>
    <row r="66" spans="1:46" ht="30" x14ac:dyDescent="0.25">
      <c r="A66" s="26" t="s">
        <v>81</v>
      </c>
      <c r="B66" s="27" t="s">
        <v>223</v>
      </c>
      <c r="C66" s="28" t="s">
        <v>47</v>
      </c>
      <c r="D66" s="28" t="s">
        <v>48</v>
      </c>
      <c r="E66" s="29">
        <v>39</v>
      </c>
      <c r="F66" s="30">
        <v>2.2999999999999998</v>
      </c>
      <c r="G66" s="28" t="s">
        <v>49</v>
      </c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>
        <v>2000</v>
      </c>
      <c r="S66" s="31">
        <v>4000</v>
      </c>
      <c r="T66" s="31"/>
      <c r="U66" s="31"/>
      <c r="V66" s="31"/>
      <c r="W66" s="31"/>
      <c r="X66" s="31">
        <v>1600</v>
      </c>
      <c r="Y66" s="31"/>
      <c r="Z66" s="31"/>
      <c r="AA66" s="31"/>
      <c r="AB66" s="31">
        <v>2000</v>
      </c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6" s="19">
        <f>Programacion[[#This Row],[ENERO]]+Programacion[[#This Row],[FEBRERO]]+Programacion[[#This Row],[MARZO]]</f>
        <v>0</v>
      </c>
      <c r="AH66" s="19">
        <f>Programacion[[#This Row],[DEVENGADO ENERO]]+Programacion[[#This Row],[DEVENGADO FEBRERO]]+Programacion[[#This Row],[DEVENGADO MARZO]]</f>
        <v>0</v>
      </c>
      <c r="AI66" s="19">
        <f>Programacion[[#This Row],[ABRIL]]+Programacion[[#This Row],[MAYO]]+Programacion[[#This Row],[JUNIO]]</f>
        <v>2000</v>
      </c>
      <c r="AJ66" s="19">
        <f>Programacion[[#This Row],[DEVENGADO ABRIL]]+Programacion[[#This Row],[DEVENGADO MAYO]]+Programacion[[#This Row],[DEVENGADO JUNIO]]</f>
        <v>4000</v>
      </c>
      <c r="AK66" s="19">
        <f>Programacion[[#This Row],[JULIO]]+Programacion[[#This Row],[AGOSTO]]+Programacion[[#This Row],[SEPTIEMBRE]]</f>
        <v>1600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2000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2000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66" s="113"/>
    </row>
    <row r="67" spans="1:46" x14ac:dyDescent="0.25">
      <c r="A67" s="26" t="s">
        <v>81</v>
      </c>
      <c r="B67" s="27" t="s">
        <v>267</v>
      </c>
      <c r="C67" s="28" t="s">
        <v>47</v>
      </c>
      <c r="D67" s="28" t="s">
        <v>48</v>
      </c>
      <c r="E67" s="29">
        <v>39</v>
      </c>
      <c r="F67" s="30">
        <v>2.2999999999999998</v>
      </c>
      <c r="G67" s="28" t="s">
        <v>51</v>
      </c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>
        <v>1080</v>
      </c>
      <c r="S67" s="31">
        <v>4360</v>
      </c>
      <c r="T67" s="31"/>
      <c r="U67" s="31"/>
      <c r="V67" s="31"/>
      <c r="W67" s="31">
        <v>1480</v>
      </c>
      <c r="X67" s="31">
        <v>1480.02</v>
      </c>
      <c r="Y67" s="31">
        <v>1480</v>
      </c>
      <c r="Z67" s="31"/>
      <c r="AA67" s="31"/>
      <c r="AB67" s="31">
        <v>1080</v>
      </c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67" s="19">
        <f>Programacion[[#This Row],[ENERO]]+Programacion[[#This Row],[FEBRERO]]+Programacion[[#This Row],[MARZO]]</f>
        <v>0</v>
      </c>
      <c r="AH67" s="19">
        <f>Programacion[[#This Row],[DEVENGADO ENERO]]+Programacion[[#This Row],[DEVENGADO FEBRERO]]+Programacion[[#This Row],[DEVENGADO MARZO]]</f>
        <v>0</v>
      </c>
      <c r="AI67" s="19">
        <f>Programacion[[#This Row],[ABRIL]]+Programacion[[#This Row],[MAYO]]+Programacion[[#This Row],[JUNIO]]</f>
        <v>1080</v>
      </c>
      <c r="AJ67" s="19">
        <f>Programacion[[#This Row],[DEVENGADO ABRIL]]+Programacion[[#This Row],[DEVENGADO MAYO]]+Programacion[[#This Row],[DEVENGADO JUNIO]]</f>
        <v>4360</v>
      </c>
      <c r="AK67" s="19">
        <f>Programacion[[#This Row],[JULIO]]+Programacion[[#This Row],[AGOSTO]]+Programacion[[#This Row],[SEPTIEMBRE]]</f>
        <v>1480.02</v>
      </c>
      <c r="AL67" s="19">
        <f>Programacion[[#This Row],[DEVENGADO JULIO]]+Programacion[[#This Row],[DEVENGADO AGOSTO]]+Programacion[[#This Row],[DEVENGADO SEPTIEMBRE]]</f>
        <v>2960</v>
      </c>
      <c r="AM67" s="19">
        <f>Programacion[[#This Row],[OCTUBRE]]+Programacion[[#This Row],[NOVIEMBRE]]+Programacion[[#This Row],[DICIEMBRE]]</f>
        <v>1080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1080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2960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7320</v>
      </c>
      <c r="AT67" s="113"/>
    </row>
    <row r="68" spans="1:46" x14ac:dyDescent="0.25">
      <c r="A68" s="26" t="s">
        <v>81</v>
      </c>
      <c r="B68" s="27" t="s">
        <v>268</v>
      </c>
      <c r="C68" s="28" t="s">
        <v>47</v>
      </c>
      <c r="D68" s="28" t="s">
        <v>48</v>
      </c>
      <c r="E68" s="29">
        <v>39</v>
      </c>
      <c r="F68" s="30">
        <v>2.2999999999999998</v>
      </c>
      <c r="G68" s="28" t="s">
        <v>85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>
        <v>400</v>
      </c>
      <c r="Y68" s="33"/>
      <c r="Z68" s="33">
        <v>400</v>
      </c>
      <c r="AA68" s="33"/>
      <c r="AB68" s="33">
        <v>400</v>
      </c>
      <c r="AC68" s="33"/>
      <c r="AD68" s="33"/>
      <c r="AE68" s="33"/>
      <c r="AF6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68" s="33">
        <f>Programacion[[#This Row],[ENERO]]+Programacion[[#This Row],[FEBRERO]]+Programacion[[#This Row],[MARZO]]</f>
        <v>0</v>
      </c>
      <c r="AH68" s="33">
        <f>Programacion[[#This Row],[DEVENGADO ENERO]]+Programacion[[#This Row],[DEVENGADO FEBRERO]]+Programacion[[#This Row],[DEVENGADO MARZO]]</f>
        <v>0</v>
      </c>
      <c r="AI68" s="33">
        <f>Programacion[[#This Row],[ABRIL]]+Programacion[[#This Row],[MAYO]]+Programacion[[#This Row],[JUNIO]]</f>
        <v>0</v>
      </c>
      <c r="AJ68" s="33">
        <f>Programacion[[#This Row],[DEVENGADO ABRIL]]+Programacion[[#This Row],[DEVENGADO MAYO]]+Programacion[[#This Row],[DEVENGADO JUNIO]]</f>
        <v>0</v>
      </c>
      <c r="AK68" s="33">
        <f>Programacion[[#This Row],[JULIO]]+Programacion[[#This Row],[AGOSTO]]+Programacion[[#This Row],[SEPTIEMBRE]]</f>
        <v>400</v>
      </c>
      <c r="AL68" s="33">
        <f>Programacion[[#This Row],[DEVENGADO JULIO]]+Programacion[[#This Row],[DEVENGADO AGOSTO]]+Programacion[[#This Row],[DEVENGADO SEPTIEMBRE]]</f>
        <v>0</v>
      </c>
      <c r="AM68" s="33">
        <f>Programacion[[#This Row],[OCTUBRE]]+Programacion[[#This Row],[NOVIEMBRE]]+Programacion[[#This Row],[DICIEMBRE]]</f>
        <v>800</v>
      </c>
      <c r="AN68" s="21">
        <f>Programacion[[#This Row],[DEVENGADO OCTUBRE]]+Programacion[[#This Row],[DEVENGADO NOVIEMBRE]]+Programacion[[#This Row],[DEVENGADO DICIEMBRE]]</f>
        <v>0</v>
      </c>
      <c r="AO68" s="21">
        <f>Programacion[[#This Row],[ENERO]]+Programacion[[#This Row],[FEBRERO]]+Programacion[[#This Row],[MARZO]]+Programacion[[#This Row],[ABRIL]]+Programacion[[#This Row],[MAYO]]+Programacion[[#This Row],[JUNIO]]</f>
        <v>0</v>
      </c>
      <c r="AP6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6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8" s="113"/>
    </row>
    <row r="69" spans="1:46" x14ac:dyDescent="0.25">
      <c r="A69" s="26" t="s">
        <v>81</v>
      </c>
      <c r="B69" s="27" t="s">
        <v>269</v>
      </c>
      <c r="C69" s="28" t="s">
        <v>47</v>
      </c>
      <c r="D69" s="28" t="s">
        <v>48</v>
      </c>
      <c r="E69" s="29">
        <v>39</v>
      </c>
      <c r="F69" s="30">
        <v>2.2999999999999998</v>
      </c>
      <c r="G69" s="28" t="s">
        <v>51</v>
      </c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>
        <v>2000</v>
      </c>
      <c r="Y69" s="33"/>
      <c r="Z69" s="33">
        <v>2000</v>
      </c>
      <c r="AA69" s="33"/>
      <c r="AB69" s="33">
        <v>2000</v>
      </c>
      <c r="AC69" s="33"/>
      <c r="AD69" s="33"/>
      <c r="AE69" s="33"/>
      <c r="AF6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69" s="33">
        <f>Programacion[[#This Row],[ENERO]]+Programacion[[#This Row],[FEBRERO]]+Programacion[[#This Row],[MARZO]]</f>
        <v>0</v>
      </c>
      <c r="AH69" s="33">
        <f>Programacion[[#This Row],[DEVENGADO ENERO]]+Programacion[[#This Row],[DEVENGADO FEBRERO]]+Programacion[[#This Row],[DEVENGADO MARZO]]</f>
        <v>0</v>
      </c>
      <c r="AI69" s="33">
        <f>Programacion[[#This Row],[ABRIL]]+Programacion[[#This Row],[MAYO]]+Programacion[[#This Row],[JUNIO]]</f>
        <v>0</v>
      </c>
      <c r="AJ69" s="33">
        <f>Programacion[[#This Row],[DEVENGADO ABRIL]]+Programacion[[#This Row],[DEVENGADO MAYO]]+Programacion[[#This Row],[DEVENGADO JUNIO]]</f>
        <v>0</v>
      </c>
      <c r="AK69" s="33">
        <f>Programacion[[#This Row],[JULIO]]+Programacion[[#This Row],[AGOSTO]]+Programacion[[#This Row],[SEPTIEMBRE]]</f>
        <v>2000</v>
      </c>
      <c r="AL69" s="33">
        <f>Programacion[[#This Row],[DEVENGADO JULIO]]+Programacion[[#This Row],[DEVENGADO AGOSTO]]+Programacion[[#This Row],[DEVENGADO SEPTIEMBRE]]</f>
        <v>0</v>
      </c>
      <c r="AM69" s="33">
        <f>Programacion[[#This Row],[OCTUBRE]]+Programacion[[#This Row],[NOVIEMBRE]]+Programacion[[#This Row],[DICIEMBRE]]</f>
        <v>4000</v>
      </c>
      <c r="AN69" s="21">
        <f>Programacion[[#This Row],[DEVENGADO OCTUBRE]]+Programacion[[#This Row],[DEVENGADO NOVIEMBRE]]+Programacion[[#This Row],[DEVENGADO DICIEMBRE]]</f>
        <v>0</v>
      </c>
      <c r="AO69" s="21">
        <f>Programacion[[#This Row],[ENERO]]+Programacion[[#This Row],[FEBRERO]]+Programacion[[#This Row],[MARZO]]+Programacion[[#This Row],[ABRIL]]+Programacion[[#This Row],[MAYO]]+Programacion[[#This Row],[JUNIO]]</f>
        <v>0</v>
      </c>
      <c r="AP6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1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6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9" s="113"/>
    </row>
    <row r="70" spans="1:46" x14ac:dyDescent="0.25">
      <c r="A70" s="26" t="s">
        <v>81</v>
      </c>
      <c r="B70" s="27" t="s">
        <v>270</v>
      </c>
      <c r="C70" s="28" t="s">
        <v>47</v>
      </c>
      <c r="D70" s="28" t="s">
        <v>48</v>
      </c>
      <c r="E70" s="29">
        <v>39</v>
      </c>
      <c r="F70" s="30">
        <v>2.2999999999999998</v>
      </c>
      <c r="G70" s="28" t="s">
        <v>86</v>
      </c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>
        <v>50</v>
      </c>
      <c r="Y70" s="33"/>
      <c r="Z70" s="33">
        <v>50</v>
      </c>
      <c r="AA70" s="33"/>
      <c r="AB70" s="33">
        <v>50</v>
      </c>
      <c r="AC70" s="33"/>
      <c r="AD70" s="33"/>
      <c r="AE70" s="33"/>
      <c r="AF7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0" s="33">
        <f>Programacion[[#This Row],[ENERO]]+Programacion[[#This Row],[FEBRERO]]+Programacion[[#This Row],[MARZO]]</f>
        <v>0</v>
      </c>
      <c r="AH70" s="33">
        <f>Programacion[[#This Row],[DEVENGADO ENERO]]+Programacion[[#This Row],[DEVENGADO FEBRERO]]+Programacion[[#This Row],[DEVENGADO MARZO]]</f>
        <v>0</v>
      </c>
      <c r="AI70" s="33">
        <f>Programacion[[#This Row],[ABRIL]]+Programacion[[#This Row],[MAYO]]+Programacion[[#This Row],[JUNIO]]</f>
        <v>0</v>
      </c>
      <c r="AJ70" s="33">
        <f>Programacion[[#This Row],[DEVENGADO ABRIL]]+Programacion[[#This Row],[DEVENGADO MAYO]]+Programacion[[#This Row],[DEVENGADO JUNIO]]</f>
        <v>0</v>
      </c>
      <c r="AK70" s="33">
        <f>Programacion[[#This Row],[JULIO]]+Programacion[[#This Row],[AGOSTO]]+Programacion[[#This Row],[SEPTIEMBRE]]</f>
        <v>50</v>
      </c>
      <c r="AL70" s="33">
        <f>Programacion[[#This Row],[DEVENGADO JULIO]]+Programacion[[#This Row],[DEVENGADO AGOSTO]]+Programacion[[#This Row],[DEVENGADO SEPTIEMBRE]]</f>
        <v>0</v>
      </c>
      <c r="AM70" s="33">
        <f>Programacion[[#This Row],[OCTUBRE]]+Programacion[[#This Row],[NOVIEMBRE]]+Programacion[[#This Row],[DICIEMBRE]]</f>
        <v>100</v>
      </c>
      <c r="AN70" s="21">
        <f>Programacion[[#This Row],[DEVENGADO OCTUBRE]]+Programacion[[#This Row],[DEVENGADO NOVIEMBRE]]+Programacion[[#This Row],[DEVENGADO DICIEMBRE]]</f>
        <v>0</v>
      </c>
      <c r="AO70" s="21">
        <f>Programacion[[#This Row],[ENERO]]+Programacion[[#This Row],[FEBRERO]]+Programacion[[#This Row],[MARZO]]+Programacion[[#This Row],[ABRIL]]+Programacion[[#This Row],[MAYO]]+Programacion[[#This Row],[JUNIO]]</f>
        <v>0</v>
      </c>
      <c r="AP7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0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0" s="113"/>
    </row>
    <row r="71" spans="1:46" x14ac:dyDescent="0.25">
      <c r="A71" s="26" t="s">
        <v>81</v>
      </c>
      <c r="B71" s="27" t="s">
        <v>268</v>
      </c>
      <c r="C71" s="28" t="s">
        <v>47</v>
      </c>
      <c r="D71" s="28" t="s">
        <v>48</v>
      </c>
      <c r="E71" s="29">
        <v>39</v>
      </c>
      <c r="F71" s="30">
        <v>2.2999999999999998</v>
      </c>
      <c r="G71" s="28" t="s">
        <v>85</v>
      </c>
      <c r="H71" s="31"/>
      <c r="I71" s="31"/>
      <c r="J71" s="31"/>
      <c r="K71" s="31"/>
      <c r="L71" s="31">
        <v>800</v>
      </c>
      <c r="M71" s="31">
        <v>800</v>
      </c>
      <c r="N71" s="31">
        <v>400</v>
      </c>
      <c r="O71" s="31">
        <v>400</v>
      </c>
      <c r="P71" s="31">
        <v>400</v>
      </c>
      <c r="Q71" s="31">
        <v>400</v>
      </c>
      <c r="R71" s="31">
        <v>400</v>
      </c>
      <c r="S71" s="31">
        <v>400</v>
      </c>
      <c r="T71" s="31">
        <v>400</v>
      </c>
      <c r="U71" s="31"/>
      <c r="V71" s="31">
        <v>400</v>
      </c>
      <c r="W71" s="31">
        <v>400</v>
      </c>
      <c r="X71" s="31">
        <v>400</v>
      </c>
      <c r="Y71" s="31"/>
      <c r="Z71" s="31">
        <v>400</v>
      </c>
      <c r="AA71" s="31"/>
      <c r="AB71" s="31">
        <v>400</v>
      </c>
      <c r="AC71" s="31"/>
      <c r="AD71" s="31">
        <v>400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1" s="19">
        <f>Programacion[[#This Row],[ENERO]]+Programacion[[#This Row],[FEBRERO]]+Programacion[[#This Row],[MARZO]]</f>
        <v>800</v>
      </c>
      <c r="AH71" s="19">
        <f>Programacion[[#This Row],[DEVENGADO ENERO]]+Programacion[[#This Row],[DEVENGADO FEBRERO]]+Programacion[[#This Row],[DEVENGADO MARZO]]</f>
        <v>800</v>
      </c>
      <c r="AI71" s="19">
        <f>Programacion[[#This Row],[ABRIL]]+Programacion[[#This Row],[MAYO]]+Programacion[[#This Row],[JUNIO]]</f>
        <v>1200</v>
      </c>
      <c r="AJ71" s="19">
        <f>Programacion[[#This Row],[DEVENGADO ABRIL]]+Programacion[[#This Row],[DEVENGADO MAYO]]+Programacion[[#This Row],[DEVENGADO JUNIO]]</f>
        <v>1200</v>
      </c>
      <c r="AK71" s="19">
        <f>Programacion[[#This Row],[JULIO]]+Programacion[[#This Row],[AGOSTO]]+Programacion[[#This Row],[SEPTIEMBRE]]</f>
        <v>1200</v>
      </c>
      <c r="AL71" s="19">
        <f>Programacion[[#This Row],[DEVENGADO JULIO]]+Programacion[[#This Row],[DEVENGADO AGOSTO]]+Programacion[[#This Row],[DEVENGADO SEPTIEMBRE]]</f>
        <v>400</v>
      </c>
      <c r="AM71" s="19">
        <f>Programacion[[#This Row],[OCTUBRE]]+Programacion[[#This Row],[NOVIEMBRE]]+Programacion[[#This Row],[DICIEMBRE]]</f>
        <v>1200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2000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71" s="113"/>
    </row>
    <row r="72" spans="1:46" x14ac:dyDescent="0.25">
      <c r="A72" s="26" t="s">
        <v>81</v>
      </c>
      <c r="B72" s="27" t="s">
        <v>269</v>
      </c>
      <c r="C72" s="28" t="s">
        <v>47</v>
      </c>
      <c r="D72" s="28" t="s">
        <v>48</v>
      </c>
      <c r="E72" s="29">
        <v>39</v>
      </c>
      <c r="F72" s="30">
        <v>2.2999999999999998</v>
      </c>
      <c r="G72" s="28" t="s">
        <v>51</v>
      </c>
      <c r="H72" s="31"/>
      <c r="I72" s="31"/>
      <c r="J72" s="31"/>
      <c r="K72" s="31"/>
      <c r="L72" s="31">
        <v>2000</v>
      </c>
      <c r="M72" s="31">
        <v>2000</v>
      </c>
      <c r="N72" s="31">
        <v>2000</v>
      </c>
      <c r="O72" s="31">
        <v>1600</v>
      </c>
      <c r="P72" s="31">
        <v>1200</v>
      </c>
      <c r="Q72" s="31">
        <v>1600</v>
      </c>
      <c r="R72" s="31">
        <v>1200</v>
      </c>
      <c r="S72" s="31">
        <v>1200</v>
      </c>
      <c r="T72" s="31">
        <v>1080</v>
      </c>
      <c r="U72" s="31"/>
      <c r="V72" s="31">
        <v>1200</v>
      </c>
      <c r="W72" s="31">
        <v>1200</v>
      </c>
      <c r="X72" s="31">
        <v>1200</v>
      </c>
      <c r="Y72" s="31"/>
      <c r="Z72" s="31">
        <v>1200</v>
      </c>
      <c r="AA72" s="31"/>
      <c r="AB72" s="31">
        <v>1200</v>
      </c>
      <c r="AC72" s="31"/>
      <c r="AD72" s="31">
        <v>1200</v>
      </c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13480</v>
      </c>
      <c r="AG72" s="19">
        <f>Programacion[[#This Row],[ENERO]]+Programacion[[#This Row],[FEBRERO]]+Programacion[[#This Row],[MARZO]]</f>
        <v>2000</v>
      </c>
      <c r="AH72" s="19">
        <f>Programacion[[#This Row],[DEVENGADO ENERO]]+Programacion[[#This Row],[DEVENGADO FEBRERO]]+Programacion[[#This Row],[DEVENGADO MARZO]]</f>
        <v>2000</v>
      </c>
      <c r="AI72" s="19">
        <f>Programacion[[#This Row],[ABRIL]]+Programacion[[#This Row],[MAYO]]+Programacion[[#This Row],[JUNIO]]</f>
        <v>4400</v>
      </c>
      <c r="AJ72" s="19">
        <f>Programacion[[#This Row],[DEVENGADO ABRIL]]+Programacion[[#This Row],[DEVENGADO MAYO]]+Programacion[[#This Row],[DEVENGADO JUNIO]]</f>
        <v>4400</v>
      </c>
      <c r="AK72" s="19">
        <f>Programacion[[#This Row],[JULIO]]+Programacion[[#This Row],[AGOSTO]]+Programacion[[#This Row],[SEPTIEMBRE]]</f>
        <v>3480</v>
      </c>
      <c r="AL72" s="19">
        <f>Programacion[[#This Row],[DEVENGADO JULIO]]+Programacion[[#This Row],[DEVENGADO AGOSTO]]+Programacion[[#This Row],[DEVENGADO SEPTIEMBRE]]</f>
        <v>1200</v>
      </c>
      <c r="AM72" s="19">
        <f>Programacion[[#This Row],[OCTUBRE]]+Programacion[[#This Row],[NOVIEMBRE]]+Programacion[[#This Row],[DICIEMBRE]]</f>
        <v>3600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6400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7080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72" s="113"/>
    </row>
    <row r="73" spans="1:46" x14ac:dyDescent="0.25">
      <c r="A73" s="26" t="s">
        <v>81</v>
      </c>
      <c r="B73" s="27" t="s">
        <v>270</v>
      </c>
      <c r="C73" s="28" t="s">
        <v>47</v>
      </c>
      <c r="D73" s="28" t="s">
        <v>48</v>
      </c>
      <c r="E73" s="29">
        <v>39</v>
      </c>
      <c r="F73" s="30">
        <v>2.2999999999999998</v>
      </c>
      <c r="G73" s="28" t="s">
        <v>86</v>
      </c>
      <c r="H73" s="31"/>
      <c r="I73" s="31"/>
      <c r="J73" s="31"/>
      <c r="K73" s="31"/>
      <c r="L73" s="31">
        <v>60</v>
      </c>
      <c r="M73" s="31">
        <v>60</v>
      </c>
      <c r="N73" s="31">
        <v>60</v>
      </c>
      <c r="O73" s="31">
        <v>28.6</v>
      </c>
      <c r="P73" s="31">
        <v>60</v>
      </c>
      <c r="Q73" s="31">
        <v>60</v>
      </c>
      <c r="R73" s="31">
        <v>60</v>
      </c>
      <c r="S73" s="31">
        <v>18.59</v>
      </c>
      <c r="T73" s="31">
        <v>50</v>
      </c>
      <c r="U73" s="31">
        <v>-27.7</v>
      </c>
      <c r="V73" s="31">
        <v>50</v>
      </c>
      <c r="W73" s="31">
        <v>50</v>
      </c>
      <c r="X73" s="31">
        <v>50</v>
      </c>
      <c r="Y73" s="31">
        <v>-35.700000000000003</v>
      </c>
      <c r="Z73" s="31">
        <v>50</v>
      </c>
      <c r="AA73" s="31"/>
      <c r="AB73" s="31">
        <v>50</v>
      </c>
      <c r="AC73" s="31"/>
      <c r="AD73" s="31">
        <v>50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3" s="19">
        <f>Programacion[[#This Row],[ENERO]]+Programacion[[#This Row],[FEBRERO]]+Programacion[[#This Row],[MARZO]]</f>
        <v>60</v>
      </c>
      <c r="AH73" s="19">
        <f>Programacion[[#This Row],[DEVENGADO ENERO]]+Programacion[[#This Row],[DEVENGADO FEBRERO]]+Programacion[[#This Row],[DEVENGADO MARZO]]</f>
        <v>60</v>
      </c>
      <c r="AI73" s="19">
        <f>Programacion[[#This Row],[ABRIL]]+Programacion[[#This Row],[MAYO]]+Programacion[[#This Row],[JUNIO]]</f>
        <v>180</v>
      </c>
      <c r="AJ73" s="19">
        <f>Programacion[[#This Row],[DEVENGADO ABRIL]]+Programacion[[#This Row],[DEVENGADO MAYO]]+Programacion[[#This Row],[DEVENGADO JUNIO]]</f>
        <v>107.19</v>
      </c>
      <c r="AK73" s="19">
        <f>Programacion[[#This Row],[JULIO]]+Programacion[[#This Row],[AGOSTO]]+Programacion[[#This Row],[SEPTIEMBRE]]</f>
        <v>150</v>
      </c>
      <c r="AL73" s="19">
        <f>Programacion[[#This Row],[DEVENGADO JULIO]]+Programacion[[#This Row],[DEVENGADO AGOSTO]]+Programacion[[#This Row],[DEVENGADO SEPTIEMBRE]]</f>
        <v>-13.400000000000002</v>
      </c>
      <c r="AM73" s="19">
        <f>Programacion[[#This Row],[OCTUBRE]]+Programacion[[#This Row],[NOVIEMBRE]]+Programacion[[#This Row],[DICIEMBRE]]</f>
        <v>150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240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-13.400000000000002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153.79000000000002</v>
      </c>
      <c r="AT73" s="113"/>
    </row>
    <row r="74" spans="1:46" x14ac:dyDescent="0.25">
      <c r="A74" s="26" t="s">
        <v>81</v>
      </c>
      <c r="B74" s="27" t="s">
        <v>87</v>
      </c>
      <c r="C74" s="28" t="s">
        <v>80</v>
      </c>
      <c r="D74" s="28" t="s">
        <v>48</v>
      </c>
      <c r="E74" s="29">
        <v>39</v>
      </c>
      <c r="F74" s="30">
        <v>2.6</v>
      </c>
      <c r="G74" s="28" t="s">
        <v>88</v>
      </c>
      <c r="H74" s="31"/>
      <c r="I74" s="31"/>
      <c r="J74" s="31"/>
      <c r="K74" s="31"/>
      <c r="L74" s="31"/>
      <c r="M74" s="31"/>
      <c r="N74" s="31"/>
      <c r="O74" s="31"/>
      <c r="P74" s="31">
        <v>43460</v>
      </c>
      <c r="Q74" s="31">
        <v>43460</v>
      </c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4" s="19">
        <f>Programacion[[#This Row],[ENERO]]+Programacion[[#This Row],[FEBRERO]]+Programacion[[#This Row],[MARZO]]</f>
        <v>0</v>
      </c>
      <c r="AH74" s="19">
        <f>Programacion[[#This Row],[DEVENGADO ENERO]]+Programacion[[#This Row],[DEVENGADO FEBRERO]]+Programacion[[#This Row],[DEVENGADO MARZO]]</f>
        <v>0</v>
      </c>
      <c r="AI74" s="19">
        <f>Programacion[[#This Row],[ABRIL]]+Programacion[[#This Row],[MAYO]]+Programacion[[#This Row],[JUNIO]]</f>
        <v>43460</v>
      </c>
      <c r="AJ74" s="19">
        <f>Programacion[[#This Row],[DEVENGADO ABRIL]]+Programacion[[#This Row],[DEVENGADO MAYO]]+Programacion[[#This Row],[DEVENGADO JUNIO]]</f>
        <v>43460</v>
      </c>
      <c r="AK74" s="19">
        <f>Programacion[[#This Row],[JULIO]]+Programacion[[#This Row],[AGOSTO]]+Programacion[[#This Row],[SEPTIEMBRE]]</f>
        <v>0</v>
      </c>
      <c r="AL74" s="19">
        <f>Programacion[[#This Row],[DEVENGADO JULIO]]+Programacion[[#This Row],[DEVENGADO AGOSTO]]+Programacion[[#This Row],[DEVENGADO SEPTIEMBRE]]</f>
        <v>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43460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4" s="113"/>
    </row>
    <row r="75" spans="1:46" x14ac:dyDescent="0.25">
      <c r="A75" s="26" t="s">
        <v>81</v>
      </c>
      <c r="B75" s="27" t="s">
        <v>89</v>
      </c>
      <c r="C75" s="28" t="s">
        <v>64</v>
      </c>
      <c r="D75" s="28" t="s">
        <v>48</v>
      </c>
      <c r="E75" s="29">
        <v>39</v>
      </c>
      <c r="F75" s="30">
        <v>2.2999999999999998</v>
      </c>
      <c r="G75" s="28" t="s">
        <v>67</v>
      </c>
      <c r="H75" s="31"/>
      <c r="I75" s="31"/>
      <c r="J75" s="31"/>
      <c r="K75" s="31"/>
      <c r="L75" s="31">
        <v>28760</v>
      </c>
      <c r="M75" s="31">
        <v>28760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5" s="19">
        <f>Programacion[[#This Row],[ENERO]]+Programacion[[#This Row],[FEBRERO]]+Programacion[[#This Row],[MARZO]]</f>
        <v>28760</v>
      </c>
      <c r="AH75" s="19">
        <f>Programacion[[#This Row],[DEVENGADO ENERO]]+Programacion[[#This Row],[DEVENGADO FEBRERO]]+Programacion[[#This Row],[DEVENGADO MARZO]]</f>
        <v>28760</v>
      </c>
      <c r="AI75" s="19">
        <f>Programacion[[#This Row],[ABRIL]]+Programacion[[#This Row],[MAYO]]+Programacion[[#This Row],[JUNIO]]</f>
        <v>0</v>
      </c>
      <c r="AJ75" s="19">
        <f>Programacion[[#This Row],[DEVENGADO ABRIL]]+Programacion[[#This Row],[DEVENGADO MAYO]]+Programacion[[#This Row],[DEVENGADO JUNIO]]</f>
        <v>0</v>
      </c>
      <c r="AK75" s="19">
        <f>Programacion[[#This Row],[JULIO]]+Programacion[[#This Row],[AGOSTO]]+Programacion[[#This Row],[SEPTIEMBRE]]</f>
        <v>0</v>
      </c>
      <c r="AL75" s="19">
        <f>Programacion[[#This Row],[DEVENGADO JULIO]]+Programacion[[#This Row],[DEVENGADO AGOSTO]]+Programacion[[#This Row],[DEVENGADO SEPTIEMBRE]]</f>
        <v>0</v>
      </c>
      <c r="AM75" s="19">
        <f>Programacion[[#This Row],[OCTUBRE]]+Programacion[[#This Row],[NOVIEMBRE]]+Programacion[[#This Row],[DICIEMBRE]]</f>
        <v>0</v>
      </c>
      <c r="AN75" s="20">
        <f>Programacion[[#This Row],[DEVENGADO OCTUBRE]]+Programacion[[#This Row],[DEVENGADO NOVIEMBRE]]+Programacion[[#This Row],[DEVENGADO DICIEMBRE]]</f>
        <v>0</v>
      </c>
      <c r="AO75" s="20">
        <f>Programacion[[#This Row],[ENERO]]+Programacion[[#This Row],[FEBRERO]]+Programacion[[#This Row],[MARZO]]+Programacion[[#This Row],[ABRIL]]+Programacion[[#This Row],[MAYO]]+Programacion[[#This Row],[JUNIO]]</f>
        <v>28760</v>
      </c>
      <c r="AP7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5" s="113"/>
    </row>
    <row r="76" spans="1:46" x14ac:dyDescent="0.25">
      <c r="A76" s="26" t="s">
        <v>81</v>
      </c>
      <c r="B76" s="27" t="s">
        <v>90</v>
      </c>
      <c r="C76" s="28" t="s">
        <v>64</v>
      </c>
      <c r="D76" s="28" t="s">
        <v>48</v>
      </c>
      <c r="E76" s="29">
        <v>39</v>
      </c>
      <c r="F76" s="30">
        <v>2.2999999999999998</v>
      </c>
      <c r="G76" s="28" t="s">
        <v>65</v>
      </c>
      <c r="H76" s="31"/>
      <c r="I76" s="31"/>
      <c r="J76" s="31"/>
      <c r="K76" s="31"/>
      <c r="L76" s="31">
        <v>19580</v>
      </c>
      <c r="M76" s="31">
        <v>19580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6" s="19">
        <f>Programacion[[#This Row],[ENERO]]+Programacion[[#This Row],[FEBRERO]]+Programacion[[#This Row],[MARZO]]</f>
        <v>19580</v>
      </c>
      <c r="AH76" s="19">
        <f>Programacion[[#This Row],[DEVENGADO ENERO]]+Programacion[[#This Row],[DEVENGADO FEBRERO]]+Programacion[[#This Row],[DEVENGADO MARZO]]</f>
        <v>19580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0</v>
      </c>
      <c r="AL76" s="19">
        <f>Programacion[[#This Row],[DEVENGADO JULIO]]+Programacion[[#This Row],[DEVENGADO AGOSTO]]+Programacion[[#This Row],[DEVENGADO SEPTIEMBRE]]</f>
        <v>0</v>
      </c>
      <c r="AM76" s="19">
        <f>Programacion[[#This Row],[OCTUBRE]]+Programacion[[#This Row],[NOVIEMBRE]]+Programacion[[#This Row],[DICIEMBRE]]</f>
        <v>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19580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6" s="113"/>
    </row>
    <row r="77" spans="1:46" ht="30" x14ac:dyDescent="0.25">
      <c r="A77" s="26" t="s">
        <v>81</v>
      </c>
      <c r="B77" s="27" t="s">
        <v>91</v>
      </c>
      <c r="C77" s="28" t="s">
        <v>64</v>
      </c>
      <c r="D77" s="28" t="s">
        <v>48</v>
      </c>
      <c r="E77" s="29">
        <v>39</v>
      </c>
      <c r="F77" s="30">
        <v>2.2999999999999998</v>
      </c>
      <c r="G77" s="28" t="s">
        <v>65</v>
      </c>
      <c r="H77" s="31"/>
      <c r="I77" s="31"/>
      <c r="J77" s="31"/>
      <c r="K77" s="31"/>
      <c r="L77" s="31">
        <v>8760</v>
      </c>
      <c r="M77" s="31">
        <v>8760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77" s="19">
        <f>Programacion[[#This Row],[ENERO]]+Programacion[[#This Row],[FEBRERO]]+Programacion[[#This Row],[MARZO]]</f>
        <v>8760</v>
      </c>
      <c r="AH77" s="19">
        <f>Programacion[[#This Row],[DEVENGADO ENERO]]+Programacion[[#This Row],[DEVENGADO FEBRERO]]+Programacion[[#This Row],[DEVENGADO MARZO]]</f>
        <v>8760</v>
      </c>
      <c r="AI77" s="19">
        <f>Programacion[[#This Row],[ABRIL]]+Programacion[[#This Row],[MAYO]]+Programacion[[#This Row],[JUNIO]]</f>
        <v>0</v>
      </c>
      <c r="AJ77" s="19">
        <f>Programacion[[#This Row],[DEVENGADO ABRIL]]+Programacion[[#This Row],[DEVENGADO MAYO]]+Programacion[[#This Row],[DEVENGADO JUNIO]]</f>
        <v>0</v>
      </c>
      <c r="AK77" s="19">
        <f>Programacion[[#This Row],[JULIO]]+Programacion[[#This Row],[AGOSTO]]+Programacion[[#This Row],[SEPTIEMBRE]]</f>
        <v>0</v>
      </c>
      <c r="AL77" s="19">
        <f>Programacion[[#This Row],[DEVENGADO JULIO]]+Programacion[[#This Row],[DEVENGADO AGOSTO]]+Programacion[[#This Row],[DEVENGADO SEPTIEMBRE]]</f>
        <v>0</v>
      </c>
      <c r="AM77" s="19">
        <f>Programacion[[#This Row],[OCTUBRE]]+Programacion[[#This Row],[NOVIEMBRE]]+Programacion[[#This Row],[DICIEMBRE]]</f>
        <v>0</v>
      </c>
      <c r="AN77" s="20">
        <f>Programacion[[#This Row],[DEVENGADO OCTUBRE]]+Programacion[[#This Row],[DEVENGADO NOVIEMBRE]]+Programacion[[#This Row],[DEVENGADO DICIEMBRE]]</f>
        <v>0</v>
      </c>
      <c r="AO77" s="20">
        <f>Programacion[[#This Row],[ENERO]]+Programacion[[#This Row],[FEBRERO]]+Programacion[[#This Row],[MARZO]]+Programacion[[#This Row],[ABRIL]]+Programacion[[#This Row],[MAYO]]+Programacion[[#This Row],[JUNIO]]</f>
        <v>8760</v>
      </c>
      <c r="AP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7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77" s="113"/>
    </row>
    <row r="78" spans="1:46" ht="30" x14ac:dyDescent="0.25">
      <c r="A78" s="26" t="s">
        <v>81</v>
      </c>
      <c r="B78" s="27" t="s">
        <v>92</v>
      </c>
      <c r="C78" s="28" t="s">
        <v>64</v>
      </c>
      <c r="D78" s="28" t="s">
        <v>48</v>
      </c>
      <c r="E78" s="29">
        <v>39</v>
      </c>
      <c r="F78" s="30">
        <v>2.2999999999999998</v>
      </c>
      <c r="G78" s="28" t="s">
        <v>65</v>
      </c>
      <c r="H78" s="31"/>
      <c r="I78" s="31"/>
      <c r="J78" s="31"/>
      <c r="K78" s="31"/>
      <c r="L78" s="31"/>
      <c r="M78" s="31"/>
      <c r="N78" s="31">
        <v>42000</v>
      </c>
      <c r="O78" s="31">
        <v>42000</v>
      </c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42000</v>
      </c>
      <c r="AJ78" s="19">
        <f>Programacion[[#This Row],[DEVENGADO ABRIL]]+Programacion[[#This Row],[DEVENGADO MAYO]]+Programacion[[#This Row],[DEVENGADO JUNIO]]</f>
        <v>42000</v>
      </c>
      <c r="AK78" s="19">
        <f>Programacion[[#This Row],[JULIO]]+Programacion[[#This Row],[AGOSTO]]+Programacion[[#This Row],[SEPTIEMBRE]]</f>
        <v>0</v>
      </c>
      <c r="AL78" s="19">
        <f>Programacion[[#This Row],[DEVENGADO JULIO]]+Programacion[[#This Row],[DEVENGADO AGOSTO]]+Programacion[[#This Row],[DEVENGADO SEPTIEMBRE]]</f>
        <v>0</v>
      </c>
      <c r="AM78" s="19">
        <f>Programacion[[#This Row],[OCTUBRE]]+Programacion[[#This Row],[NOVIEMBRE]]+Programacion[[#This Row],[DICIEMBRE]]</f>
        <v>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42000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78" s="113"/>
    </row>
    <row r="79" spans="1:46" ht="30" x14ac:dyDescent="0.25">
      <c r="A79" s="26" t="s">
        <v>81</v>
      </c>
      <c r="B79" s="27" t="s">
        <v>93</v>
      </c>
      <c r="C79" s="28" t="s">
        <v>64</v>
      </c>
      <c r="D79" s="28" t="s">
        <v>48</v>
      </c>
      <c r="E79" s="29">
        <v>39</v>
      </c>
      <c r="F79" s="30">
        <v>2.2999999999999998</v>
      </c>
      <c r="G79" s="28" t="s">
        <v>65</v>
      </c>
      <c r="H79" s="31"/>
      <c r="I79" s="31"/>
      <c r="J79" s="31"/>
      <c r="K79" s="31"/>
      <c r="L79" s="31">
        <v>16800</v>
      </c>
      <c r="M79" s="31">
        <v>16800</v>
      </c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79" s="19">
        <f>Programacion[[#This Row],[ENERO]]+Programacion[[#This Row],[FEBRERO]]+Programacion[[#This Row],[MARZO]]</f>
        <v>16800</v>
      </c>
      <c r="AH79" s="19">
        <f>Programacion[[#This Row],[DEVENGADO ENERO]]+Programacion[[#This Row],[DEVENGADO FEBRERO]]+Programacion[[#This Row],[DEVENGADO MARZO]]</f>
        <v>16800</v>
      </c>
      <c r="AI79" s="19">
        <f>Programacion[[#This Row],[ABRIL]]+Programacion[[#This Row],[MAYO]]+Programacion[[#This Row],[JUNIO]]</f>
        <v>0</v>
      </c>
      <c r="AJ79" s="19">
        <f>Programacion[[#This Row],[DEVENGADO ABRIL]]+Programacion[[#This Row],[DEVENGADO MAYO]]+Programacion[[#This Row],[DEVENGADO JUNIO]]</f>
        <v>0</v>
      </c>
      <c r="AK79" s="19">
        <f>Programacion[[#This Row],[JULIO]]+Programacion[[#This Row],[AGOSTO]]+Programacion[[#This Row],[SEPTIEMBRE]]</f>
        <v>0</v>
      </c>
      <c r="AL79" s="19">
        <f>Programacion[[#This Row],[DEVENGADO JULIO]]+Programacion[[#This Row],[DEVENGADO AGOSTO]]+Programacion[[#This Row],[DEVENGADO SEPTIEMBRE]]</f>
        <v>0</v>
      </c>
      <c r="AM79" s="19">
        <f>Programacion[[#This Row],[OCTUBRE]]+Programacion[[#This Row],[NOVIEMBRE]]+Programacion[[#This Row],[DICIEMBRE]]</f>
        <v>0</v>
      </c>
      <c r="AN79" s="20">
        <f>Programacion[[#This Row],[DEVENGADO OCTUBRE]]+Programacion[[#This Row],[DEVENGADO NOVIEMBRE]]+Programacion[[#This Row],[DEVENGADO DICIEMBRE]]</f>
        <v>0</v>
      </c>
      <c r="AO79" s="20">
        <f>Programacion[[#This Row],[ENERO]]+Programacion[[#This Row],[FEBRERO]]+Programacion[[#This Row],[MARZO]]+Programacion[[#This Row],[ABRIL]]+Programacion[[#This Row],[MAYO]]+Programacion[[#This Row],[JUNIO]]</f>
        <v>16800</v>
      </c>
      <c r="AP7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7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79" s="113"/>
    </row>
    <row r="80" spans="1:46" ht="30" x14ac:dyDescent="0.25">
      <c r="A80" s="26" t="s">
        <v>81</v>
      </c>
      <c r="B80" s="27" t="s">
        <v>94</v>
      </c>
      <c r="C80" s="28" t="s">
        <v>64</v>
      </c>
      <c r="D80" s="28" t="s">
        <v>48</v>
      </c>
      <c r="E80" s="29">
        <v>39</v>
      </c>
      <c r="F80" s="30">
        <v>2.2999999999999998</v>
      </c>
      <c r="G80" s="28" t="s">
        <v>65</v>
      </c>
      <c r="H80" s="31"/>
      <c r="I80" s="31"/>
      <c r="J80" s="31"/>
      <c r="K80" s="31"/>
      <c r="L80" s="31">
        <v>15000</v>
      </c>
      <c r="M80" s="31">
        <v>15000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0" s="19">
        <f>Programacion[[#This Row],[ENERO]]+Programacion[[#This Row],[FEBRERO]]+Programacion[[#This Row],[MARZO]]</f>
        <v>15000</v>
      </c>
      <c r="AH80" s="19">
        <f>Programacion[[#This Row],[DEVENGADO ENERO]]+Programacion[[#This Row],[DEVENGADO FEBRERO]]+Programacion[[#This Row],[DEVENGADO MARZO]]</f>
        <v>15000</v>
      </c>
      <c r="AI80" s="19">
        <f>Programacion[[#This Row],[ABRIL]]+Programacion[[#This Row],[MAYO]]+Programacion[[#This Row],[JUNIO]]</f>
        <v>0</v>
      </c>
      <c r="AJ80" s="19">
        <f>Programacion[[#This Row],[DEVENGADO ABRIL]]+Programacion[[#This Row],[DEVENGADO MAYO]]+Programacion[[#This Row],[DEVENGADO JUNIO]]</f>
        <v>0</v>
      </c>
      <c r="AK80" s="19">
        <f>Programacion[[#This Row],[JULIO]]+Programacion[[#This Row],[AGOSTO]]+Programacion[[#This Row],[SEPTIEMBRE]]</f>
        <v>0</v>
      </c>
      <c r="AL80" s="19">
        <f>Programacion[[#This Row],[DEVENGADO JULIO]]+Programacion[[#This Row],[DEVENGADO AGOSTO]]+Programacion[[#This Row],[DEVENGADO SEPTIEMBRE]]</f>
        <v>0</v>
      </c>
      <c r="AM80" s="19">
        <f>Programacion[[#This Row],[OCTUBRE]]+Programacion[[#This Row],[NOVIEMBRE]]+Programacion[[#This Row],[DICIEMBRE]]</f>
        <v>0</v>
      </c>
      <c r="AN80" s="20">
        <f>Programacion[[#This Row],[DEVENGADO OCTUBRE]]+Programacion[[#This Row],[DEVENGADO NOVIEMBRE]]+Programacion[[#This Row],[DEVENGADO DICIEMBRE]]</f>
        <v>0</v>
      </c>
      <c r="AO80" s="20">
        <f>Programacion[[#This Row],[ENERO]]+Programacion[[#This Row],[FEBRERO]]+Programacion[[#This Row],[MARZO]]+Programacion[[#This Row],[ABRIL]]+Programacion[[#This Row],[MAYO]]+Programacion[[#This Row],[JUNIO]]</f>
        <v>15000</v>
      </c>
      <c r="AP8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0" s="113"/>
    </row>
    <row r="81" spans="1:46" x14ac:dyDescent="0.25">
      <c r="A81" s="26" t="s">
        <v>81</v>
      </c>
      <c r="B81" s="27" t="s">
        <v>95</v>
      </c>
      <c r="C81" s="28" t="s">
        <v>96</v>
      </c>
      <c r="D81" s="28" t="s">
        <v>48</v>
      </c>
      <c r="E81" s="29">
        <v>78</v>
      </c>
      <c r="F81" s="30">
        <v>2.2999999999999998</v>
      </c>
      <c r="G81" s="28" t="s">
        <v>97</v>
      </c>
      <c r="H81" s="31"/>
      <c r="I81" s="31"/>
      <c r="J81" s="31">
        <v>1160</v>
      </c>
      <c r="K81" s="31">
        <v>1160</v>
      </c>
      <c r="L81" s="31">
        <v>580</v>
      </c>
      <c r="M81" s="31">
        <v>580</v>
      </c>
      <c r="N81" s="31">
        <v>580</v>
      </c>
      <c r="O81" s="31">
        <v>580</v>
      </c>
      <c r="P81" s="31">
        <v>580</v>
      </c>
      <c r="Q81" s="31">
        <v>580</v>
      </c>
      <c r="R81" s="31">
        <v>580</v>
      </c>
      <c r="S81" s="31">
        <v>580</v>
      </c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1" s="19">
        <f>Programacion[[#This Row],[ENERO]]+Programacion[[#This Row],[FEBRERO]]+Programacion[[#This Row],[MARZO]]</f>
        <v>1740</v>
      </c>
      <c r="AH81" s="19">
        <f>Programacion[[#This Row],[DEVENGADO ENERO]]+Programacion[[#This Row],[DEVENGADO FEBRERO]]+Programacion[[#This Row],[DEVENGADO MARZO]]</f>
        <v>1740</v>
      </c>
      <c r="AI81" s="19">
        <f>Programacion[[#This Row],[ABRIL]]+Programacion[[#This Row],[MAYO]]+Programacion[[#This Row],[JUNIO]]</f>
        <v>1740</v>
      </c>
      <c r="AJ81" s="19">
        <f>Programacion[[#This Row],[DEVENGADO ABRIL]]+Programacion[[#This Row],[DEVENGADO MAYO]]+Programacion[[#This Row],[DEVENGADO JUNIO]]</f>
        <v>1740</v>
      </c>
      <c r="AK81" s="19">
        <f>Programacion[[#This Row],[JULIO]]+Programacion[[#This Row],[AGOSTO]]+Programacion[[#This Row],[SEPTIEMBRE]]</f>
        <v>0</v>
      </c>
      <c r="AL81" s="19">
        <f>Programacion[[#This Row],[DEVENGADO JULIO]]+Programacion[[#This Row],[DEVENGADO AGOSTO]]+Programacion[[#This Row],[DEVENGADO SEPTIEMBRE]]</f>
        <v>0</v>
      </c>
      <c r="AM81" s="19">
        <f>Programacion[[#This Row],[OCTUBRE]]+Programacion[[#This Row],[NOVIEMBRE]]+Programacion[[#This Row],[DICIEMBRE]]</f>
        <v>0</v>
      </c>
      <c r="AN81" s="20">
        <f>Programacion[[#This Row],[DEVENGADO OCTUBRE]]+Programacion[[#This Row],[DEVENGADO NOVIEMBRE]]+Programacion[[#This Row],[DEVENGADO DICIEMBRE]]</f>
        <v>0</v>
      </c>
      <c r="AO81" s="20">
        <f>Programacion[[#This Row],[ENERO]]+Programacion[[#This Row],[FEBRERO]]+Programacion[[#This Row],[MARZO]]+Programacion[[#This Row],[ABRIL]]+Programacion[[#This Row],[MAYO]]+Programacion[[#This Row],[JUNIO]]</f>
        <v>3480</v>
      </c>
      <c r="AP8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1" s="113"/>
    </row>
    <row r="82" spans="1:46" x14ac:dyDescent="0.25">
      <c r="A82" s="26" t="s">
        <v>81</v>
      </c>
      <c r="B82" s="27" t="s">
        <v>98</v>
      </c>
      <c r="C82" s="28" t="s">
        <v>96</v>
      </c>
      <c r="D82" s="28" t="s">
        <v>48</v>
      </c>
      <c r="E82" s="29">
        <v>78</v>
      </c>
      <c r="F82" s="30">
        <v>2.2999999999999998</v>
      </c>
      <c r="G82" s="28" t="s">
        <v>97</v>
      </c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>
        <v>580</v>
      </c>
      <c r="U82" s="31">
        <v>580</v>
      </c>
      <c r="V82" s="31">
        <v>580</v>
      </c>
      <c r="W82" s="31">
        <v>580</v>
      </c>
      <c r="X82" s="31">
        <v>580</v>
      </c>
      <c r="Y82" s="31">
        <v>580</v>
      </c>
      <c r="Z82" s="31">
        <v>580</v>
      </c>
      <c r="AA82" s="31"/>
      <c r="AB82" s="31">
        <v>580</v>
      </c>
      <c r="AC82" s="31"/>
      <c r="AD82" s="31">
        <v>580</v>
      </c>
      <c r="AE82" s="31"/>
      <c r="AF8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2" s="19">
        <f>Programacion[[#This Row],[ENERO]]+Programacion[[#This Row],[FEBRERO]]+Programacion[[#This Row],[MARZO]]</f>
        <v>0</v>
      </c>
      <c r="AH82" s="19">
        <f>Programacion[[#This Row],[DEVENGADO ENERO]]+Programacion[[#This Row],[DEVENGADO FEBRERO]]+Programacion[[#This Row],[DEVENGADO MARZO]]</f>
        <v>0</v>
      </c>
      <c r="AI82" s="19">
        <f>Programacion[[#This Row],[ABRIL]]+Programacion[[#This Row],[MAYO]]+Programacion[[#This Row],[JUNIO]]</f>
        <v>0</v>
      </c>
      <c r="AJ82" s="19">
        <f>Programacion[[#This Row],[DEVENGADO ABRIL]]+Programacion[[#This Row],[DEVENGADO MAYO]]+Programacion[[#This Row],[DEVENGADO JUNIO]]</f>
        <v>0</v>
      </c>
      <c r="AK82" s="19">
        <f>Programacion[[#This Row],[JULIO]]+Programacion[[#This Row],[AGOSTO]]+Programacion[[#This Row],[SEPTIEMBRE]]</f>
        <v>1740</v>
      </c>
      <c r="AL82" s="19">
        <f>Programacion[[#This Row],[DEVENGADO JULIO]]+Programacion[[#This Row],[DEVENGADO AGOSTO]]+Programacion[[#This Row],[DEVENGADO SEPTIEMBRE]]</f>
        <v>1740</v>
      </c>
      <c r="AM82" s="19">
        <f>Programacion[[#This Row],[OCTUBRE]]+Programacion[[#This Row],[NOVIEMBRE]]+Programacion[[#This Row],[DICIEMBRE]]</f>
        <v>1740</v>
      </c>
      <c r="AN82" s="20">
        <f>Programacion[[#This Row],[DEVENGADO OCTUBRE]]+Programacion[[#This Row],[DEVENGADO NOVIEMBRE]]+Programacion[[#This Row],[DEVENGADO DICIEMBRE]]</f>
        <v>0</v>
      </c>
      <c r="AO82" s="20">
        <f>Programacion[[#This Row],[ENERO]]+Programacion[[#This Row],[FEBRERO]]+Programacion[[#This Row],[MARZO]]+Programacion[[#This Row],[ABRIL]]+Programacion[[#This Row],[MAYO]]+Programacion[[#This Row],[JUNIO]]</f>
        <v>0</v>
      </c>
      <c r="AP8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2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2" s="113"/>
    </row>
    <row r="83" spans="1:46" x14ac:dyDescent="0.25">
      <c r="A83" s="26" t="s">
        <v>81</v>
      </c>
      <c r="B83" s="27" t="s">
        <v>101</v>
      </c>
      <c r="C83" s="28" t="s">
        <v>56</v>
      </c>
      <c r="D83" s="28" t="s">
        <v>48</v>
      </c>
      <c r="E83" s="29">
        <v>3</v>
      </c>
      <c r="F83" s="30">
        <v>2.2999999999999998</v>
      </c>
      <c r="G83" s="28" t="s">
        <v>70</v>
      </c>
      <c r="H83" s="31"/>
      <c r="I83" s="31"/>
      <c r="J83" s="31">
        <v>5000</v>
      </c>
      <c r="K83" s="31">
        <v>5000</v>
      </c>
      <c r="L83" s="31">
        <v>5000</v>
      </c>
      <c r="M83" s="31">
        <v>5000</v>
      </c>
      <c r="N83" s="31">
        <v>5000</v>
      </c>
      <c r="O83" s="31">
        <v>5000</v>
      </c>
      <c r="P83" s="31">
        <v>5000</v>
      </c>
      <c r="Q83" s="31">
        <v>5000</v>
      </c>
      <c r="R83" s="31">
        <v>5000</v>
      </c>
      <c r="S83" s="31">
        <v>5000</v>
      </c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3" s="19">
        <f>Programacion[[#This Row],[ENERO]]+Programacion[[#This Row],[FEBRERO]]+Programacion[[#This Row],[MARZO]]</f>
        <v>10000</v>
      </c>
      <c r="AH83" s="19">
        <f>Programacion[[#This Row],[DEVENGADO ENERO]]+Programacion[[#This Row],[DEVENGADO FEBRERO]]+Programacion[[#This Row],[DEVENGADO MARZO]]</f>
        <v>10000</v>
      </c>
      <c r="AI83" s="19">
        <f>Programacion[[#This Row],[ABRIL]]+Programacion[[#This Row],[MAYO]]+Programacion[[#This Row],[JUNIO]]</f>
        <v>15000</v>
      </c>
      <c r="AJ83" s="19">
        <f>Programacion[[#This Row],[DEVENGADO ABRIL]]+Programacion[[#This Row],[DEVENGADO MAYO]]+Programacion[[#This Row],[DEVENGADO JUNIO]]</f>
        <v>15000</v>
      </c>
      <c r="AK83" s="19">
        <f>Programacion[[#This Row],[JULIO]]+Programacion[[#This Row],[AGOSTO]]+Programacion[[#This Row],[SEPTIEMBRE]]</f>
        <v>0</v>
      </c>
      <c r="AL83" s="19">
        <f>Programacion[[#This Row],[DEVENGADO JULIO]]+Programacion[[#This Row],[DEVENGADO AGOSTO]]+Programacion[[#This Row],[DEVENGADO SEPTIEMBRE]]</f>
        <v>0</v>
      </c>
      <c r="AM83" s="19">
        <f>Programacion[[#This Row],[OCTUBRE]]+Programacion[[#This Row],[NOVIEMBRE]]+Programacion[[#This Row],[DICIEMBRE]]</f>
        <v>0</v>
      </c>
      <c r="AN83" s="20">
        <f>Programacion[[#This Row],[DEVENGADO OCTUBRE]]+Programacion[[#This Row],[DEVENGADO NOVIEMBRE]]+Programacion[[#This Row],[DEVENGADO DICIEMBRE]]</f>
        <v>0</v>
      </c>
      <c r="AO83" s="20">
        <f>Programacion[[#This Row],[ENERO]]+Programacion[[#This Row],[FEBRERO]]+Programacion[[#This Row],[MARZO]]+Programacion[[#This Row],[ABRIL]]+Programacion[[#This Row],[MAYO]]+Programacion[[#This Row],[JUNIO]]</f>
        <v>25000</v>
      </c>
      <c r="AP8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3" s="113"/>
    </row>
    <row r="84" spans="1:46" x14ac:dyDescent="0.25">
      <c r="A84" s="26" t="s">
        <v>81</v>
      </c>
      <c r="B84" s="27" t="s">
        <v>102</v>
      </c>
      <c r="C84" s="28" t="s">
        <v>56</v>
      </c>
      <c r="D84" s="28" t="s">
        <v>48</v>
      </c>
      <c r="E84" s="29">
        <v>78</v>
      </c>
      <c r="F84" s="30">
        <v>2.2999999999999998</v>
      </c>
      <c r="G84" s="28" t="s">
        <v>70</v>
      </c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>
        <v>3000</v>
      </c>
      <c r="U84" s="31">
        <v>3000</v>
      </c>
      <c r="V84" s="31">
        <v>6000</v>
      </c>
      <c r="W84" s="31">
        <v>6000</v>
      </c>
      <c r="X84" s="31">
        <v>6000</v>
      </c>
      <c r="Y84" s="31"/>
      <c r="Z84" s="31">
        <v>5000</v>
      </c>
      <c r="AA84" s="31"/>
      <c r="AB84" s="31">
        <v>5000</v>
      </c>
      <c r="AC84" s="31"/>
      <c r="AD84" s="31">
        <v>5000</v>
      </c>
      <c r="AE84" s="31"/>
      <c r="AF8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4" s="19">
        <f>Programacion[[#This Row],[ENERO]]+Programacion[[#This Row],[FEBRERO]]+Programacion[[#This Row],[MARZO]]</f>
        <v>0</v>
      </c>
      <c r="AH84" s="19">
        <f>Programacion[[#This Row],[DEVENGADO ENERO]]+Programacion[[#This Row],[DEVENGADO FEBRERO]]+Programacion[[#This Row],[DEVENGADO MARZO]]</f>
        <v>0</v>
      </c>
      <c r="AI84" s="19">
        <f>Programacion[[#This Row],[ABRIL]]+Programacion[[#This Row],[MAYO]]+Programacion[[#This Row],[JUNIO]]</f>
        <v>0</v>
      </c>
      <c r="AJ84" s="19">
        <f>Programacion[[#This Row],[DEVENGADO ABRIL]]+Programacion[[#This Row],[DEVENGADO MAYO]]+Programacion[[#This Row],[DEVENGADO JUNIO]]</f>
        <v>0</v>
      </c>
      <c r="AK84" s="19">
        <f>Programacion[[#This Row],[JULIO]]+Programacion[[#This Row],[AGOSTO]]+Programacion[[#This Row],[SEPTIEMBRE]]</f>
        <v>15000</v>
      </c>
      <c r="AL84" s="19">
        <f>Programacion[[#This Row],[DEVENGADO JULIO]]+Programacion[[#This Row],[DEVENGADO AGOSTO]]+Programacion[[#This Row],[DEVENGADO SEPTIEMBRE]]</f>
        <v>9000</v>
      </c>
      <c r="AM84" s="19">
        <f>Programacion[[#This Row],[OCTUBRE]]+Programacion[[#This Row],[NOVIEMBRE]]+Programacion[[#This Row],[DICIEMBRE]]</f>
        <v>15000</v>
      </c>
      <c r="AN84" s="20">
        <f>Programacion[[#This Row],[DEVENGADO OCTUBRE]]+Programacion[[#This Row],[DEVENGADO NOVIEMBRE]]+Programacion[[#This Row],[DEVENGADO DICIEMBRE]]</f>
        <v>0</v>
      </c>
      <c r="AO84" s="20">
        <f>Programacion[[#This Row],[ENERO]]+Programacion[[#This Row],[FEBRERO]]+Programacion[[#This Row],[MARZO]]+Programacion[[#This Row],[ABRIL]]+Programacion[[#This Row],[MAYO]]+Programacion[[#This Row],[JUNIO]]</f>
        <v>0</v>
      </c>
      <c r="AP8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8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84" s="113"/>
    </row>
    <row r="85" spans="1:46" x14ac:dyDescent="0.25">
      <c r="A85" s="26" t="s">
        <v>81</v>
      </c>
      <c r="B85" s="27" t="s">
        <v>103</v>
      </c>
      <c r="C85" s="28" t="s">
        <v>56</v>
      </c>
      <c r="D85" s="28" t="s">
        <v>48</v>
      </c>
      <c r="E85" s="29">
        <v>3</v>
      </c>
      <c r="F85" s="30">
        <v>2.2999999999999998</v>
      </c>
      <c r="G85" s="28" t="s">
        <v>70</v>
      </c>
      <c r="H85" s="31"/>
      <c r="I85" s="31"/>
      <c r="J85" s="31">
        <v>5000</v>
      </c>
      <c r="K85" s="31">
        <v>5000</v>
      </c>
      <c r="L85" s="31">
        <v>5000</v>
      </c>
      <c r="M85" s="31">
        <v>5000</v>
      </c>
      <c r="N85" s="31">
        <v>5000</v>
      </c>
      <c r="O85" s="31">
        <v>5000</v>
      </c>
      <c r="P85" s="31">
        <v>5000</v>
      </c>
      <c r="Q85" s="31">
        <v>5000</v>
      </c>
      <c r="R85" s="31">
        <v>5000</v>
      </c>
      <c r="S85" s="31">
        <v>5000</v>
      </c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5" s="19">
        <f>Programacion[[#This Row],[ENERO]]+Programacion[[#This Row],[FEBRERO]]+Programacion[[#This Row],[MARZO]]</f>
        <v>10000</v>
      </c>
      <c r="AH85" s="19">
        <f>Programacion[[#This Row],[DEVENGADO ENERO]]+Programacion[[#This Row],[DEVENGADO FEBRERO]]+Programacion[[#This Row],[DEVENGADO MARZO]]</f>
        <v>10000</v>
      </c>
      <c r="AI85" s="19">
        <f>Programacion[[#This Row],[ABRIL]]+Programacion[[#This Row],[MAYO]]+Programacion[[#This Row],[JUNIO]]</f>
        <v>15000</v>
      </c>
      <c r="AJ85" s="19">
        <f>Programacion[[#This Row],[DEVENGADO ABRIL]]+Programacion[[#This Row],[DEVENGADO MAYO]]+Programacion[[#This Row],[DEVENGADO JUNIO]]</f>
        <v>15000</v>
      </c>
      <c r="AK85" s="19">
        <f>Programacion[[#This Row],[JULIO]]+Programacion[[#This Row],[AGOSTO]]+Programacion[[#This Row],[SEPTIEMBRE]]</f>
        <v>0</v>
      </c>
      <c r="AL85" s="19">
        <f>Programacion[[#This Row],[DEVENGADO JULIO]]+Programacion[[#This Row],[DEVENGADO AGOSTO]]+Programacion[[#This Row],[DEVENGADO SEPTIEMBRE]]</f>
        <v>0</v>
      </c>
      <c r="AM85" s="19">
        <f>Programacion[[#This Row],[OCTUBRE]]+Programacion[[#This Row],[NOVIEMBRE]]+Programacion[[#This Row],[DICIEMBRE]]</f>
        <v>0</v>
      </c>
      <c r="AN85" s="20">
        <f>Programacion[[#This Row],[DEVENGADO OCTUBRE]]+Programacion[[#This Row],[DEVENGADO NOVIEMBRE]]+Programacion[[#This Row],[DEVENGADO DICIEMBRE]]</f>
        <v>0</v>
      </c>
      <c r="AO85" s="20">
        <f>Programacion[[#This Row],[ENERO]]+Programacion[[#This Row],[FEBRERO]]+Programacion[[#This Row],[MARZO]]+Programacion[[#This Row],[ABRIL]]+Programacion[[#This Row],[MAYO]]+Programacion[[#This Row],[JUNIO]]</f>
        <v>25000</v>
      </c>
      <c r="AP8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5" s="113"/>
    </row>
    <row r="86" spans="1:46" x14ac:dyDescent="0.25">
      <c r="A86" s="26" t="s">
        <v>81</v>
      </c>
      <c r="B86" s="27" t="s">
        <v>104</v>
      </c>
      <c r="C86" s="28" t="s">
        <v>56</v>
      </c>
      <c r="D86" s="28" t="s">
        <v>48</v>
      </c>
      <c r="E86" s="29">
        <v>78</v>
      </c>
      <c r="F86" s="30">
        <v>2.2999999999999998</v>
      </c>
      <c r="G86" s="28" t="s">
        <v>70</v>
      </c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>
        <v>3000</v>
      </c>
      <c r="U86" s="31">
        <v>3000</v>
      </c>
      <c r="V86" s="31">
        <v>6000</v>
      </c>
      <c r="W86" s="31">
        <v>6000</v>
      </c>
      <c r="X86" s="31">
        <v>6000</v>
      </c>
      <c r="Y86" s="31"/>
      <c r="Z86" s="31">
        <v>5000</v>
      </c>
      <c r="AA86" s="31"/>
      <c r="AB86" s="31">
        <v>5000</v>
      </c>
      <c r="AC86" s="31"/>
      <c r="AD86" s="31">
        <v>5000</v>
      </c>
      <c r="AE86" s="31"/>
      <c r="AF8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6" s="19">
        <f>Programacion[[#This Row],[ENERO]]+Programacion[[#This Row],[FEBRERO]]+Programacion[[#This Row],[MARZO]]</f>
        <v>0</v>
      </c>
      <c r="AH86" s="19">
        <f>Programacion[[#This Row],[DEVENGADO ENERO]]+Programacion[[#This Row],[DEVENGADO FEBRERO]]+Programacion[[#This Row],[DEVENGADO MARZO]]</f>
        <v>0</v>
      </c>
      <c r="AI86" s="19">
        <f>Programacion[[#This Row],[ABRIL]]+Programacion[[#This Row],[MAYO]]+Programacion[[#This Row],[JUNIO]]</f>
        <v>0</v>
      </c>
      <c r="AJ86" s="19">
        <f>Programacion[[#This Row],[DEVENGADO ABRIL]]+Programacion[[#This Row],[DEVENGADO MAYO]]+Programacion[[#This Row],[DEVENGADO JUNIO]]</f>
        <v>0</v>
      </c>
      <c r="AK86" s="19">
        <f>Programacion[[#This Row],[JULIO]]+Programacion[[#This Row],[AGOSTO]]+Programacion[[#This Row],[SEPTIEMBRE]]</f>
        <v>15000</v>
      </c>
      <c r="AL86" s="19">
        <f>Programacion[[#This Row],[DEVENGADO JULIO]]+Programacion[[#This Row],[DEVENGADO AGOSTO]]+Programacion[[#This Row],[DEVENGADO SEPTIEMBRE]]</f>
        <v>9000</v>
      </c>
      <c r="AM86" s="19">
        <f>Programacion[[#This Row],[OCTUBRE]]+Programacion[[#This Row],[NOVIEMBRE]]+Programacion[[#This Row],[DICIEMBRE]]</f>
        <v>15000</v>
      </c>
      <c r="AN86" s="20">
        <f>Programacion[[#This Row],[DEVENGADO OCTUBRE]]+Programacion[[#This Row],[DEVENGADO NOVIEMBRE]]+Programacion[[#This Row],[DEVENGADO DICIEMBRE]]</f>
        <v>0</v>
      </c>
      <c r="AO86" s="20">
        <f>Programacion[[#This Row],[ENERO]]+Programacion[[#This Row],[FEBRERO]]+Programacion[[#This Row],[MARZO]]+Programacion[[#This Row],[ABRIL]]+Programacion[[#This Row],[MAYO]]+Programacion[[#This Row],[JUNIO]]</f>
        <v>0</v>
      </c>
      <c r="AP8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8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86" s="113"/>
    </row>
    <row r="87" spans="1:46" x14ac:dyDescent="0.25">
      <c r="A87" s="26" t="s">
        <v>81</v>
      </c>
      <c r="B87" s="32" t="s">
        <v>105</v>
      </c>
      <c r="C87" s="28" t="s">
        <v>56</v>
      </c>
      <c r="D87" s="28" t="s">
        <v>48</v>
      </c>
      <c r="E87" s="29">
        <v>3</v>
      </c>
      <c r="F87" s="30">
        <v>2.2999999999999998</v>
      </c>
      <c r="G87" s="28" t="s">
        <v>70</v>
      </c>
      <c r="H87" s="31"/>
      <c r="I87" s="31"/>
      <c r="J87" s="31"/>
      <c r="K87" s="31"/>
      <c r="L87" s="31">
        <v>5000</v>
      </c>
      <c r="M87" s="31">
        <v>5000</v>
      </c>
      <c r="N87" s="31">
        <v>5000</v>
      </c>
      <c r="O87" s="31">
        <v>5000</v>
      </c>
      <c r="P87" s="31">
        <v>5000</v>
      </c>
      <c r="Q87" s="31">
        <v>5000</v>
      </c>
      <c r="R87" s="31">
        <v>5000</v>
      </c>
      <c r="S87" s="31">
        <v>5000</v>
      </c>
      <c r="T87" s="31">
        <v>5000</v>
      </c>
      <c r="U87" s="31">
        <v>5000</v>
      </c>
      <c r="V87" s="31">
        <v>5000</v>
      </c>
      <c r="W87" s="31">
        <v>5000</v>
      </c>
      <c r="X87" s="31"/>
      <c r="Y87" s="31"/>
      <c r="Z87" s="31"/>
      <c r="AA87" s="31"/>
      <c r="AB87" s="31"/>
      <c r="AC87" s="31"/>
      <c r="AD87" s="31"/>
      <c r="AE87" s="31"/>
      <c r="AF8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87" s="19">
        <f>Programacion[[#This Row],[ENERO]]+Programacion[[#This Row],[FEBRERO]]+Programacion[[#This Row],[MARZO]]</f>
        <v>5000</v>
      </c>
      <c r="AH87" s="19">
        <f>Programacion[[#This Row],[DEVENGADO ENERO]]+Programacion[[#This Row],[DEVENGADO FEBRERO]]+Programacion[[#This Row],[DEVENGADO MARZO]]</f>
        <v>5000</v>
      </c>
      <c r="AI87" s="19">
        <f>Programacion[[#This Row],[ABRIL]]+Programacion[[#This Row],[MAYO]]+Programacion[[#This Row],[JUNIO]]</f>
        <v>15000</v>
      </c>
      <c r="AJ87" s="19">
        <f>Programacion[[#This Row],[DEVENGADO ABRIL]]+Programacion[[#This Row],[DEVENGADO MAYO]]+Programacion[[#This Row],[DEVENGADO JUNIO]]</f>
        <v>15000</v>
      </c>
      <c r="AK87" s="19">
        <f>Programacion[[#This Row],[JULIO]]+Programacion[[#This Row],[AGOSTO]]+Programacion[[#This Row],[SEPTIEMBRE]]</f>
        <v>10000</v>
      </c>
      <c r="AL87" s="19">
        <f>Programacion[[#This Row],[DEVENGADO JULIO]]+Programacion[[#This Row],[DEVENGADO AGOSTO]]+Programacion[[#This Row],[DEVENGADO SEPTIEMBRE]]</f>
        <v>10000</v>
      </c>
      <c r="AM87" s="19">
        <f>Programacion[[#This Row],[OCTUBRE]]+Programacion[[#This Row],[NOVIEMBRE]]+Programacion[[#This Row],[DICIEMBRE]]</f>
        <v>0</v>
      </c>
      <c r="AN87" s="20">
        <f>Programacion[[#This Row],[DEVENGADO OCTUBRE]]+Programacion[[#This Row],[DEVENGADO NOVIEMBRE]]+Programacion[[#This Row],[DEVENGADO DICIEMBRE]]</f>
        <v>0</v>
      </c>
      <c r="AO87" s="20">
        <f>Programacion[[#This Row],[ENERO]]+Programacion[[#This Row],[FEBRERO]]+Programacion[[#This Row],[MARZO]]+Programacion[[#This Row],[ABRIL]]+Programacion[[#This Row],[MAYO]]+Programacion[[#This Row],[JUNIO]]</f>
        <v>20000</v>
      </c>
      <c r="AP8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87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87" s="113"/>
    </row>
    <row r="88" spans="1:46" x14ac:dyDescent="0.25">
      <c r="A88" s="26" t="s">
        <v>81</v>
      </c>
      <c r="B88" s="32" t="s">
        <v>105</v>
      </c>
      <c r="C88" s="28" t="s">
        <v>56</v>
      </c>
      <c r="D88" s="28" t="s">
        <v>48</v>
      </c>
      <c r="E88" s="29">
        <v>78</v>
      </c>
      <c r="F88" s="30">
        <v>2.2999999999999998</v>
      </c>
      <c r="G88" s="28" t="s">
        <v>70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>
        <v>5000</v>
      </c>
      <c r="Y88" s="33"/>
      <c r="Z88" s="33">
        <v>5000</v>
      </c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5000</v>
      </c>
      <c r="AL88" s="33">
        <f>Programacion[[#This Row],[DEVENGADO JULIO]]+Programacion[[#This Row],[DEVENGADO AGOSTO]]+Programacion[[#This Row],[DEVENGADO SEPTIEMBRE]]</f>
        <v>0</v>
      </c>
      <c r="AM88" s="33">
        <f>Programacion[[#This Row],[OCTUBRE]]+Programacion[[#This Row],[NOVIEMBRE]]+Programacion[[#This Row],[DICIEMBRE]]</f>
        <v>5000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113"/>
    </row>
    <row r="89" spans="1:46" x14ac:dyDescent="0.25">
      <c r="A89" s="26" t="s">
        <v>81</v>
      </c>
      <c r="B89" s="32" t="s">
        <v>105</v>
      </c>
      <c r="C89" s="28" t="s">
        <v>56</v>
      </c>
      <c r="D89" s="28" t="s">
        <v>48</v>
      </c>
      <c r="E89" s="29">
        <v>3</v>
      </c>
      <c r="F89" s="30">
        <v>2.2999999999999998</v>
      </c>
      <c r="G89" s="28" t="s">
        <v>70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>
        <v>5000</v>
      </c>
      <c r="AC89" s="33"/>
      <c r="AD89" s="33">
        <v>5000</v>
      </c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0</v>
      </c>
      <c r="AL89" s="33">
        <f>Programacion[[#This Row],[DEVENGADO JULIO]]+Programacion[[#This Row],[DEVENGADO AGOSTO]]+Programacion[[#This Row],[DEVENGADO SEPTIEMBRE]]</f>
        <v>0</v>
      </c>
      <c r="AM89" s="33">
        <f>Programacion[[#This Row],[OCTUBRE]]+Programacion[[#This Row],[NOVIEMBRE]]+Programacion[[#This Row],[DICIEMBRE]]</f>
        <v>10000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9" s="113"/>
    </row>
    <row r="90" spans="1:46" x14ac:dyDescent="0.25">
      <c r="A90" s="26" t="s">
        <v>81</v>
      </c>
      <c r="B90" s="32" t="s">
        <v>237</v>
      </c>
      <c r="C90" s="28" t="s">
        <v>56</v>
      </c>
      <c r="D90" s="28" t="s">
        <v>48</v>
      </c>
      <c r="E90" s="29">
        <v>78</v>
      </c>
      <c r="F90" s="30">
        <v>2.2999999999999998</v>
      </c>
      <c r="G90" s="28" t="s">
        <v>70</v>
      </c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>
        <v>4000</v>
      </c>
      <c r="W90" s="31">
        <v>4000</v>
      </c>
      <c r="X90" s="31">
        <v>4000</v>
      </c>
      <c r="Y90" s="31"/>
      <c r="Z90" s="31">
        <v>4000</v>
      </c>
      <c r="AA90" s="31"/>
      <c r="AB90" s="31"/>
      <c r="AC90" s="31"/>
      <c r="AD90" s="31"/>
      <c r="AE90" s="31"/>
      <c r="AF9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0" s="19">
        <f>Programacion[[#This Row],[ENERO]]+Programacion[[#This Row],[FEBRERO]]+Programacion[[#This Row],[MARZO]]</f>
        <v>0</v>
      </c>
      <c r="AH90" s="19">
        <f>Programacion[[#This Row],[DEVENGADO ENERO]]+Programacion[[#This Row],[DEVENGADO FEBRERO]]+Programacion[[#This Row],[DEVENGADO MARZO]]</f>
        <v>0</v>
      </c>
      <c r="AI90" s="19">
        <f>Programacion[[#This Row],[ABRIL]]+Programacion[[#This Row],[MAYO]]+Programacion[[#This Row],[JUNIO]]</f>
        <v>0</v>
      </c>
      <c r="AJ90" s="19">
        <f>Programacion[[#This Row],[DEVENGADO ABRIL]]+Programacion[[#This Row],[DEVENGADO MAYO]]+Programacion[[#This Row],[DEVENGADO JUNIO]]</f>
        <v>0</v>
      </c>
      <c r="AK90" s="19">
        <f>Programacion[[#This Row],[JULIO]]+Programacion[[#This Row],[AGOSTO]]+Programacion[[#This Row],[SEPTIEMBRE]]</f>
        <v>8000</v>
      </c>
      <c r="AL90" s="19">
        <f>Programacion[[#This Row],[DEVENGADO JULIO]]+Programacion[[#This Row],[DEVENGADO AGOSTO]]+Programacion[[#This Row],[DEVENGADO SEPTIEMBRE]]</f>
        <v>4000</v>
      </c>
      <c r="AM90" s="19">
        <f>Programacion[[#This Row],[OCTUBRE]]+Programacion[[#This Row],[NOVIEMBRE]]+Programacion[[#This Row],[DICIEMBRE]]</f>
        <v>4000</v>
      </c>
      <c r="AN90" s="20">
        <f>Programacion[[#This Row],[DEVENGADO OCTUBRE]]+Programacion[[#This Row],[DEVENGADO NOVIEMBRE]]+Programacion[[#This Row],[DEVENGADO DICIEMBRE]]</f>
        <v>0</v>
      </c>
      <c r="AO90" s="20">
        <f>Programacion[[#This Row],[ENERO]]+Programacion[[#This Row],[FEBRERO]]+Programacion[[#This Row],[MARZO]]+Programacion[[#This Row],[ABRIL]]+Programacion[[#This Row],[MAYO]]+Programacion[[#This Row],[JUNIO]]</f>
        <v>0</v>
      </c>
      <c r="AP9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90" s="113"/>
    </row>
    <row r="91" spans="1:46" x14ac:dyDescent="0.25">
      <c r="A91" s="26" t="s">
        <v>81</v>
      </c>
      <c r="B91" s="32" t="s">
        <v>237</v>
      </c>
      <c r="C91" s="28" t="s">
        <v>56</v>
      </c>
      <c r="D91" s="28" t="s">
        <v>48</v>
      </c>
      <c r="E91" s="29">
        <v>78</v>
      </c>
      <c r="F91" s="30">
        <v>2.2999999999999998</v>
      </c>
      <c r="G91" s="28" t="s">
        <v>70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>
        <v>4000</v>
      </c>
      <c r="AC91" s="33"/>
      <c r="AD91" s="33">
        <v>4000</v>
      </c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8000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3"/>
    </row>
    <row r="92" spans="1:46" ht="30" x14ac:dyDescent="0.25">
      <c r="A92" s="98" t="s">
        <v>81</v>
      </c>
      <c r="B92" s="99" t="s">
        <v>232</v>
      </c>
      <c r="C92" s="28" t="s">
        <v>106</v>
      </c>
      <c r="D92" s="100" t="s">
        <v>48</v>
      </c>
      <c r="E92" s="101">
        <v>78</v>
      </c>
      <c r="F92" s="102">
        <v>2.2999999999999998</v>
      </c>
      <c r="G92" s="100" t="s">
        <v>120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>
        <v>660</v>
      </c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0</v>
      </c>
      <c r="AL92" s="33">
        <f>Programacion[[#This Row],[DEVENGADO JULIO]]+Programacion[[#This Row],[DEVENGADO AGOSTO]]+Programacion[[#This Row],[DEVENGADO SEPTIEMBRE]]</f>
        <v>0</v>
      </c>
      <c r="AM92" s="33">
        <f>Programacion[[#This Row],[OCTUBRE]]+Programacion[[#This Row],[NOVIEMBRE]]+Programacion[[#This Row],[DICIEMBRE]]</f>
        <v>660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2" s="113"/>
    </row>
    <row r="93" spans="1:46" ht="30" x14ac:dyDescent="0.25">
      <c r="A93" s="26" t="s">
        <v>81</v>
      </c>
      <c r="B93" s="32" t="s">
        <v>106</v>
      </c>
      <c r="C93" s="28" t="s">
        <v>106</v>
      </c>
      <c r="D93" s="28" t="s">
        <v>48</v>
      </c>
      <c r="E93" s="29">
        <v>78</v>
      </c>
      <c r="F93" s="30">
        <v>2.2999999999999998</v>
      </c>
      <c r="G93" s="28" t="s">
        <v>107</v>
      </c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>
        <v>602.66999999999996</v>
      </c>
      <c r="U93" s="31">
        <v>602.66999999999996</v>
      </c>
      <c r="V93" s="31">
        <v>1130</v>
      </c>
      <c r="W93" s="31">
        <v>1054.67</v>
      </c>
      <c r="X93" s="31">
        <v>1130</v>
      </c>
      <c r="Y93" s="31"/>
      <c r="Z93" s="31">
        <v>1130</v>
      </c>
      <c r="AA93" s="31"/>
      <c r="AB93" s="31">
        <v>1130</v>
      </c>
      <c r="AC93" s="31"/>
      <c r="AD93" s="31">
        <v>1130</v>
      </c>
      <c r="AE93" s="31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0</v>
      </c>
      <c r="AJ93" s="19">
        <f>Programacion[[#This Row],[DEVENGADO ABRIL]]+Programacion[[#This Row],[DEVENGADO MAYO]]+Programacion[[#This Row],[DEVENGADO JUNIO]]</f>
        <v>0</v>
      </c>
      <c r="AK93" s="19">
        <f>Programacion[[#This Row],[JULIO]]+Programacion[[#This Row],[AGOSTO]]+Programacion[[#This Row],[SEPTIEMBRE]]</f>
        <v>2862.67</v>
      </c>
      <c r="AL93" s="19">
        <f>Programacion[[#This Row],[DEVENGADO JULIO]]+Programacion[[#This Row],[DEVENGADO AGOSTO]]+Programacion[[#This Row],[DEVENGADO SEPTIEMBRE]]</f>
        <v>1657.3400000000001</v>
      </c>
      <c r="AM93" s="19">
        <f>Programacion[[#This Row],[OCTUBRE]]+Programacion[[#This Row],[NOVIEMBRE]]+Programacion[[#This Row],[DICIEMBRE]]</f>
        <v>3390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93" s="113"/>
    </row>
    <row r="94" spans="1:46" x14ac:dyDescent="0.25">
      <c r="A94" s="26" t="s">
        <v>81</v>
      </c>
      <c r="B94" s="32" t="s">
        <v>108</v>
      </c>
      <c r="C94" s="28" t="s">
        <v>56</v>
      </c>
      <c r="D94" s="28" t="s">
        <v>48</v>
      </c>
      <c r="E94" s="29">
        <v>39</v>
      </c>
      <c r="F94" s="30">
        <v>2.2999999999999998</v>
      </c>
      <c r="G94" s="28" t="s">
        <v>70</v>
      </c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>
        <v>1130</v>
      </c>
      <c r="S94" s="31"/>
      <c r="T94" s="31"/>
      <c r="U94" s="31">
        <v>1130</v>
      </c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4" s="33">
        <f>Programacion[[#This Row],[ENERO]]+Programacion[[#This Row],[FEBRERO]]+Programacion[[#This Row],[MARZO]]</f>
        <v>0</v>
      </c>
      <c r="AH94" s="33">
        <f>Programacion[[#This Row],[DEVENGADO ENERO]]+Programacion[[#This Row],[DEVENGADO FEBRERO]]+Programacion[[#This Row],[DEVENGADO MARZO]]</f>
        <v>0</v>
      </c>
      <c r="AI94" s="33">
        <f>Programacion[[#This Row],[ABRIL]]+Programacion[[#This Row],[MAYO]]+Programacion[[#This Row],[JUNIO]]</f>
        <v>1130</v>
      </c>
      <c r="AJ94" s="33">
        <f>Programacion[[#This Row],[DEVENGADO ABRIL]]+Programacion[[#This Row],[DEVENGADO MAYO]]+Programacion[[#This Row],[DEVENGADO JUNIO]]</f>
        <v>0</v>
      </c>
      <c r="AK94" s="33">
        <f>Programacion[[#This Row],[JULIO]]+Programacion[[#This Row],[AGOSTO]]+Programacion[[#This Row],[SEPTIEMBRE]]</f>
        <v>0</v>
      </c>
      <c r="AL94" s="33">
        <f>Programacion[[#This Row],[DEVENGADO JULIO]]+Programacion[[#This Row],[DEVENGADO AGOSTO]]+Programacion[[#This Row],[DEVENGADO SEPTIEMBRE]]</f>
        <v>1130</v>
      </c>
      <c r="AM94" s="33">
        <f>Programacion[[#This Row],[OCTUBRE]]+Programacion[[#This Row],[NOVIEMBRE]]+Programacion[[#This Row],[DICIEMBRE]]</f>
        <v>0</v>
      </c>
      <c r="AN94" s="21">
        <f>Programacion[[#This Row],[DEVENGADO OCTUBRE]]+Programacion[[#This Row],[DEVENGADO NOVIEMBRE]]+Programacion[[#This Row],[DEVENGADO DICIEMBRE]]</f>
        <v>0</v>
      </c>
      <c r="AO94" s="21">
        <f>Programacion[[#This Row],[ENERO]]+Programacion[[#This Row],[FEBRERO]]+Programacion[[#This Row],[MARZO]]+Programacion[[#This Row],[ABRIL]]+Programacion[[#This Row],[MAYO]]+Programacion[[#This Row],[JUNIO]]</f>
        <v>1130</v>
      </c>
      <c r="AP9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4" s="113"/>
    </row>
    <row r="95" spans="1:46" ht="30" x14ac:dyDescent="0.25">
      <c r="A95" s="26" t="s">
        <v>81</v>
      </c>
      <c r="B95" s="111" t="s">
        <v>222</v>
      </c>
      <c r="C95" s="100" t="s">
        <v>47</v>
      </c>
      <c r="D95" s="28" t="s">
        <v>48</v>
      </c>
      <c r="E95" s="101">
        <v>78</v>
      </c>
      <c r="F95" s="30">
        <v>2.2999999999999998</v>
      </c>
      <c r="G95" s="28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1">
        <v>1550</v>
      </c>
      <c r="S95" s="33"/>
      <c r="T95" s="33"/>
      <c r="U95" s="33">
        <v>1123.99</v>
      </c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1550</v>
      </c>
      <c r="AJ95" s="33">
        <f>Programacion[[#This Row],[DEVENGADO ABRIL]]+Programacion[[#This Row],[DEVENGADO MAYO]]+Programacion[[#This Row],[DEVENGADO JUNIO]]</f>
        <v>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1123.99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1550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5" s="113"/>
    </row>
    <row r="96" spans="1:46" x14ac:dyDescent="0.25">
      <c r="A96" s="26" t="s">
        <v>81</v>
      </c>
      <c r="B96" s="111" t="s">
        <v>271</v>
      </c>
      <c r="C96" s="100" t="s">
        <v>47</v>
      </c>
      <c r="D96" s="28" t="s">
        <v>48</v>
      </c>
      <c r="E96" s="101">
        <v>78</v>
      </c>
      <c r="F96" s="30">
        <v>2.2999999999999998</v>
      </c>
      <c r="G96" s="28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1">
        <v>3280</v>
      </c>
      <c r="S96" s="33"/>
      <c r="T96" s="33"/>
      <c r="U96" s="33">
        <v>2156</v>
      </c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3280</v>
      </c>
      <c r="AJ96" s="33">
        <f>Programacion[[#This Row],[DEVENGADO ABRIL]]+Programacion[[#This Row],[DEVENGADO MAYO]]+Programacion[[#This Row],[DEVENGADO JUNIO]]</f>
        <v>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2156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3280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6" s="113"/>
    </row>
    <row r="97" spans="1:46" x14ac:dyDescent="0.25">
      <c r="A97" s="26" t="s">
        <v>81</v>
      </c>
      <c r="B97" s="111" t="s">
        <v>272</v>
      </c>
      <c r="C97" s="100" t="s">
        <v>47</v>
      </c>
      <c r="D97" s="28" t="s">
        <v>48</v>
      </c>
      <c r="E97" s="101">
        <v>78</v>
      </c>
      <c r="F97" s="30">
        <v>2.2999999999999998</v>
      </c>
      <c r="G97" s="28" t="s">
        <v>225</v>
      </c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1">
        <v>829</v>
      </c>
      <c r="S97" s="33">
        <v>829</v>
      </c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97" s="33">
        <f>Programacion[[#This Row],[ENERO]]+Programacion[[#This Row],[FEBRERO]]+Programacion[[#This Row],[MARZO]]</f>
        <v>0</v>
      </c>
      <c r="AH97" s="33">
        <f>Programacion[[#This Row],[DEVENGADO ENERO]]+Programacion[[#This Row],[DEVENGADO FEBRERO]]+Programacion[[#This Row],[DEVENGADO MARZO]]</f>
        <v>0</v>
      </c>
      <c r="AI97" s="33">
        <f>Programacion[[#This Row],[ABRIL]]+Programacion[[#This Row],[MAYO]]+Programacion[[#This Row],[JUNIO]]</f>
        <v>829</v>
      </c>
      <c r="AJ97" s="33">
        <f>Programacion[[#This Row],[DEVENGADO ABRIL]]+Programacion[[#This Row],[DEVENGADO MAYO]]+Programacion[[#This Row],[DEVENGADO JUNIO]]</f>
        <v>829</v>
      </c>
      <c r="AK97" s="33">
        <f>Programacion[[#This Row],[JULIO]]+Programacion[[#This Row],[AGOSTO]]+Programacion[[#This Row],[SEPTIEMBRE]]</f>
        <v>0</v>
      </c>
      <c r="AL97" s="33">
        <f>Programacion[[#This Row],[DEVENGADO JULIO]]+Programacion[[#This Row],[DEVENGADO AGOSTO]]+Programacion[[#This Row],[DEVENGADO SEPTIEMBRE]]</f>
        <v>0</v>
      </c>
      <c r="AM97" s="33">
        <f>Programacion[[#This Row],[OCTUBRE]]+Programacion[[#This Row],[NOVIEMBRE]]+Programacion[[#This Row],[DICIEMBRE]]</f>
        <v>0</v>
      </c>
      <c r="AN97" s="21">
        <f>Programacion[[#This Row],[DEVENGADO OCTUBRE]]+Programacion[[#This Row],[DEVENGADO NOVIEMBRE]]+Programacion[[#This Row],[DEVENGADO DICIEMBRE]]</f>
        <v>0</v>
      </c>
      <c r="AO97" s="21">
        <f>Programacion[[#This Row],[ENERO]]+Programacion[[#This Row],[FEBRERO]]+Programacion[[#This Row],[MARZO]]+Programacion[[#This Row],[ABRIL]]+Programacion[[#This Row],[MAYO]]+Programacion[[#This Row],[JUNIO]]</f>
        <v>829</v>
      </c>
      <c r="AP9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9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97" s="113"/>
    </row>
    <row r="98" spans="1:46" x14ac:dyDescent="0.25">
      <c r="A98" s="26" t="s">
        <v>81</v>
      </c>
      <c r="B98" s="111" t="s">
        <v>273</v>
      </c>
      <c r="C98" s="100" t="s">
        <v>47</v>
      </c>
      <c r="D98" s="28" t="s">
        <v>48</v>
      </c>
      <c r="E98" s="101">
        <v>78</v>
      </c>
      <c r="F98" s="30">
        <v>2.2999999999999998</v>
      </c>
      <c r="G98" s="28" t="s">
        <v>226</v>
      </c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1">
        <v>3500</v>
      </c>
      <c r="S98" s="33">
        <v>3500</v>
      </c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98" s="33">
        <f>Programacion[[#This Row],[ENERO]]+Programacion[[#This Row],[FEBRERO]]+Programacion[[#This Row],[MARZO]]</f>
        <v>0</v>
      </c>
      <c r="AH98" s="33">
        <f>Programacion[[#This Row],[DEVENGADO ENERO]]+Programacion[[#This Row],[DEVENGADO FEBRERO]]+Programacion[[#This Row],[DEVENGADO MARZO]]</f>
        <v>0</v>
      </c>
      <c r="AI98" s="33">
        <f>Programacion[[#This Row],[ABRIL]]+Programacion[[#This Row],[MAYO]]+Programacion[[#This Row],[JUNIO]]</f>
        <v>3500</v>
      </c>
      <c r="AJ98" s="33">
        <f>Programacion[[#This Row],[DEVENGADO ABRIL]]+Programacion[[#This Row],[DEVENGADO MAYO]]+Programacion[[#This Row],[DEVENGADO JUNIO]]</f>
        <v>3500</v>
      </c>
      <c r="AK98" s="33">
        <f>Programacion[[#This Row],[JULIO]]+Programacion[[#This Row],[AGOSTO]]+Programacion[[#This Row],[SEPTIEMBRE]]</f>
        <v>0</v>
      </c>
      <c r="AL98" s="33">
        <f>Programacion[[#This Row],[DEVENGADO JULIO]]+Programacion[[#This Row],[DEVENGADO AGOSTO]]+Programacion[[#This Row],[DEVENGADO SEPTIEMBRE]]</f>
        <v>0</v>
      </c>
      <c r="AM98" s="33">
        <f>Programacion[[#This Row],[OCTUBRE]]+Programacion[[#This Row],[NOVIEMBRE]]+Programacion[[#This Row],[DICIEMBRE]]</f>
        <v>0</v>
      </c>
      <c r="AN98" s="21">
        <f>Programacion[[#This Row],[DEVENGADO OCTUBRE]]+Programacion[[#This Row],[DEVENGADO NOVIEMBRE]]+Programacion[[#This Row],[DEVENGADO DICIEMBRE]]</f>
        <v>0</v>
      </c>
      <c r="AO98" s="21">
        <f>Programacion[[#This Row],[ENERO]]+Programacion[[#This Row],[FEBRERO]]+Programacion[[#This Row],[MARZO]]+Programacion[[#This Row],[ABRIL]]+Programacion[[#This Row],[MAYO]]+Programacion[[#This Row],[JUNIO]]</f>
        <v>3500</v>
      </c>
      <c r="AP9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9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98" s="113"/>
    </row>
    <row r="99" spans="1:46" x14ac:dyDescent="0.25">
      <c r="A99" s="26" t="s">
        <v>81</v>
      </c>
      <c r="B99" s="111" t="s">
        <v>268</v>
      </c>
      <c r="C99" s="100" t="s">
        <v>47</v>
      </c>
      <c r="D99" s="28" t="s">
        <v>48</v>
      </c>
      <c r="E99" s="101">
        <v>78</v>
      </c>
      <c r="F99" s="30">
        <v>2.2999999999999998</v>
      </c>
      <c r="G99" s="28" t="s">
        <v>85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>
        <v>400</v>
      </c>
      <c r="U99" s="33">
        <v>400</v>
      </c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99" s="33">
        <f>Programacion[[#This Row],[ENERO]]+Programacion[[#This Row],[FEBRERO]]+Programacion[[#This Row],[MARZO]]</f>
        <v>0</v>
      </c>
      <c r="AH99" s="33">
        <f>Programacion[[#This Row],[DEVENGADO ENERO]]+Programacion[[#This Row],[DEVENGADO FEBRERO]]+Programacion[[#This Row],[DEVENGADO MARZO]]</f>
        <v>0</v>
      </c>
      <c r="AI99" s="33">
        <f>Programacion[[#This Row],[ABRIL]]+Programacion[[#This Row],[MAYO]]+Programacion[[#This Row],[JUNIO]]</f>
        <v>0</v>
      </c>
      <c r="AJ99" s="33">
        <f>Programacion[[#This Row],[DEVENGADO ABRIL]]+Programacion[[#This Row],[DEVENGADO MAYO]]+Programacion[[#This Row],[DEVENGADO JUNIO]]</f>
        <v>0</v>
      </c>
      <c r="AK99" s="33">
        <f>Programacion[[#This Row],[JULIO]]+Programacion[[#This Row],[AGOSTO]]+Programacion[[#This Row],[SEPTIEMBRE]]</f>
        <v>400</v>
      </c>
      <c r="AL99" s="33">
        <f>Programacion[[#This Row],[DEVENGADO JULIO]]+Programacion[[#This Row],[DEVENGADO AGOSTO]]+Programacion[[#This Row],[DEVENGADO SEPTIEMBRE]]</f>
        <v>400</v>
      </c>
      <c r="AM99" s="33">
        <f>Programacion[[#This Row],[OCTUBRE]]+Programacion[[#This Row],[NOVIEMBRE]]+Programacion[[#This Row],[DICIEMBRE]]</f>
        <v>0</v>
      </c>
      <c r="AN99" s="21">
        <f>Programacion[[#This Row],[DEVENGADO OCTUBRE]]+Programacion[[#This Row],[DEVENGADO NOVIEMBRE]]+Programacion[[#This Row],[DEVENGADO DICIEMBRE]]</f>
        <v>0</v>
      </c>
      <c r="AO99" s="21">
        <f>Programacion[[#This Row],[ENERO]]+Programacion[[#This Row],[FEBRERO]]+Programacion[[#This Row],[MARZO]]+Programacion[[#This Row],[ABRIL]]+Programacion[[#This Row],[MAYO]]+Programacion[[#This Row],[JUNIO]]</f>
        <v>0</v>
      </c>
      <c r="AP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99" s="113"/>
    </row>
    <row r="100" spans="1:46" x14ac:dyDescent="0.25">
      <c r="A100" s="26" t="s">
        <v>81</v>
      </c>
      <c r="B100" s="111" t="s">
        <v>274</v>
      </c>
      <c r="C100" s="100" t="s">
        <v>47</v>
      </c>
      <c r="D100" s="28" t="s">
        <v>48</v>
      </c>
      <c r="E100" s="101">
        <v>78</v>
      </c>
      <c r="F100" s="30">
        <v>2.2999999999999998</v>
      </c>
      <c r="G100" s="28" t="s">
        <v>86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</v>
      </c>
      <c r="U100" s="33">
        <v>14.3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</v>
      </c>
      <c r="AL100" s="33">
        <f>Programacion[[#This Row],[DEVENGADO JULIO]]+Programacion[[#This Row],[DEVENGADO AGOSTO]]+Programacion[[#This Row],[DEVENGADO SEPTIEMBRE]]</f>
        <v>14.3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0" s="113"/>
    </row>
    <row r="101" spans="1:46" ht="30" x14ac:dyDescent="0.25">
      <c r="A101" s="26" t="s">
        <v>81</v>
      </c>
      <c r="B101" s="111" t="s">
        <v>223</v>
      </c>
      <c r="C101" s="100" t="s">
        <v>47</v>
      </c>
      <c r="D101" s="28" t="s">
        <v>48</v>
      </c>
      <c r="E101" s="101">
        <v>78</v>
      </c>
      <c r="F101" s="30">
        <v>2.2999999999999998</v>
      </c>
      <c r="G101" s="28" t="s">
        <v>49</v>
      </c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1">
        <v>3000</v>
      </c>
      <c r="U101" s="33">
        <v>3000</v>
      </c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1" s="33">
        <f>Programacion[[#This Row],[ENERO]]+Programacion[[#This Row],[FEBRERO]]+Programacion[[#This Row],[MARZO]]</f>
        <v>0</v>
      </c>
      <c r="AH101" s="33">
        <f>Programacion[[#This Row],[DEVENGADO ENERO]]+Programacion[[#This Row],[DEVENGADO FEBRERO]]+Programacion[[#This Row],[DEVENGADO MARZO]]</f>
        <v>0</v>
      </c>
      <c r="AI101" s="33">
        <f>Programacion[[#This Row],[ABRIL]]+Programacion[[#This Row],[MAYO]]+Programacion[[#This Row],[JUNIO]]</f>
        <v>0</v>
      </c>
      <c r="AJ101" s="33">
        <f>Programacion[[#This Row],[DEVENGADO ABRIL]]+Programacion[[#This Row],[DEVENGADO MAYO]]+Programacion[[#This Row],[DEVENGADO JUNIO]]</f>
        <v>0</v>
      </c>
      <c r="AK101" s="33">
        <f>Programacion[[#This Row],[JULIO]]+Programacion[[#This Row],[AGOSTO]]+Programacion[[#This Row],[SEPTIEMBRE]]</f>
        <v>3000</v>
      </c>
      <c r="AL101" s="33">
        <f>Programacion[[#This Row],[DEVENGADO JULIO]]+Programacion[[#This Row],[DEVENGADO AGOSTO]]+Programacion[[#This Row],[DEVENGADO SEPTIEMBRE]]</f>
        <v>3000</v>
      </c>
      <c r="AM101" s="33">
        <f>Programacion[[#This Row],[OCTUBRE]]+Programacion[[#This Row],[NOVIEMBRE]]+Programacion[[#This Row],[DICIEMBRE]]</f>
        <v>0</v>
      </c>
      <c r="AN101" s="21">
        <f>Programacion[[#This Row],[DEVENGADO OCTUBRE]]+Programacion[[#This Row],[DEVENGADO NOVIEMBRE]]+Programacion[[#This Row],[DEVENGADO DICIEMBRE]]</f>
        <v>0</v>
      </c>
      <c r="AO101" s="21">
        <f>Programacion[[#This Row],[ENERO]]+Programacion[[#This Row],[FEBRERO]]+Programacion[[#This Row],[MARZO]]+Programacion[[#This Row],[ABRIL]]+Programacion[[#This Row],[MAYO]]+Programacion[[#This Row],[JUNIO]]</f>
        <v>0</v>
      </c>
      <c r="AP10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0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1" s="113"/>
    </row>
    <row r="102" spans="1:46" x14ac:dyDescent="0.25">
      <c r="A102" s="26" t="s">
        <v>81</v>
      </c>
      <c r="B102" s="111" t="s">
        <v>275</v>
      </c>
      <c r="C102" s="100" t="s">
        <v>47</v>
      </c>
      <c r="D102" s="28" t="s">
        <v>48</v>
      </c>
      <c r="E102" s="101">
        <v>78</v>
      </c>
      <c r="F102" s="30">
        <v>2.2999999999999998</v>
      </c>
      <c r="G102" s="28" t="s">
        <v>51</v>
      </c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1">
        <v>2064</v>
      </c>
      <c r="U102" s="33">
        <v>2064</v>
      </c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2" s="33">
        <f>Programacion[[#This Row],[ENERO]]+Programacion[[#This Row],[FEBRERO]]+Programacion[[#This Row],[MARZO]]</f>
        <v>0</v>
      </c>
      <c r="AH102" s="33">
        <f>Programacion[[#This Row],[DEVENGADO ENERO]]+Programacion[[#This Row],[DEVENGADO FEBRERO]]+Programacion[[#This Row],[DEVENGADO MARZO]]</f>
        <v>0</v>
      </c>
      <c r="AI102" s="33">
        <f>Programacion[[#This Row],[ABRIL]]+Programacion[[#This Row],[MAYO]]+Programacion[[#This Row],[JUNIO]]</f>
        <v>0</v>
      </c>
      <c r="AJ102" s="33">
        <f>Programacion[[#This Row],[DEVENGADO ABRIL]]+Programacion[[#This Row],[DEVENGADO MAYO]]+Programacion[[#This Row],[DEVENGADO JUNIO]]</f>
        <v>0</v>
      </c>
      <c r="AK102" s="33">
        <f>Programacion[[#This Row],[JULIO]]+Programacion[[#This Row],[AGOSTO]]+Programacion[[#This Row],[SEPTIEMBRE]]</f>
        <v>2064</v>
      </c>
      <c r="AL102" s="33">
        <f>Programacion[[#This Row],[DEVENGADO JULIO]]+Programacion[[#This Row],[DEVENGADO AGOSTO]]+Programacion[[#This Row],[DEVENGADO SEPTIEMBRE]]</f>
        <v>2064</v>
      </c>
      <c r="AM102" s="33">
        <f>Programacion[[#This Row],[OCTUBRE]]+Programacion[[#This Row],[NOVIEMBRE]]+Programacion[[#This Row],[DICIEMBRE]]</f>
        <v>0</v>
      </c>
      <c r="AN102" s="21">
        <f>Programacion[[#This Row],[DEVENGADO OCTUBRE]]+Programacion[[#This Row],[DEVENGADO NOVIEMBRE]]+Programacion[[#This Row],[DEVENGADO DICIEMBRE]]</f>
        <v>0</v>
      </c>
      <c r="AO102" s="21">
        <f>Programacion[[#This Row],[ENERO]]+Programacion[[#This Row],[FEBRERO]]+Programacion[[#This Row],[MARZO]]+Programacion[[#This Row],[ABRIL]]+Programacion[[#This Row],[MAYO]]+Programacion[[#This Row],[JUNIO]]</f>
        <v>0</v>
      </c>
      <c r="AP10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2" s="113"/>
    </row>
    <row r="103" spans="1:46" ht="30" x14ac:dyDescent="0.25">
      <c r="A103" s="26" t="s">
        <v>81</v>
      </c>
      <c r="B103" s="111" t="s">
        <v>276</v>
      </c>
      <c r="C103" s="100" t="s">
        <v>47</v>
      </c>
      <c r="D103" s="28" t="s">
        <v>48</v>
      </c>
      <c r="E103" s="101">
        <v>78</v>
      </c>
      <c r="F103" s="30">
        <v>2.2999999999999998</v>
      </c>
      <c r="G103" s="28" t="s">
        <v>49</v>
      </c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>
        <v>3000</v>
      </c>
      <c r="W103" s="33">
        <v>1914.8</v>
      </c>
      <c r="X103" s="33"/>
      <c r="Y103" s="33"/>
      <c r="Z103" s="33"/>
      <c r="AA103" s="33"/>
      <c r="AB103" s="33"/>
      <c r="AC103" s="33"/>
      <c r="AD103" s="33"/>
      <c r="AE103" s="33"/>
      <c r="AF10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3" s="33">
        <f>Programacion[[#This Row],[ENERO]]+Programacion[[#This Row],[FEBRERO]]+Programacion[[#This Row],[MARZO]]</f>
        <v>0</v>
      </c>
      <c r="AH103" s="33">
        <f>Programacion[[#This Row],[DEVENGADO ENERO]]+Programacion[[#This Row],[DEVENGADO FEBRERO]]+Programacion[[#This Row],[DEVENGADO MARZO]]</f>
        <v>0</v>
      </c>
      <c r="AI103" s="33">
        <f>Programacion[[#This Row],[ABRIL]]+Programacion[[#This Row],[MAYO]]+Programacion[[#This Row],[JUNIO]]</f>
        <v>0</v>
      </c>
      <c r="AJ103" s="33">
        <f>Programacion[[#This Row],[DEVENGADO ABRIL]]+Programacion[[#This Row],[DEVENGADO MAYO]]+Programacion[[#This Row],[DEVENGADO JUNIO]]</f>
        <v>0</v>
      </c>
      <c r="AK103" s="33">
        <f>Programacion[[#This Row],[JULIO]]+Programacion[[#This Row],[AGOSTO]]+Programacion[[#This Row],[SEPTIEMBRE]]</f>
        <v>3000</v>
      </c>
      <c r="AL103" s="33">
        <f>Programacion[[#This Row],[DEVENGADO JULIO]]+Programacion[[#This Row],[DEVENGADO AGOSTO]]+Programacion[[#This Row],[DEVENGADO SEPTIEMBRE]]</f>
        <v>1914.8</v>
      </c>
      <c r="AM103" s="33">
        <f>Programacion[[#This Row],[OCTUBRE]]+Programacion[[#This Row],[NOVIEMBRE]]+Programacion[[#This Row],[DICIEMBRE]]</f>
        <v>0</v>
      </c>
      <c r="AN103" s="21">
        <f>Programacion[[#This Row],[DEVENGADO OCTUBRE]]+Programacion[[#This Row],[DEVENGADO NOVIEMBRE]]+Programacion[[#This Row],[DEVENGADO DICIEMBRE]]</f>
        <v>0</v>
      </c>
      <c r="AO103" s="21">
        <f>Programacion[[#This Row],[ENERO]]+Programacion[[#This Row],[FEBRERO]]+Programacion[[#This Row],[MARZO]]+Programacion[[#This Row],[ABRIL]]+Programacion[[#This Row],[MAYO]]+Programacion[[#This Row],[JUNIO]]</f>
        <v>0</v>
      </c>
      <c r="AP10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0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3" s="113"/>
    </row>
    <row r="104" spans="1:46" x14ac:dyDescent="0.25">
      <c r="A104" s="26" t="s">
        <v>81</v>
      </c>
      <c r="B104" s="111" t="s">
        <v>277</v>
      </c>
      <c r="C104" s="100" t="s">
        <v>47</v>
      </c>
      <c r="D104" s="28" t="s">
        <v>48</v>
      </c>
      <c r="E104" s="101">
        <v>78</v>
      </c>
      <c r="F104" s="30">
        <v>2.2999999999999998</v>
      </c>
      <c r="G104" s="28" t="s">
        <v>51</v>
      </c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>
        <v>2936</v>
      </c>
      <c r="W104" s="33">
        <v>2080</v>
      </c>
      <c r="X104" s="33"/>
      <c r="Y104" s="33"/>
      <c r="Z104" s="33"/>
      <c r="AA104" s="33"/>
      <c r="AB104" s="33"/>
      <c r="AC104" s="33"/>
      <c r="AD104" s="33"/>
      <c r="AE104" s="33"/>
      <c r="AF10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104" s="33">
        <f>Programacion[[#This Row],[ENERO]]+Programacion[[#This Row],[FEBRERO]]+Programacion[[#This Row],[MARZO]]</f>
        <v>0</v>
      </c>
      <c r="AH104" s="33">
        <f>Programacion[[#This Row],[DEVENGADO ENERO]]+Programacion[[#This Row],[DEVENGADO FEBRERO]]+Programacion[[#This Row],[DEVENGADO MARZO]]</f>
        <v>0</v>
      </c>
      <c r="AI104" s="33">
        <f>Programacion[[#This Row],[ABRIL]]+Programacion[[#This Row],[MAYO]]+Programacion[[#This Row],[JUNIO]]</f>
        <v>0</v>
      </c>
      <c r="AJ104" s="33">
        <f>Programacion[[#This Row],[DEVENGADO ABRIL]]+Programacion[[#This Row],[DEVENGADO MAYO]]+Programacion[[#This Row],[DEVENGADO JUNIO]]</f>
        <v>0</v>
      </c>
      <c r="AK104" s="33">
        <f>Programacion[[#This Row],[JULIO]]+Programacion[[#This Row],[AGOSTO]]+Programacion[[#This Row],[SEPTIEMBRE]]</f>
        <v>2936</v>
      </c>
      <c r="AL104" s="33">
        <f>Programacion[[#This Row],[DEVENGADO JULIO]]+Programacion[[#This Row],[DEVENGADO AGOSTO]]+Programacion[[#This Row],[DEVENGADO SEPTIEMBRE]]</f>
        <v>2080</v>
      </c>
      <c r="AM104" s="33">
        <f>Programacion[[#This Row],[OCTUBRE]]+Programacion[[#This Row],[NOVIEMBRE]]+Programacion[[#This Row],[DICIEMBRE]]</f>
        <v>0</v>
      </c>
      <c r="AN104" s="21">
        <f>Programacion[[#This Row],[DEVENGADO OCTUBRE]]+Programacion[[#This Row],[DEVENGADO NOVIEMBRE]]+Programacion[[#This Row],[DEVENGADO DICIEMBRE]]</f>
        <v>0</v>
      </c>
      <c r="AO104" s="21">
        <f>Programacion[[#This Row],[ENERO]]+Programacion[[#This Row],[FEBRERO]]+Programacion[[#This Row],[MARZO]]+Programacion[[#This Row],[ABRIL]]+Programacion[[#This Row],[MAYO]]+Programacion[[#This Row],[JUNIO]]</f>
        <v>0</v>
      </c>
      <c r="AP10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10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4" s="113"/>
    </row>
    <row r="105" spans="1:46" ht="30" x14ac:dyDescent="0.25">
      <c r="A105" s="26" t="s">
        <v>81</v>
      </c>
      <c r="B105" s="111" t="s">
        <v>224</v>
      </c>
      <c r="C105" s="100" t="s">
        <v>64</v>
      </c>
      <c r="D105" s="28" t="s">
        <v>48</v>
      </c>
      <c r="E105" s="101">
        <v>78</v>
      </c>
      <c r="F105" s="30">
        <v>2.2999999999999998</v>
      </c>
      <c r="G105" s="28" t="s">
        <v>65</v>
      </c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1">
        <v>14000</v>
      </c>
      <c r="U105" s="33">
        <v>14000</v>
      </c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5" s="33">
        <f>Programacion[[#This Row],[ENERO]]+Programacion[[#This Row],[FEBRERO]]+Programacion[[#This Row],[MARZO]]</f>
        <v>0</v>
      </c>
      <c r="AH105" s="33">
        <f>Programacion[[#This Row],[DEVENGADO ENERO]]+Programacion[[#This Row],[DEVENGADO FEBRERO]]+Programacion[[#This Row],[DEVENGADO MARZO]]</f>
        <v>0</v>
      </c>
      <c r="AI105" s="33">
        <f>Programacion[[#This Row],[ABRIL]]+Programacion[[#This Row],[MAYO]]+Programacion[[#This Row],[JUNIO]]</f>
        <v>0</v>
      </c>
      <c r="AJ105" s="33">
        <f>Programacion[[#This Row],[DEVENGADO ABRIL]]+Programacion[[#This Row],[DEVENGADO MAYO]]+Programacion[[#This Row],[DEVENGADO JUNIO]]</f>
        <v>0</v>
      </c>
      <c r="AK105" s="33">
        <f>Programacion[[#This Row],[JULIO]]+Programacion[[#This Row],[AGOSTO]]+Programacion[[#This Row],[SEPTIEMBRE]]</f>
        <v>14000</v>
      </c>
      <c r="AL105" s="33">
        <f>Programacion[[#This Row],[DEVENGADO JULIO]]+Programacion[[#This Row],[DEVENGADO AGOSTO]]+Programacion[[#This Row],[DEVENGADO SEPTIEMBRE]]</f>
        <v>14000</v>
      </c>
      <c r="AM105" s="33">
        <f>Programacion[[#This Row],[OCTUBRE]]+Programacion[[#This Row],[NOVIEMBRE]]+Programacion[[#This Row],[DICIEMBRE]]</f>
        <v>0</v>
      </c>
      <c r="AN105" s="21">
        <f>Programacion[[#This Row],[DEVENGADO OCTUBRE]]+Programacion[[#This Row],[DEVENGADO NOVIEMBRE]]+Programacion[[#This Row],[DEVENGADO DICIEMBRE]]</f>
        <v>0</v>
      </c>
      <c r="AO105" s="21">
        <f>Programacion[[#This Row],[ENERO]]+Programacion[[#This Row],[FEBRERO]]+Programacion[[#This Row],[MARZO]]+Programacion[[#This Row],[ABRIL]]+Programacion[[#This Row],[MAYO]]+Programacion[[#This Row],[JUNIO]]</f>
        <v>0</v>
      </c>
      <c r="AP10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5" s="113"/>
    </row>
    <row r="106" spans="1:46" x14ac:dyDescent="0.25">
      <c r="A106" s="122" t="s">
        <v>81</v>
      </c>
      <c r="B106" s="122" t="s">
        <v>257</v>
      </c>
      <c r="C106" s="122" t="s">
        <v>256</v>
      </c>
      <c r="D106" s="123" t="s">
        <v>48</v>
      </c>
      <c r="E106" s="124">
        <v>78</v>
      </c>
      <c r="F106" s="124">
        <v>26</v>
      </c>
      <c r="G106" s="123" t="s">
        <v>258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>
        <v>8000</v>
      </c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0</v>
      </c>
      <c r="AJ106" s="33">
        <f>Programacion[[#This Row],[DEVENGADO ABRIL]]+Programacion[[#This Row],[DEVENGADO MAYO]]+Programacion[[#This Row],[DEVENGADO JUNIO]]</f>
        <v>0</v>
      </c>
      <c r="AK106" s="33">
        <f>Programacion[[#This Row],[JULIO]]+Programacion[[#This Row],[AGOSTO]]+Programacion[[#This Row],[SEPTIEMBRE]]</f>
        <v>8000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6" s="113"/>
    </row>
    <row r="107" spans="1:46" ht="30" x14ac:dyDescent="0.25">
      <c r="A107" s="26" t="s">
        <v>81</v>
      </c>
      <c r="B107" s="111" t="s">
        <v>99</v>
      </c>
      <c r="C107" s="100" t="s">
        <v>80</v>
      </c>
      <c r="D107" s="28" t="s">
        <v>48</v>
      </c>
      <c r="E107" s="101">
        <v>78</v>
      </c>
      <c r="F107" s="102">
        <v>2.6</v>
      </c>
      <c r="G107" s="28" t="s">
        <v>100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1">
        <v>13865</v>
      </c>
      <c r="U107" s="33">
        <v>13865</v>
      </c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07" s="33">
        <f>Programacion[[#This Row],[ENERO]]+Programacion[[#This Row],[FEBRERO]]+Programacion[[#This Row],[MARZO]]</f>
        <v>0</v>
      </c>
      <c r="AH107" s="33">
        <f>Programacion[[#This Row],[DEVENGADO ENERO]]+Programacion[[#This Row],[DEVENGADO FEBRERO]]+Programacion[[#This Row],[DEVENGADO MARZO]]</f>
        <v>0</v>
      </c>
      <c r="AI107" s="33">
        <f>Programacion[[#This Row],[ABRIL]]+Programacion[[#This Row],[MAYO]]+Programacion[[#This Row],[JUNIO]]</f>
        <v>0</v>
      </c>
      <c r="AJ107" s="33">
        <f>Programacion[[#This Row],[DEVENGADO ABRIL]]+Programacion[[#This Row],[DEVENGADO MAYO]]+Programacion[[#This Row],[DEVENGADO JUNIO]]</f>
        <v>0</v>
      </c>
      <c r="AK107" s="33">
        <f>Programacion[[#This Row],[JULIO]]+Programacion[[#This Row],[AGOSTO]]+Programacion[[#This Row],[SEPTIEMBRE]]</f>
        <v>13865</v>
      </c>
      <c r="AL107" s="33">
        <f>Programacion[[#This Row],[DEVENGADO JULIO]]+Programacion[[#This Row],[DEVENGADO AGOSTO]]+Programacion[[#This Row],[DEVENGADO SEPTIEMBRE]]</f>
        <v>13865</v>
      </c>
      <c r="AM107" s="33">
        <f>Programacion[[#This Row],[OCTUBRE]]+Programacion[[#This Row],[NOVIEMBRE]]+Programacion[[#This Row],[DICIEMBRE]]</f>
        <v>0</v>
      </c>
      <c r="AN107" s="21">
        <f>Programacion[[#This Row],[DEVENGADO OCTUBRE]]+Programacion[[#This Row],[DEVENGADO NOVIEMBRE]]+Programacion[[#This Row],[DEVENGADO DICIEMBRE]]</f>
        <v>0</v>
      </c>
      <c r="AO107" s="21">
        <f>Programacion[[#This Row],[ENERO]]+Programacion[[#This Row],[FEBRERO]]+Programacion[[#This Row],[MARZO]]+Programacion[[#This Row],[ABRIL]]+Programacion[[#This Row],[MAYO]]+Programacion[[#This Row],[JUNIO]]</f>
        <v>0</v>
      </c>
      <c r="AP10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0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07" s="113"/>
    </row>
    <row r="108" spans="1:46" x14ac:dyDescent="0.25">
      <c r="A108" s="122" t="s">
        <v>81</v>
      </c>
      <c r="B108" s="122" t="s">
        <v>296</v>
      </c>
      <c r="C108" s="122" t="s">
        <v>261</v>
      </c>
      <c r="D108" s="123" t="s">
        <v>48</v>
      </c>
      <c r="E108" s="124">
        <v>3</v>
      </c>
      <c r="F108" s="124">
        <v>23</v>
      </c>
      <c r="G108" s="123" t="s">
        <v>57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>
        <v>5000</v>
      </c>
      <c r="Y108" s="33"/>
      <c r="Z108" s="33">
        <v>5000</v>
      </c>
      <c r="AA108" s="33"/>
      <c r="AB108" s="33">
        <v>5000</v>
      </c>
      <c r="AC108" s="33"/>
      <c r="AD108" s="33">
        <v>5000</v>
      </c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5000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15000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3"/>
    </row>
    <row r="109" spans="1:46" x14ac:dyDescent="0.25">
      <c r="A109" s="122" t="s">
        <v>81</v>
      </c>
      <c r="B109" s="122" t="s">
        <v>296</v>
      </c>
      <c r="C109" s="122" t="s">
        <v>261</v>
      </c>
      <c r="D109" s="116" t="s">
        <v>285</v>
      </c>
      <c r="E109" s="124">
        <v>139</v>
      </c>
      <c r="F109" s="124">
        <v>23</v>
      </c>
      <c r="G109" s="123" t="s">
        <v>70</v>
      </c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>
        <v>5000</v>
      </c>
      <c r="Y109" s="33"/>
      <c r="Z109" s="33">
        <v>5000</v>
      </c>
      <c r="AA109" s="33"/>
      <c r="AB109" s="33">
        <v>5000</v>
      </c>
      <c r="AC109" s="33"/>
      <c r="AD109" s="33">
        <v>5000</v>
      </c>
      <c r="AE109" s="33"/>
      <c r="AF10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09" s="33">
        <f>Programacion[[#This Row],[ENERO]]+Programacion[[#This Row],[FEBRERO]]+Programacion[[#This Row],[MARZO]]</f>
        <v>0</v>
      </c>
      <c r="AH109" s="33">
        <f>Programacion[[#This Row],[DEVENGADO ENERO]]+Programacion[[#This Row],[DEVENGADO FEBRERO]]+Programacion[[#This Row],[DEVENGADO MARZO]]</f>
        <v>0</v>
      </c>
      <c r="AI109" s="33">
        <f>Programacion[[#This Row],[ABRIL]]+Programacion[[#This Row],[MAYO]]+Programacion[[#This Row],[JUNIO]]</f>
        <v>0</v>
      </c>
      <c r="AJ109" s="33">
        <f>Programacion[[#This Row],[DEVENGADO ABRIL]]+Programacion[[#This Row],[DEVENGADO MAYO]]+Programacion[[#This Row],[DEVENGADO JUNIO]]</f>
        <v>0</v>
      </c>
      <c r="AK109" s="33">
        <f>Programacion[[#This Row],[JULIO]]+Programacion[[#This Row],[AGOSTO]]+Programacion[[#This Row],[SEPTIEMBRE]]</f>
        <v>5000</v>
      </c>
      <c r="AL109" s="33">
        <f>Programacion[[#This Row],[DEVENGADO JULIO]]+Programacion[[#This Row],[DEVENGADO AGOSTO]]+Programacion[[#This Row],[DEVENGADO SEPTIEMBRE]]</f>
        <v>0</v>
      </c>
      <c r="AM109" s="33">
        <f>Programacion[[#This Row],[OCTUBRE]]+Programacion[[#This Row],[NOVIEMBRE]]+Programacion[[#This Row],[DICIEMBRE]]</f>
        <v>15000</v>
      </c>
      <c r="AN109" s="21">
        <f>Programacion[[#This Row],[DEVENGADO OCTUBRE]]+Programacion[[#This Row],[DEVENGADO NOVIEMBRE]]+Programacion[[#This Row],[DEVENGADO DICIEMBRE]]</f>
        <v>0</v>
      </c>
      <c r="AO109" s="21">
        <f>Programacion[[#This Row],[ENERO]]+Programacion[[#This Row],[FEBRERO]]+Programacion[[#This Row],[MARZO]]+Programacion[[#This Row],[ABRIL]]+Programacion[[#This Row],[MAYO]]+Programacion[[#This Row],[JUNIO]]</f>
        <v>0</v>
      </c>
      <c r="AP10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0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9" s="113"/>
    </row>
    <row r="110" spans="1:46" x14ac:dyDescent="0.25">
      <c r="A110" s="34" t="s">
        <v>109</v>
      </c>
      <c r="B110" s="35" t="s">
        <v>110</v>
      </c>
      <c r="C110" s="36" t="s">
        <v>47</v>
      </c>
      <c r="D110" s="36" t="s">
        <v>48</v>
      </c>
      <c r="E110" s="37">
        <v>39</v>
      </c>
      <c r="F110" s="38">
        <v>2.2999999999999998</v>
      </c>
      <c r="G110" s="36" t="s">
        <v>49</v>
      </c>
      <c r="H110" s="39"/>
      <c r="I110" s="39"/>
      <c r="J110" s="39"/>
      <c r="K110" s="39"/>
      <c r="L110" s="39"/>
      <c r="M110" s="39"/>
      <c r="N110" s="39">
        <v>1220</v>
      </c>
      <c r="O110" s="39">
        <v>1047.3399999999999</v>
      </c>
      <c r="P110" s="39">
        <v>2000</v>
      </c>
      <c r="Q110" s="39">
        <v>1344.22</v>
      </c>
      <c r="R110" s="39">
        <v>2000</v>
      </c>
      <c r="S110" s="39">
        <v>1369.12</v>
      </c>
      <c r="T110" s="39">
        <v>2000</v>
      </c>
      <c r="U110" s="39">
        <v>2000</v>
      </c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0" s="19">
        <f>Programacion[[#This Row],[ENERO]]+Programacion[[#This Row],[FEBRERO]]+Programacion[[#This Row],[MARZO]]</f>
        <v>0</v>
      </c>
      <c r="AH110" s="19">
        <f>Programacion[[#This Row],[DEVENGADO ENERO]]+Programacion[[#This Row],[DEVENGADO FEBRERO]]+Programacion[[#This Row],[DEVENGADO MARZO]]</f>
        <v>0</v>
      </c>
      <c r="AI110" s="19">
        <f>Programacion[[#This Row],[ABRIL]]+Programacion[[#This Row],[MAYO]]+Programacion[[#This Row],[JUNIO]]</f>
        <v>5220</v>
      </c>
      <c r="AJ110" s="19">
        <f>Programacion[[#This Row],[DEVENGADO ABRIL]]+Programacion[[#This Row],[DEVENGADO MAYO]]+Programacion[[#This Row],[DEVENGADO JUNIO]]</f>
        <v>3760.68</v>
      </c>
      <c r="AK110" s="19">
        <f>Programacion[[#This Row],[JULIO]]+Programacion[[#This Row],[AGOSTO]]+Programacion[[#This Row],[SEPTIEMBRE]]</f>
        <v>2000</v>
      </c>
      <c r="AL110" s="19">
        <f>Programacion[[#This Row],[DEVENGADO JULIO]]+Programacion[[#This Row],[DEVENGADO AGOSTO]]+Programacion[[#This Row],[DEVENGADO SEPTIEMBRE]]</f>
        <v>2000</v>
      </c>
      <c r="AM110" s="19">
        <f>Programacion[[#This Row],[OCTUBRE]]+Programacion[[#This Row],[NOVIEMBRE]]+Programacion[[#This Row],[DICIEMBRE]]</f>
        <v>0</v>
      </c>
      <c r="AN110" s="20">
        <f>Programacion[[#This Row],[DEVENGADO OCTUBRE]]+Programacion[[#This Row],[DEVENGADO NOVIEMBRE]]+Programacion[[#This Row],[DEVENGADO DICIEMBRE]]</f>
        <v>0</v>
      </c>
      <c r="AO110" s="20">
        <f>Programacion[[#This Row],[ENERO]]+Programacion[[#This Row],[FEBRERO]]+Programacion[[#This Row],[MARZO]]+Programacion[[#This Row],[ABRIL]]+Programacion[[#This Row],[MAYO]]+Programacion[[#This Row],[JUNIO]]</f>
        <v>5220</v>
      </c>
      <c r="AP11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0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0" s="113"/>
    </row>
    <row r="111" spans="1:46" x14ac:dyDescent="0.25">
      <c r="A111" s="40" t="s">
        <v>109</v>
      </c>
      <c r="B111" s="35" t="s">
        <v>233</v>
      </c>
      <c r="C111" s="36" t="s">
        <v>47</v>
      </c>
      <c r="D111" s="36" t="s">
        <v>48</v>
      </c>
      <c r="E111" s="37">
        <v>39</v>
      </c>
      <c r="F111" s="38">
        <v>2.2999999999999998</v>
      </c>
      <c r="G111" s="36" t="s">
        <v>51</v>
      </c>
      <c r="H111" s="39"/>
      <c r="I111" s="39"/>
      <c r="J111" s="39"/>
      <c r="K111" s="39"/>
      <c r="L111" s="39"/>
      <c r="M111" s="39"/>
      <c r="N111" s="39">
        <v>1340</v>
      </c>
      <c r="O111" s="39">
        <v>513</v>
      </c>
      <c r="P111" s="39">
        <v>1080</v>
      </c>
      <c r="Q111" s="39">
        <v>1982.4</v>
      </c>
      <c r="R111" s="39">
        <v>1080</v>
      </c>
      <c r="S111" s="39">
        <v>1080</v>
      </c>
      <c r="T111" s="39">
        <v>1080</v>
      </c>
      <c r="U111" s="39">
        <v>540</v>
      </c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3500</v>
      </c>
      <c r="AJ111" s="19">
        <f>Programacion[[#This Row],[DEVENGADO ABRIL]]+Programacion[[#This Row],[DEVENGADO MAYO]]+Programacion[[#This Row],[DEVENGADO JUNIO]]</f>
        <v>3575.4</v>
      </c>
      <c r="AK111" s="19">
        <f>Programacion[[#This Row],[JULIO]]+Programacion[[#This Row],[AGOSTO]]+Programacion[[#This Row],[SEPTIEMBRE]]</f>
        <v>1080</v>
      </c>
      <c r="AL111" s="19">
        <f>Programacion[[#This Row],[DEVENGADO JULIO]]+Programacion[[#This Row],[DEVENGADO AGOSTO]]+Programacion[[#This Row],[DEVENGADO SEPTIEMBRE]]</f>
        <v>540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3500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1" s="113"/>
    </row>
    <row r="112" spans="1:46" x14ac:dyDescent="0.25">
      <c r="A112" s="34" t="s">
        <v>109</v>
      </c>
      <c r="B112" s="35" t="s">
        <v>234</v>
      </c>
      <c r="C112" s="36" t="s">
        <v>47</v>
      </c>
      <c r="D112" s="36" t="s">
        <v>48</v>
      </c>
      <c r="E112" s="37">
        <v>39</v>
      </c>
      <c r="F112" s="38">
        <v>2.2999999999999998</v>
      </c>
      <c r="G112" s="36" t="s">
        <v>49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9">
        <v>2000</v>
      </c>
      <c r="S112" s="33">
        <v>2000</v>
      </c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2" s="33">
        <f>Programacion[[#This Row],[ENERO]]+Programacion[[#This Row],[FEBRERO]]+Programacion[[#This Row],[MARZO]]</f>
        <v>0</v>
      </c>
      <c r="AH112" s="33">
        <f>Programacion[[#This Row],[DEVENGADO ENERO]]+Programacion[[#This Row],[DEVENGADO FEBRERO]]+Programacion[[#This Row],[DEVENGADO MARZO]]</f>
        <v>0</v>
      </c>
      <c r="AI112" s="33">
        <f>Programacion[[#This Row],[ABRIL]]+Programacion[[#This Row],[MAYO]]+Programacion[[#This Row],[JUNIO]]</f>
        <v>2000</v>
      </c>
      <c r="AJ112" s="33">
        <f>Programacion[[#This Row],[DEVENGADO ABRIL]]+Programacion[[#This Row],[DEVENGADO MAYO]]+Programacion[[#This Row],[DEVENGADO JUNIO]]</f>
        <v>2000</v>
      </c>
      <c r="AK112" s="33">
        <f>Programacion[[#This Row],[JULIO]]+Programacion[[#This Row],[AGOSTO]]+Programacion[[#This Row],[SEPTIEMBRE]]</f>
        <v>0</v>
      </c>
      <c r="AL112" s="33">
        <f>Programacion[[#This Row],[DEVENGADO JULIO]]+Programacion[[#This Row],[DEVENGADO AGOSTO]]+Programacion[[#This Row],[DEVENGADO SEPTIEMBRE]]</f>
        <v>0</v>
      </c>
      <c r="AM112" s="33">
        <f>Programacion[[#This Row],[OCTUBRE]]+Programacion[[#This Row],[NOVIEMBRE]]+Programacion[[#This Row],[DICIEMBRE]]</f>
        <v>0</v>
      </c>
      <c r="AN112" s="21">
        <f>Programacion[[#This Row],[DEVENGADO OCTUBRE]]+Programacion[[#This Row],[DEVENGADO NOVIEMBRE]]+Programacion[[#This Row],[DEVENGADO DICIEMBRE]]</f>
        <v>0</v>
      </c>
      <c r="AO112" s="21">
        <f>Programacion[[#This Row],[ENERO]]+Programacion[[#This Row],[FEBRERO]]+Programacion[[#This Row],[MARZO]]+Programacion[[#This Row],[ABRIL]]+Programacion[[#This Row],[MAYO]]+Programacion[[#This Row],[JUNIO]]</f>
        <v>2000</v>
      </c>
      <c r="AP11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2" s="113"/>
    </row>
    <row r="113" spans="1:46" x14ac:dyDescent="0.25">
      <c r="A113" s="40" t="s">
        <v>109</v>
      </c>
      <c r="B113" s="35" t="s">
        <v>235</v>
      </c>
      <c r="C113" s="36" t="s">
        <v>47</v>
      </c>
      <c r="D113" s="36" t="s">
        <v>48</v>
      </c>
      <c r="E113" s="37">
        <v>39</v>
      </c>
      <c r="F113" s="38">
        <v>2.2999999999999998</v>
      </c>
      <c r="G113" s="36" t="s">
        <v>51</v>
      </c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9">
        <v>1080</v>
      </c>
      <c r="S113" s="33">
        <v>1080</v>
      </c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3" s="33">
        <f>Programacion[[#This Row],[ENERO]]+Programacion[[#This Row],[FEBRERO]]+Programacion[[#This Row],[MARZO]]</f>
        <v>0</v>
      </c>
      <c r="AH113" s="33">
        <f>Programacion[[#This Row],[DEVENGADO ENERO]]+Programacion[[#This Row],[DEVENGADO FEBRERO]]+Programacion[[#This Row],[DEVENGADO MARZO]]</f>
        <v>0</v>
      </c>
      <c r="AI113" s="33">
        <f>Programacion[[#This Row],[ABRIL]]+Programacion[[#This Row],[MAYO]]+Programacion[[#This Row],[JUNIO]]</f>
        <v>1080</v>
      </c>
      <c r="AJ113" s="33">
        <f>Programacion[[#This Row],[DEVENGADO ABRIL]]+Programacion[[#This Row],[DEVENGADO MAYO]]+Programacion[[#This Row],[DEVENGADO JUNIO]]</f>
        <v>1080</v>
      </c>
      <c r="AK113" s="33">
        <f>Programacion[[#This Row],[JULIO]]+Programacion[[#This Row],[AGOSTO]]+Programacion[[#This Row],[SEPTIEMBRE]]</f>
        <v>0</v>
      </c>
      <c r="AL113" s="33">
        <f>Programacion[[#This Row],[DEVENGADO JULIO]]+Programacion[[#This Row],[DEVENGADO AGOSTO]]+Programacion[[#This Row],[DEVENGADO SEPTIEMBRE]]</f>
        <v>0</v>
      </c>
      <c r="AM113" s="33">
        <f>Programacion[[#This Row],[OCTUBRE]]+Programacion[[#This Row],[NOVIEMBRE]]+Programacion[[#This Row],[DICIEMBRE]]</f>
        <v>0</v>
      </c>
      <c r="AN113" s="21">
        <f>Programacion[[#This Row],[DEVENGADO OCTUBRE]]+Programacion[[#This Row],[DEVENGADO NOVIEMBRE]]+Programacion[[#This Row],[DEVENGADO DICIEMBRE]]</f>
        <v>0</v>
      </c>
      <c r="AO113" s="21">
        <f>Programacion[[#This Row],[ENERO]]+Programacion[[#This Row],[FEBRERO]]+Programacion[[#This Row],[MARZO]]+Programacion[[#This Row],[ABRIL]]+Programacion[[#This Row],[MAYO]]+Programacion[[#This Row],[JUNIO]]</f>
        <v>1080</v>
      </c>
      <c r="AP11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3" s="113"/>
    </row>
    <row r="114" spans="1:46" x14ac:dyDescent="0.25">
      <c r="A114" s="40" t="s">
        <v>109</v>
      </c>
      <c r="B114" s="35" t="s">
        <v>111</v>
      </c>
      <c r="C114" s="36" t="s">
        <v>56</v>
      </c>
      <c r="D114" s="36" t="s">
        <v>48</v>
      </c>
      <c r="E114" s="37">
        <v>31</v>
      </c>
      <c r="F114" s="38">
        <v>2.2999999999999998</v>
      </c>
      <c r="G114" s="36" t="s">
        <v>70</v>
      </c>
      <c r="H114" s="39"/>
      <c r="I114" s="39"/>
      <c r="J114" s="39"/>
      <c r="K114" s="39"/>
      <c r="L114" s="39">
        <v>10000</v>
      </c>
      <c r="M114" s="39">
        <v>10000</v>
      </c>
      <c r="N114" s="39">
        <v>5000</v>
      </c>
      <c r="O114" s="39">
        <v>5000</v>
      </c>
      <c r="P114" s="39">
        <v>5000</v>
      </c>
      <c r="Q114" s="39">
        <v>5000</v>
      </c>
      <c r="R114" s="39">
        <v>5000</v>
      </c>
      <c r="S114" s="39">
        <v>5000</v>
      </c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4" s="19">
        <f>Programacion[[#This Row],[ENERO]]+Programacion[[#This Row],[FEBRERO]]+Programacion[[#This Row],[MARZO]]</f>
        <v>10000</v>
      </c>
      <c r="AH114" s="19">
        <f>Programacion[[#This Row],[DEVENGADO ENERO]]+Programacion[[#This Row],[DEVENGADO FEBRERO]]+Programacion[[#This Row],[DEVENGADO MARZO]]</f>
        <v>10000</v>
      </c>
      <c r="AI114" s="19">
        <f>Programacion[[#This Row],[ABRIL]]+Programacion[[#This Row],[MAYO]]+Programacion[[#This Row],[JUNIO]]</f>
        <v>15000</v>
      </c>
      <c r="AJ114" s="19">
        <f>Programacion[[#This Row],[DEVENGADO ABRIL]]+Programacion[[#This Row],[DEVENGADO MAYO]]+Programacion[[#This Row],[DEVENGADO JUNIO]]</f>
        <v>15000</v>
      </c>
      <c r="AK114" s="19">
        <f>Programacion[[#This Row],[JULIO]]+Programacion[[#This Row],[AGOSTO]]+Programacion[[#This Row],[SEPTIEMBRE]]</f>
        <v>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25000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4" s="113"/>
    </row>
    <row r="115" spans="1:46" x14ac:dyDescent="0.25">
      <c r="A115" s="40" t="s">
        <v>109</v>
      </c>
      <c r="B115" s="35" t="s">
        <v>111</v>
      </c>
      <c r="C115" s="36" t="s">
        <v>56</v>
      </c>
      <c r="D115" s="36" t="s">
        <v>48</v>
      </c>
      <c r="E115" s="37">
        <v>31</v>
      </c>
      <c r="F115" s="38">
        <v>2.2999999999999998</v>
      </c>
      <c r="G115" s="36" t="s">
        <v>70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>
        <v>5000</v>
      </c>
      <c r="U115" s="39">
        <v>5000</v>
      </c>
      <c r="V115" s="39">
        <v>5000</v>
      </c>
      <c r="W115" s="39">
        <v>5000</v>
      </c>
      <c r="X115" s="39">
        <v>5000</v>
      </c>
      <c r="Y115" s="39"/>
      <c r="Z115" s="39">
        <v>5000</v>
      </c>
      <c r="AA115" s="39"/>
      <c r="AB115" s="39">
        <v>5000</v>
      </c>
      <c r="AC115" s="39"/>
      <c r="AD115" s="39">
        <v>5000</v>
      </c>
      <c r="AE115" s="3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5" s="19">
        <f>Programacion[[#This Row],[ENERO]]+Programacion[[#This Row],[FEBRERO]]+Programacion[[#This Row],[MARZO]]</f>
        <v>0</v>
      </c>
      <c r="AH115" s="19">
        <f>Programacion[[#This Row],[DEVENGADO ENERO]]+Programacion[[#This Row],[DEVENGADO FEBRERO]]+Programacion[[#This Row],[DEVENGADO MARZO]]</f>
        <v>0</v>
      </c>
      <c r="AI115" s="19">
        <f>Programacion[[#This Row],[ABRIL]]+Programacion[[#This Row],[MAYO]]+Programacion[[#This Row],[JUNIO]]</f>
        <v>0</v>
      </c>
      <c r="AJ115" s="19">
        <f>Programacion[[#This Row],[DEVENGADO ABRIL]]+Programacion[[#This Row],[DEVENGADO MAYO]]+Programacion[[#This Row],[DEVENGADO JUNIO]]</f>
        <v>0</v>
      </c>
      <c r="AK115" s="19">
        <f>Programacion[[#This Row],[JULIO]]+Programacion[[#This Row],[AGOSTO]]+Programacion[[#This Row],[SEPTIEMBRE]]</f>
        <v>15000</v>
      </c>
      <c r="AL115" s="19">
        <f>Programacion[[#This Row],[DEVENGADO JULIO]]+Programacion[[#This Row],[DEVENGADO AGOSTO]]+Programacion[[#This Row],[DEVENGADO SEPTIEMBRE]]</f>
        <v>10000</v>
      </c>
      <c r="AM115" s="19">
        <f>Programacion[[#This Row],[OCTUBRE]]+Programacion[[#This Row],[NOVIEMBRE]]+Programacion[[#This Row],[DICIEMBRE]]</f>
        <v>15000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15" s="113"/>
    </row>
    <row r="116" spans="1:46" ht="30" x14ac:dyDescent="0.25">
      <c r="A116" s="40" t="s">
        <v>109</v>
      </c>
      <c r="B116" s="35" t="s">
        <v>112</v>
      </c>
      <c r="C116" s="36" t="s">
        <v>56</v>
      </c>
      <c r="D116" s="36" t="s">
        <v>48</v>
      </c>
      <c r="E116" s="37">
        <v>31</v>
      </c>
      <c r="F116" s="38">
        <v>2.2999999999999998</v>
      </c>
      <c r="G116" s="36" t="s">
        <v>70</v>
      </c>
      <c r="H116" s="39"/>
      <c r="I116" s="39"/>
      <c r="J116" s="39"/>
      <c r="K116" s="39"/>
      <c r="L116" s="39">
        <v>10000</v>
      </c>
      <c r="M116" s="39">
        <v>10000</v>
      </c>
      <c r="N116" s="39">
        <v>5000</v>
      </c>
      <c r="O116" s="39">
        <v>5000</v>
      </c>
      <c r="P116" s="39">
        <v>5000</v>
      </c>
      <c r="Q116" s="39">
        <v>5000</v>
      </c>
      <c r="R116" s="39">
        <v>5000</v>
      </c>
      <c r="S116" s="39">
        <v>5000</v>
      </c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16" s="19">
        <f>Programacion[[#This Row],[ENERO]]+Programacion[[#This Row],[FEBRERO]]+Programacion[[#This Row],[MARZO]]</f>
        <v>10000</v>
      </c>
      <c r="AH116" s="19">
        <f>Programacion[[#This Row],[DEVENGADO ENERO]]+Programacion[[#This Row],[DEVENGADO FEBRERO]]+Programacion[[#This Row],[DEVENGADO MARZO]]</f>
        <v>10000</v>
      </c>
      <c r="AI116" s="19">
        <f>Programacion[[#This Row],[ABRIL]]+Programacion[[#This Row],[MAYO]]+Programacion[[#This Row],[JUNIO]]</f>
        <v>15000</v>
      </c>
      <c r="AJ116" s="19">
        <f>Programacion[[#This Row],[DEVENGADO ABRIL]]+Programacion[[#This Row],[DEVENGADO MAYO]]+Programacion[[#This Row],[DEVENGADO JUNIO]]</f>
        <v>15000</v>
      </c>
      <c r="AK116" s="19">
        <f>Programacion[[#This Row],[JULIO]]+Programacion[[#This Row],[AGOSTO]]+Programacion[[#This Row],[SEPTIEMBRE]]</f>
        <v>0</v>
      </c>
      <c r="AL116" s="19">
        <f>Programacion[[#This Row],[DEVENGADO JULIO]]+Programacion[[#This Row],[DEVENGADO AGOSTO]]+Programacion[[#This Row],[DEVENGADO SEPTIEMBRE]]</f>
        <v>0</v>
      </c>
      <c r="AM116" s="19">
        <f>Programacion[[#This Row],[OCTUBRE]]+Programacion[[#This Row],[NOVIEMBRE]]+Programacion[[#This Row],[DICIEMBRE]]</f>
        <v>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25000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16" s="113"/>
    </row>
    <row r="117" spans="1:46" ht="30" x14ac:dyDescent="0.25">
      <c r="A117" s="40" t="s">
        <v>109</v>
      </c>
      <c r="B117" s="35" t="s">
        <v>113</v>
      </c>
      <c r="C117" s="36" t="s">
        <v>56</v>
      </c>
      <c r="D117" s="36" t="s">
        <v>48</v>
      </c>
      <c r="E117" s="37">
        <v>31</v>
      </c>
      <c r="F117" s="38">
        <v>2.2999999999999998</v>
      </c>
      <c r="G117" s="36" t="s">
        <v>70</v>
      </c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>
        <v>5000</v>
      </c>
      <c r="U117" s="33">
        <v>5000</v>
      </c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17" s="33">
        <f>Programacion[[#This Row],[ENERO]]+Programacion[[#This Row],[FEBRERO]]+Programacion[[#This Row],[MARZO]]</f>
        <v>0</v>
      </c>
      <c r="AH117" s="33">
        <f>Programacion[[#This Row],[DEVENGADO ENERO]]+Programacion[[#This Row],[DEVENGADO FEBRERO]]+Programacion[[#This Row],[DEVENGADO MARZO]]</f>
        <v>0</v>
      </c>
      <c r="AI117" s="33">
        <f>Programacion[[#This Row],[ABRIL]]+Programacion[[#This Row],[MAYO]]+Programacion[[#This Row],[JUNIO]]</f>
        <v>0</v>
      </c>
      <c r="AJ117" s="33">
        <f>Programacion[[#This Row],[DEVENGADO ABRIL]]+Programacion[[#This Row],[DEVENGADO MAYO]]+Programacion[[#This Row],[DEVENGADO JUNIO]]</f>
        <v>0</v>
      </c>
      <c r="AK117" s="33">
        <f>Programacion[[#This Row],[JULIO]]+Programacion[[#This Row],[AGOSTO]]+Programacion[[#This Row],[SEPTIEMBRE]]</f>
        <v>5000</v>
      </c>
      <c r="AL117" s="33">
        <f>Programacion[[#This Row],[DEVENGADO JULIO]]+Programacion[[#This Row],[DEVENGADO AGOSTO]]+Programacion[[#This Row],[DEVENGADO SEPTIEMBRE]]</f>
        <v>5000</v>
      </c>
      <c r="AM117" s="33">
        <f>Programacion[[#This Row],[OCTUBRE]]+Programacion[[#This Row],[NOVIEMBRE]]+Programacion[[#This Row],[DICIEMBRE]]</f>
        <v>0</v>
      </c>
      <c r="AN117" s="21">
        <f>Programacion[[#This Row],[DEVENGADO OCTUBRE]]+Programacion[[#This Row],[DEVENGADO NOVIEMBRE]]+Programacion[[#This Row],[DEVENGADO DICIEMBRE]]</f>
        <v>0</v>
      </c>
      <c r="AO117" s="21">
        <f>Programacion[[#This Row],[ENERO]]+Programacion[[#This Row],[FEBRERO]]+Programacion[[#This Row],[MARZO]]+Programacion[[#This Row],[ABRIL]]+Programacion[[#This Row],[MAYO]]+Programacion[[#This Row],[JUNIO]]</f>
        <v>0</v>
      </c>
      <c r="AP1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7" s="113"/>
    </row>
    <row r="118" spans="1:46" ht="30.75" customHeight="1" x14ac:dyDescent="0.25">
      <c r="A118" s="40" t="s">
        <v>109</v>
      </c>
      <c r="B118" s="35" t="s">
        <v>113</v>
      </c>
      <c r="C118" s="36" t="s">
        <v>56</v>
      </c>
      <c r="D118" s="36" t="s">
        <v>48</v>
      </c>
      <c r="E118" s="37">
        <v>31</v>
      </c>
      <c r="F118" s="38">
        <v>2.2999999999999998</v>
      </c>
      <c r="G118" s="36" t="s">
        <v>70</v>
      </c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>
        <v>5000</v>
      </c>
      <c r="W118" s="39">
        <v>5000</v>
      </c>
      <c r="X118" s="39">
        <v>5000</v>
      </c>
      <c r="Y118" s="39"/>
      <c r="Z118" s="39"/>
      <c r="AA118" s="39"/>
      <c r="AB118" s="39"/>
      <c r="AC118" s="39"/>
      <c r="AD118" s="39"/>
      <c r="AE118" s="39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0</v>
      </c>
      <c r="AJ118" s="19">
        <f>Programacion[[#This Row],[DEVENGADO ABRIL]]+Programacion[[#This Row],[DEVENGADO MAYO]]+Programacion[[#This Row],[DEVENGADO JUNIO]]</f>
        <v>0</v>
      </c>
      <c r="AK118" s="19">
        <f>Programacion[[#This Row],[JULIO]]+Programacion[[#This Row],[AGOSTO]]+Programacion[[#This Row],[SEPTIEMBRE]]</f>
        <v>10000</v>
      </c>
      <c r="AL118" s="19">
        <f>Programacion[[#This Row],[DEVENGADO JULIO]]+Programacion[[#This Row],[DEVENGADO AGOSTO]]+Programacion[[#This Row],[DEVENGADO SEPTIEMBRE]]</f>
        <v>5000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8" s="113"/>
    </row>
    <row r="119" spans="1:46" ht="30" x14ac:dyDescent="0.25">
      <c r="A119" s="40" t="s">
        <v>109</v>
      </c>
      <c r="B119" s="35" t="s">
        <v>114</v>
      </c>
      <c r="C119" s="36" t="s">
        <v>73</v>
      </c>
      <c r="D119" s="36" t="s">
        <v>48</v>
      </c>
      <c r="E119" s="37">
        <v>39</v>
      </c>
      <c r="F119" s="38">
        <v>2.2999999999999998</v>
      </c>
      <c r="G119" s="36" t="s">
        <v>74</v>
      </c>
      <c r="H119" s="39"/>
      <c r="I119" s="39"/>
      <c r="J119" s="39"/>
      <c r="K119" s="39"/>
      <c r="L119" s="39"/>
      <c r="M119" s="39"/>
      <c r="N119" s="39">
        <v>2500</v>
      </c>
      <c r="O119" s="39"/>
      <c r="P119" s="39"/>
      <c r="Q119" s="39">
        <v>2500</v>
      </c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2500</v>
      </c>
      <c r="AJ119" s="19">
        <f>Programacion[[#This Row],[DEVENGADO ABRIL]]+Programacion[[#This Row],[DEVENGADO MAYO]]+Programacion[[#This Row],[DEVENGADO JUNIO]]</f>
        <v>2500</v>
      </c>
      <c r="AK119" s="19">
        <f>Programacion[[#This Row],[JULIO]]+Programacion[[#This Row],[AGOSTO]]+Programacion[[#This Row],[SEPTIEMBRE]]</f>
        <v>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2500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19" s="113"/>
    </row>
    <row r="120" spans="1:46" ht="30" x14ac:dyDescent="0.25">
      <c r="A120" s="40" t="s">
        <v>109</v>
      </c>
      <c r="B120" s="35" t="s">
        <v>115</v>
      </c>
      <c r="C120" s="36" t="s">
        <v>73</v>
      </c>
      <c r="D120" s="36" t="s">
        <v>48</v>
      </c>
      <c r="E120" s="37">
        <v>39</v>
      </c>
      <c r="F120" s="38">
        <v>2.2999999999999998</v>
      </c>
      <c r="G120" s="36" t="s">
        <v>74</v>
      </c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>
        <v>4500</v>
      </c>
      <c r="S120" s="39">
        <v>4500</v>
      </c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4500</v>
      </c>
      <c r="AJ120" s="19">
        <f>Programacion[[#This Row],[DEVENGADO ABRIL]]+Programacion[[#This Row],[DEVENGADO MAYO]]+Programacion[[#This Row],[DEVENGADO JUNIO]]</f>
        <v>4500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4500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0" s="113"/>
    </row>
    <row r="121" spans="1:46" ht="30" x14ac:dyDescent="0.25">
      <c r="A121" s="40" t="s">
        <v>109</v>
      </c>
      <c r="B121" s="35" t="s">
        <v>116</v>
      </c>
      <c r="C121" s="36" t="s">
        <v>73</v>
      </c>
      <c r="D121" s="36" t="s">
        <v>48</v>
      </c>
      <c r="E121" s="37">
        <v>39</v>
      </c>
      <c r="F121" s="38">
        <v>2.2999999999999998</v>
      </c>
      <c r="G121" s="36" t="s">
        <v>74</v>
      </c>
      <c r="H121" s="39"/>
      <c r="I121" s="39"/>
      <c r="J121" s="39"/>
      <c r="K121" s="39"/>
      <c r="L121" s="39"/>
      <c r="M121" s="39"/>
      <c r="N121" s="39"/>
      <c r="O121" s="39"/>
      <c r="P121" s="39">
        <v>3000</v>
      </c>
      <c r="Q121" s="39">
        <v>3000</v>
      </c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3000</v>
      </c>
      <c r="AJ121" s="19">
        <f>Programacion[[#This Row],[DEVENGADO ABRIL]]+Programacion[[#This Row],[DEVENGADO MAYO]]+Programacion[[#This Row],[DEVENGADO JUNIO]]</f>
        <v>3000</v>
      </c>
      <c r="AK121" s="19">
        <f>Programacion[[#This Row],[JULIO]]+Programacion[[#This Row],[AGOSTO]]+Programacion[[#This Row],[SEPTIEMBRE]]</f>
        <v>0</v>
      </c>
      <c r="AL121" s="19">
        <f>Programacion[[#This Row],[DEVENGADO JULIO]]+Programacion[[#This Row],[DEVENGADO AGOSTO]]+Programacion[[#This Row],[DEVENGADO SEPTIEMBRE]]</f>
        <v>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3000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1" s="113"/>
    </row>
    <row r="122" spans="1:46" x14ac:dyDescent="0.25">
      <c r="A122" s="40" t="s">
        <v>109</v>
      </c>
      <c r="B122" s="35" t="s">
        <v>117</v>
      </c>
      <c r="C122" s="36" t="s">
        <v>56</v>
      </c>
      <c r="D122" s="36" t="s">
        <v>48</v>
      </c>
      <c r="E122" s="37">
        <v>39</v>
      </c>
      <c r="F122" s="38">
        <v>2.2999999999999998</v>
      </c>
      <c r="G122" s="36" t="s">
        <v>70</v>
      </c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>
        <v>4000</v>
      </c>
      <c r="S122" s="39">
        <v>4000</v>
      </c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2" s="19">
        <f>Programacion[[#This Row],[ENERO]]+Programacion[[#This Row],[FEBRERO]]+Programacion[[#This Row],[MARZO]]</f>
        <v>0</v>
      </c>
      <c r="AH122" s="19">
        <f>Programacion[[#This Row],[DEVENGADO ENERO]]+Programacion[[#This Row],[DEVENGADO FEBRERO]]+Programacion[[#This Row],[DEVENGADO MARZO]]</f>
        <v>0</v>
      </c>
      <c r="AI122" s="19">
        <f>Programacion[[#This Row],[ABRIL]]+Programacion[[#This Row],[MAYO]]+Programacion[[#This Row],[JUNIO]]</f>
        <v>4000</v>
      </c>
      <c r="AJ122" s="19">
        <f>Programacion[[#This Row],[DEVENGADO ABRIL]]+Programacion[[#This Row],[DEVENGADO MAYO]]+Programacion[[#This Row],[DEVENGADO JUNIO]]</f>
        <v>4000</v>
      </c>
      <c r="AK122" s="19">
        <f>Programacion[[#This Row],[JULIO]]+Programacion[[#This Row],[AGOSTO]]+Programacion[[#This Row],[SEPTIEMBRE]]</f>
        <v>0</v>
      </c>
      <c r="AL122" s="19">
        <f>Programacion[[#This Row],[DEVENGADO JULIO]]+Programacion[[#This Row],[DEVENGADO AGOSTO]]+Programacion[[#This Row],[DEVENGADO SEPTIEMBRE]]</f>
        <v>0</v>
      </c>
      <c r="AM122" s="19">
        <f>Programacion[[#This Row],[OCTUBRE]]+Programacion[[#This Row],[NOVIEMBRE]]+Programacion[[#This Row],[DICIEMBRE]]</f>
        <v>0</v>
      </c>
      <c r="AN122" s="20">
        <f>Programacion[[#This Row],[DEVENGADO OCTUBRE]]+Programacion[[#This Row],[DEVENGADO NOVIEMBRE]]+Programacion[[#This Row],[DEVENGADO DICIEMBRE]]</f>
        <v>0</v>
      </c>
      <c r="AO122" s="20">
        <f>Programacion[[#This Row],[ENERO]]+Programacion[[#This Row],[FEBRERO]]+Programacion[[#This Row],[MARZO]]+Programacion[[#This Row],[ABRIL]]+Programacion[[#This Row],[MAYO]]+Programacion[[#This Row],[JUNIO]]</f>
        <v>4000</v>
      </c>
      <c r="AP12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2" s="113"/>
    </row>
    <row r="123" spans="1:46" ht="30" x14ac:dyDescent="0.25">
      <c r="A123" s="40" t="s">
        <v>109</v>
      </c>
      <c r="B123" s="35" t="s">
        <v>114</v>
      </c>
      <c r="C123" s="36" t="s">
        <v>73</v>
      </c>
      <c r="D123" s="36" t="s">
        <v>48</v>
      </c>
      <c r="E123" s="37">
        <v>39</v>
      </c>
      <c r="F123" s="38">
        <v>2.2999999999999998</v>
      </c>
      <c r="G123" s="36" t="s">
        <v>74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>
        <v>3800</v>
      </c>
      <c r="S123" s="33">
        <v>3800</v>
      </c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3800</v>
      </c>
      <c r="AJ123" s="33">
        <f>Programacion[[#This Row],[DEVENGADO ABRIL]]+Programacion[[#This Row],[DEVENGADO MAYO]]+Programacion[[#This Row],[DEVENGADO JUNIO]]</f>
        <v>3800</v>
      </c>
      <c r="AK123" s="33">
        <f>Programacion[[#This Row],[JULIO]]+Programacion[[#This Row],[AGOSTO]]+Programacion[[#This Row],[SEPTIEMBRE]]</f>
        <v>0</v>
      </c>
      <c r="AL123" s="33">
        <f>Programacion[[#This Row],[DEVENGADO JULIO]]+Programacion[[#This Row],[DEVENGADO AGOSTO]]+Programacion[[#This Row],[DEVENGADO SEPTIEMBRE]]</f>
        <v>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3800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3" s="113"/>
    </row>
    <row r="124" spans="1:46" ht="30" x14ac:dyDescent="0.25">
      <c r="A124" s="40" t="s">
        <v>109</v>
      </c>
      <c r="B124" s="35" t="s">
        <v>119</v>
      </c>
      <c r="C124" s="36" t="s">
        <v>106</v>
      </c>
      <c r="D124" s="36" t="s">
        <v>48</v>
      </c>
      <c r="E124" s="41">
        <v>39</v>
      </c>
      <c r="F124" s="42">
        <v>2.2999999999999998</v>
      </c>
      <c r="G124" s="43" t="s">
        <v>107</v>
      </c>
      <c r="H124" s="39"/>
      <c r="I124" s="39"/>
      <c r="J124" s="39"/>
      <c r="K124" s="39"/>
      <c r="L124" s="39"/>
      <c r="M124" s="39"/>
      <c r="N124" s="39"/>
      <c r="O124" s="39"/>
      <c r="P124" s="39">
        <v>1280.67</v>
      </c>
      <c r="Q124" s="39">
        <v>1280.67</v>
      </c>
      <c r="R124" s="39">
        <v>1130</v>
      </c>
      <c r="S124" s="39">
        <v>1130</v>
      </c>
      <c r="T124" s="39">
        <v>1130</v>
      </c>
      <c r="U124" s="39">
        <v>1130</v>
      </c>
      <c r="V124" s="39">
        <v>1130</v>
      </c>
      <c r="W124" s="39">
        <v>1130</v>
      </c>
      <c r="X124" s="39">
        <v>1130</v>
      </c>
      <c r="Y124" s="39"/>
      <c r="Z124" s="39">
        <v>1130</v>
      </c>
      <c r="AA124" s="39"/>
      <c r="AB124" s="39">
        <v>1130</v>
      </c>
      <c r="AC124" s="39"/>
      <c r="AD124" s="39">
        <v>1130</v>
      </c>
      <c r="AE124" s="39"/>
      <c r="AF1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24" s="19">
        <f>Programacion[[#This Row],[ENERO]]+Programacion[[#This Row],[FEBRERO]]+Programacion[[#This Row],[MARZO]]</f>
        <v>0</v>
      </c>
      <c r="AH124" s="19">
        <f>Programacion[[#This Row],[DEVENGADO ENERO]]+Programacion[[#This Row],[DEVENGADO FEBRERO]]+Programacion[[#This Row],[DEVENGADO MARZO]]</f>
        <v>0</v>
      </c>
      <c r="AI124" s="19">
        <f>Programacion[[#This Row],[ABRIL]]+Programacion[[#This Row],[MAYO]]+Programacion[[#This Row],[JUNIO]]</f>
        <v>2410.67</v>
      </c>
      <c r="AJ124" s="19">
        <f>Programacion[[#This Row],[DEVENGADO ABRIL]]+Programacion[[#This Row],[DEVENGADO MAYO]]+Programacion[[#This Row],[DEVENGADO JUNIO]]</f>
        <v>2410.67</v>
      </c>
      <c r="AK124" s="19">
        <f>Programacion[[#This Row],[JULIO]]+Programacion[[#This Row],[AGOSTO]]+Programacion[[#This Row],[SEPTIEMBRE]]</f>
        <v>3390</v>
      </c>
      <c r="AL124" s="19">
        <f>Programacion[[#This Row],[DEVENGADO JULIO]]+Programacion[[#This Row],[DEVENGADO AGOSTO]]+Programacion[[#This Row],[DEVENGADO SEPTIEMBRE]]</f>
        <v>2260</v>
      </c>
      <c r="AM124" s="19">
        <f>Programacion[[#This Row],[OCTUBRE]]+Programacion[[#This Row],[NOVIEMBRE]]+Programacion[[#This Row],[DICIEMBRE]]</f>
        <v>3390</v>
      </c>
      <c r="AN124" s="20">
        <f>Programacion[[#This Row],[DEVENGADO OCTUBRE]]+Programacion[[#This Row],[DEVENGADO NOVIEMBRE]]+Programacion[[#This Row],[DEVENGADO DICIEMBRE]]</f>
        <v>0</v>
      </c>
      <c r="AO124" s="20">
        <f>Programacion[[#This Row],[ENERO]]+Programacion[[#This Row],[FEBRERO]]+Programacion[[#This Row],[MARZO]]+Programacion[[#This Row],[ABRIL]]+Programacion[[#This Row],[MAYO]]+Programacion[[#This Row],[JUNIO]]</f>
        <v>2410.67</v>
      </c>
      <c r="AP1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24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24" s="113"/>
    </row>
    <row r="125" spans="1:46" x14ac:dyDescent="0.25">
      <c r="A125" s="125" t="s">
        <v>109</v>
      </c>
      <c r="B125" s="125" t="s">
        <v>227</v>
      </c>
      <c r="C125" s="125" t="s">
        <v>259</v>
      </c>
      <c r="D125" s="126" t="s">
        <v>48</v>
      </c>
      <c r="E125" s="127">
        <v>39</v>
      </c>
      <c r="F125" s="127">
        <v>23</v>
      </c>
      <c r="G125" s="126" t="s">
        <v>187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>
        <v>3240</v>
      </c>
      <c r="W125" s="33"/>
      <c r="X125" s="33">
        <v>3240</v>
      </c>
      <c r="Y125" s="33"/>
      <c r="Z125" s="33"/>
      <c r="AA125" s="33"/>
      <c r="AB125" s="33"/>
      <c r="AC125" s="33"/>
      <c r="AD125" s="33"/>
      <c r="AE125" s="33"/>
      <c r="AF12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6480</v>
      </c>
      <c r="AG125" s="33">
        <f>Programacion[[#This Row],[ENERO]]+Programacion[[#This Row],[FEBRERO]]+Programacion[[#This Row],[MARZO]]</f>
        <v>0</v>
      </c>
      <c r="AH125" s="33">
        <f>Programacion[[#This Row],[DEVENGADO ENERO]]+Programacion[[#This Row],[DEVENGADO FEBRERO]]+Programacion[[#This Row],[DEVENGADO MARZO]]</f>
        <v>0</v>
      </c>
      <c r="AI125" s="33">
        <f>Programacion[[#This Row],[ABRIL]]+Programacion[[#This Row],[MAYO]]+Programacion[[#This Row],[JUNIO]]</f>
        <v>0</v>
      </c>
      <c r="AJ125" s="33">
        <f>Programacion[[#This Row],[DEVENGADO ABRIL]]+Programacion[[#This Row],[DEVENGADO MAYO]]+Programacion[[#This Row],[DEVENGADO JUNIO]]</f>
        <v>0</v>
      </c>
      <c r="AK125" s="33">
        <f>Programacion[[#This Row],[JULIO]]+Programacion[[#This Row],[AGOSTO]]+Programacion[[#This Row],[SEPTIEMBRE]]</f>
        <v>6480</v>
      </c>
      <c r="AL125" s="33">
        <f>Programacion[[#This Row],[DEVENGADO JULIO]]+Programacion[[#This Row],[DEVENGADO AGOSTO]]+Programacion[[#This Row],[DEVENGADO SEPTIEMBRE]]</f>
        <v>0</v>
      </c>
      <c r="AM125" s="33">
        <f>Programacion[[#This Row],[OCTUBRE]]+Programacion[[#This Row],[NOVIEMBRE]]+Programacion[[#This Row],[DICIEMBRE]]</f>
        <v>0</v>
      </c>
      <c r="AN125" s="21">
        <f>Programacion[[#This Row],[DEVENGADO OCTUBRE]]+Programacion[[#This Row],[DEVENGADO NOVIEMBRE]]+Programacion[[#This Row],[DEVENGADO DICIEMBRE]]</f>
        <v>0</v>
      </c>
      <c r="AO125" s="21">
        <f>Programacion[[#This Row],[ENERO]]+Programacion[[#This Row],[FEBRERO]]+Programacion[[#This Row],[MARZO]]+Programacion[[#This Row],[ABRIL]]+Programacion[[#This Row],[MAYO]]+Programacion[[#This Row],[JUNIO]]</f>
        <v>0</v>
      </c>
      <c r="AP1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1">
        <f>Programacion[[#This Row],[JULIO]]+Programacion[[#This Row],[AGOSTO]]+Programacion[[#This Row],[SEPTIEMBRE]]+Programacion[[#This Row],[OCTUBRE]]+Programacion[[#This Row],[NOVIEMBRE]]+Programacion[[#This Row],[DICIEMBRE]]</f>
        <v>6480</v>
      </c>
      <c r="AR1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3"/>
    </row>
    <row r="126" spans="1:46" x14ac:dyDescent="0.25">
      <c r="A126" s="44" t="s">
        <v>121</v>
      </c>
      <c r="B126" s="45" t="s">
        <v>122</v>
      </c>
      <c r="C126" s="46" t="s">
        <v>56</v>
      </c>
      <c r="D126" s="46" t="s">
        <v>48</v>
      </c>
      <c r="E126" s="47">
        <v>39</v>
      </c>
      <c r="F126" s="48">
        <v>2.2999999999999998</v>
      </c>
      <c r="G126" s="46" t="s">
        <v>70</v>
      </c>
      <c r="H126" s="49"/>
      <c r="I126" s="49"/>
      <c r="J126" s="49"/>
      <c r="K126" s="49"/>
      <c r="L126" s="49">
        <v>7920</v>
      </c>
      <c r="M126" s="49">
        <v>7920</v>
      </c>
      <c r="N126" s="49">
        <v>3960</v>
      </c>
      <c r="O126" s="49">
        <v>3960</v>
      </c>
      <c r="P126" s="49">
        <v>3960</v>
      </c>
      <c r="Q126" s="49">
        <v>3960</v>
      </c>
      <c r="R126" s="49">
        <v>3960</v>
      </c>
      <c r="S126" s="49">
        <v>3960</v>
      </c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26" s="19">
        <f>Programacion[[#This Row],[ENERO]]+Programacion[[#This Row],[FEBRERO]]+Programacion[[#This Row],[MARZO]]</f>
        <v>7920</v>
      </c>
      <c r="AH126" s="19">
        <f>Programacion[[#This Row],[DEVENGADO ENERO]]+Programacion[[#This Row],[DEVENGADO FEBRERO]]+Programacion[[#This Row],[DEVENGADO MARZO]]</f>
        <v>7920</v>
      </c>
      <c r="AI126" s="19">
        <f>Programacion[[#This Row],[ABRIL]]+Programacion[[#This Row],[MAYO]]+Programacion[[#This Row],[JUNIO]]</f>
        <v>11880</v>
      </c>
      <c r="AJ126" s="19">
        <f>Programacion[[#This Row],[DEVENGADO ABRIL]]+Programacion[[#This Row],[DEVENGADO MAYO]]+Programacion[[#This Row],[DEVENGADO JUNIO]]</f>
        <v>11880</v>
      </c>
      <c r="AK126" s="19">
        <f>Programacion[[#This Row],[JULIO]]+Programacion[[#This Row],[AGOSTO]]+Programacion[[#This Row],[SEPTIEMBRE]]</f>
        <v>0</v>
      </c>
      <c r="AL126" s="19">
        <f>Programacion[[#This Row],[DEVENGADO JULIO]]+Programacion[[#This Row],[DEVENGADO AGOSTO]]+Programacion[[#This Row],[DEVENGADO SEPTIEMBRE]]</f>
        <v>0</v>
      </c>
      <c r="AM126" s="19">
        <f>Programacion[[#This Row],[OCTUBRE]]+Programacion[[#This Row],[NOVIEMBRE]]+Programacion[[#This Row],[DICIEMBRE]]</f>
        <v>0</v>
      </c>
      <c r="AN126" s="20">
        <f>Programacion[[#This Row],[DEVENGADO OCTUBRE]]+Programacion[[#This Row],[DEVENGADO NOVIEMBRE]]+Programacion[[#This Row],[DEVENGADO DICIEMBRE]]</f>
        <v>0</v>
      </c>
      <c r="AO126" s="20">
        <f>Programacion[[#This Row],[ENERO]]+Programacion[[#This Row],[FEBRERO]]+Programacion[[#This Row],[MARZO]]+Programacion[[#This Row],[ABRIL]]+Programacion[[#This Row],[MAYO]]+Programacion[[#This Row],[JUNIO]]</f>
        <v>19800</v>
      </c>
      <c r="AP1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2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26" s="113"/>
    </row>
    <row r="127" spans="1:46" x14ac:dyDescent="0.25">
      <c r="A127" s="44" t="s">
        <v>121</v>
      </c>
      <c r="B127" s="45" t="s">
        <v>122</v>
      </c>
      <c r="C127" s="46" t="s">
        <v>56</v>
      </c>
      <c r="D127" s="46" t="s">
        <v>48</v>
      </c>
      <c r="E127" s="47">
        <v>39</v>
      </c>
      <c r="F127" s="48">
        <v>2.2999999999999998</v>
      </c>
      <c r="G127" s="46" t="s">
        <v>70</v>
      </c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>
        <v>3600</v>
      </c>
      <c r="U127" s="33">
        <v>3600</v>
      </c>
      <c r="V127" s="33">
        <v>4080</v>
      </c>
      <c r="W127" s="33">
        <v>4080</v>
      </c>
      <c r="X127" s="33">
        <v>4080</v>
      </c>
      <c r="Y127" s="33"/>
      <c r="Z127" s="33">
        <v>4080</v>
      </c>
      <c r="AA127" s="33"/>
      <c r="AB127" s="33">
        <v>4080</v>
      </c>
      <c r="AC127" s="33"/>
      <c r="AD127" s="33">
        <v>4080</v>
      </c>
      <c r="AE127" s="33"/>
      <c r="AF1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27" s="33">
        <f>Programacion[[#This Row],[ENERO]]+Programacion[[#This Row],[FEBRERO]]+Programacion[[#This Row],[MARZO]]</f>
        <v>0</v>
      </c>
      <c r="AH127" s="33">
        <f>Programacion[[#This Row],[DEVENGADO ENERO]]+Programacion[[#This Row],[DEVENGADO FEBRERO]]+Programacion[[#This Row],[DEVENGADO MARZO]]</f>
        <v>0</v>
      </c>
      <c r="AI127" s="33">
        <f>Programacion[[#This Row],[ABRIL]]+Programacion[[#This Row],[MAYO]]+Programacion[[#This Row],[JUNIO]]</f>
        <v>0</v>
      </c>
      <c r="AJ127" s="33">
        <f>Programacion[[#This Row],[DEVENGADO ABRIL]]+Programacion[[#This Row],[DEVENGADO MAYO]]+Programacion[[#This Row],[DEVENGADO JUNIO]]</f>
        <v>0</v>
      </c>
      <c r="AK127" s="33">
        <f>Programacion[[#This Row],[JULIO]]+Programacion[[#This Row],[AGOSTO]]+Programacion[[#This Row],[SEPTIEMBRE]]</f>
        <v>11760</v>
      </c>
      <c r="AL127" s="33">
        <f>Programacion[[#This Row],[DEVENGADO JULIO]]+Programacion[[#This Row],[DEVENGADO AGOSTO]]+Programacion[[#This Row],[DEVENGADO SEPTIEMBRE]]</f>
        <v>7680</v>
      </c>
      <c r="AM127" s="33">
        <f>Programacion[[#This Row],[OCTUBRE]]+Programacion[[#This Row],[NOVIEMBRE]]+Programacion[[#This Row],[DICIEMBRE]]</f>
        <v>12240</v>
      </c>
      <c r="AN127" s="21">
        <f>Programacion[[#This Row],[DEVENGADO OCTUBRE]]+Programacion[[#This Row],[DEVENGADO NOVIEMBRE]]+Programacion[[#This Row],[DEVENGADO DICIEMBRE]]</f>
        <v>0</v>
      </c>
      <c r="AO127" s="21">
        <f>Programacion[[#This Row],[ENERO]]+Programacion[[#This Row],[FEBRERO]]+Programacion[[#This Row],[MARZO]]+Programacion[[#This Row],[ABRIL]]+Programacion[[#This Row],[MAYO]]+Programacion[[#This Row],[JUNIO]]</f>
        <v>0</v>
      </c>
      <c r="AP1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27" s="113"/>
    </row>
    <row r="128" spans="1:46" ht="30" x14ac:dyDescent="0.25">
      <c r="A128" s="44" t="s">
        <v>121</v>
      </c>
      <c r="B128" s="45" t="s">
        <v>123</v>
      </c>
      <c r="C128" s="46" t="s">
        <v>56</v>
      </c>
      <c r="D128" s="46" t="s">
        <v>48</v>
      </c>
      <c r="E128" s="47">
        <v>39</v>
      </c>
      <c r="F128" s="48">
        <v>2.2999999999999998</v>
      </c>
      <c r="G128" s="46" t="s">
        <v>70</v>
      </c>
      <c r="H128" s="49"/>
      <c r="I128" s="49"/>
      <c r="J128" s="49"/>
      <c r="K128" s="49"/>
      <c r="L128" s="49"/>
      <c r="M128" s="49"/>
      <c r="N128" s="49">
        <v>8500</v>
      </c>
      <c r="O128" s="49">
        <v>8500</v>
      </c>
      <c r="P128" s="49">
        <v>8500</v>
      </c>
      <c r="Q128" s="49">
        <v>8500</v>
      </c>
      <c r="R128" s="49">
        <v>8500</v>
      </c>
      <c r="S128" s="49">
        <v>8500</v>
      </c>
      <c r="T128" s="49">
        <v>8500</v>
      </c>
      <c r="U128" s="49">
        <v>8500</v>
      </c>
      <c r="V128" s="49">
        <v>8500</v>
      </c>
      <c r="W128" s="49">
        <v>8500</v>
      </c>
      <c r="X128" s="49"/>
      <c r="Y128" s="49"/>
      <c r="Z128" s="49"/>
      <c r="AA128" s="49"/>
      <c r="AB128" s="49"/>
      <c r="AC128" s="49"/>
      <c r="AD128" s="49"/>
      <c r="AE128" s="49"/>
      <c r="AF1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28" s="19">
        <f>Programacion[[#This Row],[ENERO]]+Programacion[[#This Row],[FEBRERO]]+Programacion[[#This Row],[MARZO]]</f>
        <v>0</v>
      </c>
      <c r="AH128" s="19">
        <f>Programacion[[#This Row],[DEVENGADO ENERO]]+Programacion[[#This Row],[DEVENGADO FEBRERO]]+Programacion[[#This Row],[DEVENGADO MARZO]]</f>
        <v>0</v>
      </c>
      <c r="AI128" s="19">
        <f>Programacion[[#This Row],[ABRIL]]+Programacion[[#This Row],[MAYO]]+Programacion[[#This Row],[JUNIO]]</f>
        <v>25500</v>
      </c>
      <c r="AJ128" s="19">
        <f>Programacion[[#This Row],[DEVENGADO ABRIL]]+Programacion[[#This Row],[DEVENGADO MAYO]]+Programacion[[#This Row],[DEVENGADO JUNIO]]</f>
        <v>25500</v>
      </c>
      <c r="AK128" s="19">
        <f>Programacion[[#This Row],[JULIO]]+Programacion[[#This Row],[AGOSTO]]+Programacion[[#This Row],[SEPTIEMBRE]]</f>
        <v>17000</v>
      </c>
      <c r="AL128" s="19">
        <f>Programacion[[#This Row],[DEVENGADO JULIO]]+Programacion[[#This Row],[DEVENGADO AGOSTO]]+Programacion[[#This Row],[DEVENGADO SEPTIEMBRE]]</f>
        <v>17000</v>
      </c>
      <c r="AM128" s="19">
        <f>Programacion[[#This Row],[OCTUBRE]]+Programacion[[#This Row],[NOVIEMBRE]]+Programacion[[#This Row],[DICIEMBRE]]</f>
        <v>0</v>
      </c>
      <c r="AN128" s="20">
        <f>Programacion[[#This Row],[DEVENGADO OCTUBRE]]+Programacion[[#This Row],[DEVENGADO NOVIEMBRE]]+Programacion[[#This Row],[DEVENGADO DICIEMBRE]]</f>
        <v>0</v>
      </c>
      <c r="AO128" s="20">
        <f>Programacion[[#This Row],[ENERO]]+Programacion[[#This Row],[FEBRERO]]+Programacion[[#This Row],[MARZO]]+Programacion[[#This Row],[ABRIL]]+Programacion[[#This Row],[MAYO]]+Programacion[[#This Row],[JUNIO]]</f>
        <v>25500</v>
      </c>
      <c r="AP1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28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28" s="113"/>
    </row>
    <row r="129" spans="1:46" x14ac:dyDescent="0.25">
      <c r="A129" s="44" t="s">
        <v>121</v>
      </c>
      <c r="B129" s="45" t="s">
        <v>122</v>
      </c>
      <c r="C129" s="46" t="s">
        <v>56</v>
      </c>
      <c r="D129" s="46" t="s">
        <v>48</v>
      </c>
      <c r="E129" s="47">
        <v>39</v>
      </c>
      <c r="F129" s="48">
        <v>2.2999999999999998</v>
      </c>
      <c r="G129" s="46" t="s">
        <v>70</v>
      </c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>
        <v>8500</v>
      </c>
      <c r="AA129" s="49"/>
      <c r="AB129" s="49">
        <v>8500</v>
      </c>
      <c r="AC129" s="49"/>
      <c r="AD129" s="49">
        <v>8500</v>
      </c>
      <c r="AE129" s="50"/>
      <c r="AF1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29" s="19">
        <f>Programacion[[#This Row],[ENERO]]+Programacion[[#This Row],[FEBRERO]]+Programacion[[#This Row],[MARZO]]</f>
        <v>0</v>
      </c>
      <c r="AH129" s="19">
        <f>Programacion[[#This Row],[DEVENGADO ENERO]]+Programacion[[#This Row],[DEVENGADO FEBRERO]]+Programacion[[#This Row],[DEVENGADO MARZO]]</f>
        <v>0</v>
      </c>
      <c r="AI129" s="19">
        <f>Programacion[[#This Row],[ABRIL]]+Programacion[[#This Row],[MAYO]]+Programacion[[#This Row],[JUNIO]]</f>
        <v>0</v>
      </c>
      <c r="AJ129" s="19">
        <f>Programacion[[#This Row],[DEVENGADO ABRIL]]+Programacion[[#This Row],[DEVENGADO MAYO]]+Programacion[[#This Row],[DEVENGADO JUNIO]]</f>
        <v>0</v>
      </c>
      <c r="AK129" s="19">
        <f>Programacion[[#This Row],[JULIO]]+Programacion[[#This Row],[AGOSTO]]+Programacion[[#This Row],[SEPTIEMBRE]]</f>
        <v>0</v>
      </c>
      <c r="AL129" s="19">
        <f>Programacion[[#This Row],[DEVENGADO JULIO]]+Programacion[[#This Row],[DEVENGADO AGOSTO]]+Programacion[[#This Row],[DEVENGADO SEPTIEMBRE]]</f>
        <v>0</v>
      </c>
      <c r="AM129" s="19">
        <f>Programacion[[#This Row],[OCTUBRE]]+Programacion[[#This Row],[NOVIEMBRE]]+Programacion[[#This Row],[DICIEMBRE]]</f>
        <v>25500</v>
      </c>
      <c r="AN129" s="20">
        <f>Programacion[[#This Row],[DEVENGADO OCTUBRE]]+Programacion[[#This Row],[DEVENGADO NOVIEMBRE]]+Programacion[[#This Row],[DEVENGADO DICIEMBRE]]</f>
        <v>0</v>
      </c>
      <c r="AO129" s="20">
        <f>Programacion[[#This Row],[ENERO]]+Programacion[[#This Row],[FEBRERO]]+Programacion[[#This Row],[MARZO]]+Programacion[[#This Row],[ABRIL]]+Programacion[[#This Row],[MAYO]]+Programacion[[#This Row],[JUNIO]]</f>
        <v>0</v>
      </c>
      <c r="AP1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0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3"/>
    </row>
    <row r="130" spans="1:46" x14ac:dyDescent="0.25">
      <c r="A130" s="44" t="s">
        <v>121</v>
      </c>
      <c r="B130" s="45" t="s">
        <v>111</v>
      </c>
      <c r="C130" s="46" t="s">
        <v>56</v>
      </c>
      <c r="D130" s="46" t="s">
        <v>48</v>
      </c>
      <c r="E130" s="47">
        <v>3</v>
      </c>
      <c r="F130" s="48">
        <v>2.2999999999999998</v>
      </c>
      <c r="G130" s="46" t="s">
        <v>70</v>
      </c>
      <c r="H130" s="49"/>
      <c r="I130" s="49"/>
      <c r="J130" s="49"/>
      <c r="K130" s="49"/>
      <c r="L130" s="49">
        <v>11760</v>
      </c>
      <c r="M130" s="49">
        <v>11760</v>
      </c>
      <c r="N130" s="49">
        <v>5880</v>
      </c>
      <c r="O130" s="49">
        <v>5880</v>
      </c>
      <c r="P130" s="49">
        <v>5880</v>
      </c>
      <c r="Q130" s="49">
        <v>5880</v>
      </c>
      <c r="R130" s="49">
        <v>5880</v>
      </c>
      <c r="S130" s="49">
        <v>5880</v>
      </c>
      <c r="T130" s="49">
        <v>6300</v>
      </c>
      <c r="U130" s="49">
        <v>6300</v>
      </c>
      <c r="V130" s="49">
        <v>6300</v>
      </c>
      <c r="W130" s="49">
        <v>6300</v>
      </c>
      <c r="X130" s="49"/>
      <c r="Y130" s="49"/>
      <c r="Z130" s="49"/>
      <c r="AA130" s="49"/>
      <c r="AB130" s="49"/>
      <c r="AC130" s="49"/>
      <c r="AD130" s="49"/>
      <c r="AE130" s="49"/>
      <c r="AF1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0" s="19">
        <f>Programacion[[#This Row],[ENERO]]+Programacion[[#This Row],[FEBRERO]]+Programacion[[#This Row],[MARZO]]</f>
        <v>11760</v>
      </c>
      <c r="AH130" s="19">
        <f>Programacion[[#This Row],[DEVENGADO ENERO]]+Programacion[[#This Row],[DEVENGADO FEBRERO]]+Programacion[[#This Row],[DEVENGADO MARZO]]</f>
        <v>11760</v>
      </c>
      <c r="AI130" s="19">
        <f>Programacion[[#This Row],[ABRIL]]+Programacion[[#This Row],[MAYO]]+Programacion[[#This Row],[JUNIO]]</f>
        <v>17640</v>
      </c>
      <c r="AJ130" s="19">
        <f>Programacion[[#This Row],[DEVENGADO ABRIL]]+Programacion[[#This Row],[DEVENGADO MAYO]]+Programacion[[#This Row],[DEVENGADO JUNIO]]</f>
        <v>17640</v>
      </c>
      <c r="AK130" s="19">
        <f>Programacion[[#This Row],[JULIO]]+Programacion[[#This Row],[AGOSTO]]+Programacion[[#This Row],[SEPTIEMBRE]]</f>
        <v>12600</v>
      </c>
      <c r="AL130" s="19">
        <f>Programacion[[#This Row],[DEVENGADO JULIO]]+Programacion[[#This Row],[DEVENGADO AGOSTO]]+Programacion[[#This Row],[DEVENGADO SEPTIEMBRE]]</f>
        <v>12600</v>
      </c>
      <c r="AM130" s="19">
        <f>Programacion[[#This Row],[OCTUBRE]]+Programacion[[#This Row],[NOVIEMBRE]]+Programacion[[#This Row],[DICIEMBRE]]</f>
        <v>0</v>
      </c>
      <c r="AN130" s="20">
        <f>Programacion[[#This Row],[DEVENGADO OCTUBRE]]+Programacion[[#This Row],[DEVENGADO NOVIEMBRE]]+Programacion[[#This Row],[DEVENGADO DICIEMBRE]]</f>
        <v>0</v>
      </c>
      <c r="AO130" s="20">
        <f>Programacion[[#This Row],[ENERO]]+Programacion[[#This Row],[FEBRERO]]+Programacion[[#This Row],[MARZO]]+Programacion[[#This Row],[ABRIL]]+Programacion[[#This Row],[MAYO]]+Programacion[[#This Row],[JUNIO]]</f>
        <v>29400</v>
      </c>
      <c r="AP1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0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0" s="113"/>
    </row>
    <row r="131" spans="1:46" x14ac:dyDescent="0.25">
      <c r="A131" s="44" t="s">
        <v>121</v>
      </c>
      <c r="B131" s="45" t="s">
        <v>111</v>
      </c>
      <c r="C131" s="46" t="s">
        <v>56</v>
      </c>
      <c r="D131" s="46" t="s">
        <v>48</v>
      </c>
      <c r="E131" s="47">
        <v>3</v>
      </c>
      <c r="F131" s="48">
        <v>2.2999999999999998</v>
      </c>
      <c r="G131" s="46" t="s">
        <v>70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>
        <v>6000</v>
      </c>
      <c r="AC131" s="49"/>
      <c r="AD131" s="49">
        <v>6000</v>
      </c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18000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3"/>
    </row>
    <row r="132" spans="1:46" ht="30" x14ac:dyDescent="0.25">
      <c r="A132" s="51" t="s">
        <v>121</v>
      </c>
      <c r="B132" s="45" t="s">
        <v>124</v>
      </c>
      <c r="C132" s="46" t="s">
        <v>56</v>
      </c>
      <c r="D132" s="46" t="s">
        <v>48</v>
      </c>
      <c r="E132" s="47">
        <v>3</v>
      </c>
      <c r="F132" s="48">
        <v>2.2999999999999998</v>
      </c>
      <c r="G132" s="46" t="s">
        <v>70</v>
      </c>
      <c r="H132" s="49"/>
      <c r="I132" s="49"/>
      <c r="J132" s="49"/>
      <c r="K132" s="49"/>
      <c r="L132" s="49">
        <v>8000</v>
      </c>
      <c r="M132" s="49">
        <v>8000</v>
      </c>
      <c r="N132" s="49">
        <v>4000</v>
      </c>
      <c r="O132" s="49">
        <v>4000</v>
      </c>
      <c r="P132" s="49">
        <v>4000</v>
      </c>
      <c r="Q132" s="49">
        <v>4000</v>
      </c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2" s="19">
        <f>Programacion[[#This Row],[ENERO]]+Programacion[[#This Row],[FEBRERO]]+Programacion[[#This Row],[MARZO]]</f>
        <v>8000</v>
      </c>
      <c r="AH132" s="19">
        <f>Programacion[[#This Row],[DEVENGADO ENERO]]+Programacion[[#This Row],[DEVENGADO FEBRERO]]+Programacion[[#This Row],[DEVENGADO MARZO]]</f>
        <v>8000</v>
      </c>
      <c r="AI132" s="19">
        <f>Programacion[[#This Row],[ABRIL]]+Programacion[[#This Row],[MAYO]]+Programacion[[#This Row],[JUNIO]]</f>
        <v>8000</v>
      </c>
      <c r="AJ132" s="19">
        <f>Programacion[[#This Row],[DEVENGADO ABRIL]]+Programacion[[#This Row],[DEVENGADO MAYO]]+Programacion[[#This Row],[DEVENGADO JUNIO]]</f>
        <v>8000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16000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2" s="113"/>
    </row>
    <row r="133" spans="1:46" ht="30" x14ac:dyDescent="0.25">
      <c r="A133" s="51" t="s">
        <v>121</v>
      </c>
      <c r="B133" s="45" t="s">
        <v>124</v>
      </c>
      <c r="C133" s="46" t="s">
        <v>56</v>
      </c>
      <c r="D133" s="46" t="s">
        <v>48</v>
      </c>
      <c r="E133" s="47">
        <v>3</v>
      </c>
      <c r="F133" s="48">
        <v>2.2999999999999998</v>
      </c>
      <c r="G133" s="46" t="s">
        <v>70</v>
      </c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>
        <v>4000</v>
      </c>
      <c r="S133" s="49">
        <v>4000</v>
      </c>
      <c r="T133" s="49">
        <v>4000</v>
      </c>
      <c r="U133" s="49">
        <v>4000</v>
      </c>
      <c r="V133" s="49">
        <v>4000</v>
      </c>
      <c r="W133" s="49">
        <v>4000</v>
      </c>
      <c r="X133" s="49">
        <v>4000</v>
      </c>
      <c r="Y133" s="49"/>
      <c r="Z133" s="49">
        <v>4000</v>
      </c>
      <c r="AA133" s="49"/>
      <c r="AB133" s="49"/>
      <c r="AC133" s="49"/>
      <c r="AD133" s="49"/>
      <c r="AE133" s="49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3" s="19">
        <f>Programacion[[#This Row],[ENERO]]+Programacion[[#This Row],[FEBRERO]]+Programacion[[#This Row],[MARZO]]</f>
        <v>0</v>
      </c>
      <c r="AH133" s="19">
        <f>Programacion[[#This Row],[DEVENGADO ENERO]]+Programacion[[#This Row],[DEVENGADO FEBRERO]]+Programacion[[#This Row],[DEVENGADO MARZO]]</f>
        <v>0</v>
      </c>
      <c r="AI133" s="19">
        <f>Programacion[[#This Row],[ABRIL]]+Programacion[[#This Row],[MAYO]]+Programacion[[#This Row],[JUNIO]]</f>
        <v>4000</v>
      </c>
      <c r="AJ133" s="19">
        <f>Programacion[[#This Row],[DEVENGADO ABRIL]]+Programacion[[#This Row],[DEVENGADO MAYO]]+Programacion[[#This Row],[DEVENGADO JUNIO]]</f>
        <v>4000</v>
      </c>
      <c r="AK133" s="19">
        <f>Programacion[[#This Row],[JULIO]]+Programacion[[#This Row],[AGOSTO]]+Programacion[[#This Row],[SEPTIEMBRE]]</f>
        <v>12000</v>
      </c>
      <c r="AL133" s="19">
        <f>Programacion[[#This Row],[DEVENGADO JULIO]]+Programacion[[#This Row],[DEVENGADO AGOSTO]]+Programacion[[#This Row],[DEVENGADO SEPTIEMBRE]]</f>
        <v>8000</v>
      </c>
      <c r="AM133" s="19">
        <f>Programacion[[#This Row],[OCTUBRE]]+Programacion[[#This Row],[NOVIEMBRE]]+Programacion[[#This Row],[DICIEMBRE]]</f>
        <v>4000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4000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33" s="113"/>
    </row>
    <row r="134" spans="1:46" x14ac:dyDescent="0.25">
      <c r="A134" s="52" t="s">
        <v>121</v>
      </c>
      <c r="B134" s="45" t="s">
        <v>125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126</v>
      </c>
      <c r="H134" s="49"/>
      <c r="I134" s="49"/>
      <c r="J134" s="49"/>
      <c r="K134" s="49"/>
      <c r="L134" s="49"/>
      <c r="M134" s="49"/>
      <c r="N134" s="49"/>
      <c r="O134" s="49"/>
      <c r="P134" s="49">
        <v>7500</v>
      </c>
      <c r="Q134" s="49">
        <v>7500</v>
      </c>
      <c r="R134" s="49">
        <v>7500</v>
      </c>
      <c r="S134" s="49">
        <v>7500</v>
      </c>
      <c r="T134" s="49">
        <v>7500</v>
      </c>
      <c r="U134" s="49">
        <v>7500</v>
      </c>
      <c r="V134" s="49">
        <v>7500</v>
      </c>
      <c r="W134" s="49">
        <v>7500</v>
      </c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15000</v>
      </c>
      <c r="AJ134" s="19">
        <f>Programacion[[#This Row],[DEVENGADO ABRIL]]+Programacion[[#This Row],[DEVENGADO MAYO]]+Programacion[[#This Row],[DEVENGADO JUNIO]]</f>
        <v>15000</v>
      </c>
      <c r="AK134" s="19">
        <f>Programacion[[#This Row],[JULIO]]+Programacion[[#This Row],[AGOSTO]]+Programacion[[#This Row],[SEPTIEMBRE]]</f>
        <v>15000</v>
      </c>
      <c r="AL134" s="19">
        <f>Programacion[[#This Row],[DEVENGADO JULIO]]+Programacion[[#This Row],[DEVENGADO AGOSTO]]+Programacion[[#This Row],[DEVENGADO SEPTIEMBRE]]</f>
        <v>15000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15000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3"/>
    </row>
    <row r="135" spans="1:46" x14ac:dyDescent="0.25">
      <c r="A135" s="52" t="s">
        <v>121</v>
      </c>
      <c r="B135" s="45" t="s">
        <v>127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126</v>
      </c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>
        <v>7500</v>
      </c>
      <c r="Y135" s="49"/>
      <c r="Z135" s="49">
        <v>7500</v>
      </c>
      <c r="AA135" s="49"/>
      <c r="AB135" s="49">
        <v>7500</v>
      </c>
      <c r="AC135" s="49"/>
      <c r="AD135" s="49">
        <v>7500</v>
      </c>
      <c r="AE135" s="50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0</v>
      </c>
      <c r="AJ135" s="19">
        <f>Programacion[[#This Row],[DEVENGADO ABRIL]]+Programacion[[#This Row],[DEVENGADO MAYO]]+Programacion[[#This Row],[DEVENGADO JUNIO]]</f>
        <v>0</v>
      </c>
      <c r="AK135" s="19">
        <f>Programacion[[#This Row],[JULIO]]+Programacion[[#This Row],[AGOSTO]]+Programacion[[#This Row],[SEPTIEMBRE]]</f>
        <v>7500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22500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113"/>
    </row>
    <row r="136" spans="1:46" x14ac:dyDescent="0.25">
      <c r="A136" s="52" t="s">
        <v>121</v>
      </c>
      <c r="B136" s="45" t="s">
        <v>128</v>
      </c>
      <c r="C136" s="46" t="s">
        <v>56</v>
      </c>
      <c r="D136" s="46" t="s">
        <v>48</v>
      </c>
      <c r="E136" s="47">
        <v>3</v>
      </c>
      <c r="F136" s="48">
        <v>2.2999999999999998</v>
      </c>
      <c r="G136" s="46" t="s">
        <v>126</v>
      </c>
      <c r="H136" s="49"/>
      <c r="I136" s="49"/>
      <c r="J136" s="49"/>
      <c r="K136" s="49"/>
      <c r="L136" s="49"/>
      <c r="M136" s="49"/>
      <c r="N136" s="49">
        <v>7500</v>
      </c>
      <c r="O136" s="49">
        <v>7500</v>
      </c>
      <c r="P136" s="49">
        <v>7500</v>
      </c>
      <c r="Q136" s="49">
        <v>7500</v>
      </c>
      <c r="R136" s="49">
        <v>7500</v>
      </c>
      <c r="S136" s="49">
        <v>7500</v>
      </c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50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36" s="19">
        <f>Programacion[[#This Row],[ENERO]]+Programacion[[#This Row],[FEBRERO]]+Programacion[[#This Row],[MARZO]]</f>
        <v>0</v>
      </c>
      <c r="AH136" s="19">
        <f>Programacion[[#This Row],[DEVENGADO ENERO]]+Programacion[[#This Row],[DEVENGADO FEBRERO]]+Programacion[[#This Row],[DEVENGADO MARZO]]</f>
        <v>0</v>
      </c>
      <c r="AI136" s="19">
        <f>Programacion[[#This Row],[ABRIL]]+Programacion[[#This Row],[MAYO]]+Programacion[[#This Row],[JUNIO]]</f>
        <v>22500</v>
      </c>
      <c r="AJ136" s="19">
        <f>Programacion[[#This Row],[DEVENGADO ABRIL]]+Programacion[[#This Row],[DEVENGADO MAYO]]+Programacion[[#This Row],[DEVENGADO JUNIO]]</f>
        <v>22500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22500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36" s="113"/>
    </row>
    <row r="137" spans="1:46" x14ac:dyDescent="0.25">
      <c r="A137" s="52" t="s">
        <v>121</v>
      </c>
      <c r="B137" s="45" t="s">
        <v>129</v>
      </c>
      <c r="C137" s="46" t="s">
        <v>56</v>
      </c>
      <c r="D137" s="46" t="s">
        <v>48</v>
      </c>
      <c r="E137" s="47">
        <v>3</v>
      </c>
      <c r="F137" s="48">
        <v>2.2999999999999998</v>
      </c>
      <c r="G137" s="46" t="s">
        <v>126</v>
      </c>
      <c r="H137" s="49"/>
      <c r="I137" s="49"/>
      <c r="J137" s="49"/>
      <c r="K137" s="49"/>
      <c r="L137" s="49"/>
      <c r="M137" s="49"/>
      <c r="N137" s="49"/>
      <c r="O137" s="49"/>
      <c r="P137" s="49">
        <v>7500</v>
      </c>
      <c r="Q137" s="49">
        <v>7500</v>
      </c>
      <c r="R137" s="49">
        <v>7500</v>
      </c>
      <c r="S137" s="49">
        <v>7500</v>
      </c>
      <c r="T137" s="49">
        <v>7500</v>
      </c>
      <c r="U137" s="49">
        <v>7500</v>
      </c>
      <c r="V137" s="49"/>
      <c r="W137" s="49"/>
      <c r="X137" s="49"/>
      <c r="Y137" s="49"/>
      <c r="Z137" s="49"/>
      <c r="AA137" s="49"/>
      <c r="AB137" s="49"/>
      <c r="AC137" s="49"/>
      <c r="AD137" s="49"/>
      <c r="AE137" s="50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15000</v>
      </c>
      <c r="AJ137" s="19">
        <f>Programacion[[#This Row],[DEVENGADO ABRIL]]+Programacion[[#This Row],[DEVENGADO MAYO]]+Programacion[[#This Row],[DEVENGADO JUNIO]]</f>
        <v>15000</v>
      </c>
      <c r="AK137" s="19">
        <f>Programacion[[#This Row],[JULIO]]+Programacion[[#This Row],[AGOSTO]]+Programacion[[#This Row],[SEPTIEMBRE]]</f>
        <v>7500</v>
      </c>
      <c r="AL137" s="19">
        <f>Programacion[[#This Row],[DEVENGADO JULIO]]+Programacion[[#This Row],[DEVENGADO AGOSTO]]+Programacion[[#This Row],[DEVENGADO SEPTIEMBRE]]</f>
        <v>7500</v>
      </c>
      <c r="AM137" s="19">
        <f>Programacion[[#This Row],[OCTUBRE]]+Programacion[[#This Row],[NOVIEMBRE]]+Programacion[[#This Row],[DICIEMBRE]]</f>
        <v>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15000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37" s="113"/>
    </row>
    <row r="138" spans="1:46" ht="45" x14ac:dyDescent="0.25">
      <c r="A138" s="128" t="s">
        <v>121</v>
      </c>
      <c r="B138" s="128" t="s">
        <v>297</v>
      </c>
      <c r="C138" s="128" t="s">
        <v>252</v>
      </c>
      <c r="D138" s="128" t="s">
        <v>48</v>
      </c>
      <c r="E138" s="128">
        <v>3</v>
      </c>
      <c r="F138" s="128">
        <v>23</v>
      </c>
      <c r="G138" s="128" t="s">
        <v>70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>
        <v>6000</v>
      </c>
      <c r="Y138" s="33"/>
      <c r="Z138" s="33">
        <v>6000</v>
      </c>
      <c r="AA138" s="33"/>
      <c r="AB138" s="33">
        <v>6000</v>
      </c>
      <c r="AC138" s="33"/>
      <c r="AD138" s="33">
        <v>6000</v>
      </c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6000</v>
      </c>
      <c r="AL138" s="33">
        <f>Programacion[[#This Row],[DEVENGADO JULIO]]+Programacion[[#This Row],[DEVENGADO AGOSTO]]+Programacion[[#This Row],[DEVENGADO SEPTIEMBRE]]</f>
        <v>0</v>
      </c>
      <c r="AM138" s="33">
        <f>Programacion[[#This Row],[OCTUBRE]]+Programacion[[#This Row],[NOVIEMBRE]]+Programacion[[#This Row],[DICIEMBRE]]</f>
        <v>18000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8" s="113"/>
    </row>
    <row r="139" spans="1:46" ht="30" x14ac:dyDescent="0.25">
      <c r="A139" s="52" t="s">
        <v>121</v>
      </c>
      <c r="B139" s="45" t="s">
        <v>278</v>
      </c>
      <c r="C139" s="46" t="s">
        <v>47</v>
      </c>
      <c r="D139" s="46" t="s">
        <v>48</v>
      </c>
      <c r="E139" s="47">
        <v>39</v>
      </c>
      <c r="F139" s="48">
        <v>2.2999999999999998</v>
      </c>
      <c r="G139" s="46" t="s">
        <v>49</v>
      </c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>
        <v>800</v>
      </c>
      <c r="W139" s="33">
        <v>800</v>
      </c>
      <c r="X139" s="33"/>
      <c r="Y139" s="33"/>
      <c r="Z139" s="33"/>
      <c r="AA139" s="33"/>
      <c r="AB139" s="33"/>
      <c r="AC139" s="33"/>
      <c r="AD139" s="33"/>
      <c r="AE139" s="33"/>
      <c r="AF13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39" s="33">
        <f>Programacion[[#This Row],[ENERO]]+Programacion[[#This Row],[FEBRERO]]+Programacion[[#This Row],[MARZO]]</f>
        <v>0</v>
      </c>
      <c r="AH139" s="33">
        <f>Programacion[[#This Row],[DEVENGADO ENERO]]+Programacion[[#This Row],[DEVENGADO FEBRERO]]+Programacion[[#This Row],[DEVENGADO MARZO]]</f>
        <v>0</v>
      </c>
      <c r="AI139" s="33">
        <f>Programacion[[#This Row],[ABRIL]]+Programacion[[#This Row],[MAYO]]+Programacion[[#This Row],[JUNIO]]</f>
        <v>0</v>
      </c>
      <c r="AJ139" s="33">
        <f>Programacion[[#This Row],[DEVENGADO ABRIL]]+Programacion[[#This Row],[DEVENGADO MAYO]]+Programacion[[#This Row],[DEVENGADO JUNIO]]</f>
        <v>0</v>
      </c>
      <c r="AK139" s="33">
        <f>Programacion[[#This Row],[JULIO]]+Programacion[[#This Row],[AGOSTO]]+Programacion[[#This Row],[SEPTIEMBRE]]</f>
        <v>800</v>
      </c>
      <c r="AL139" s="33">
        <f>Programacion[[#This Row],[DEVENGADO JULIO]]+Programacion[[#This Row],[DEVENGADO AGOSTO]]+Programacion[[#This Row],[DEVENGADO SEPTIEMBRE]]</f>
        <v>800</v>
      </c>
      <c r="AM139" s="33">
        <f>Programacion[[#This Row],[OCTUBRE]]+Programacion[[#This Row],[NOVIEMBRE]]+Programacion[[#This Row],[DICIEMBRE]]</f>
        <v>0</v>
      </c>
      <c r="AN139" s="21">
        <f>Programacion[[#This Row],[DEVENGADO OCTUBRE]]+Programacion[[#This Row],[DEVENGADO NOVIEMBRE]]+Programacion[[#This Row],[DEVENGADO DICIEMBRE]]</f>
        <v>0</v>
      </c>
      <c r="AO139" s="21">
        <f>Programacion[[#This Row],[ENERO]]+Programacion[[#This Row],[FEBRERO]]+Programacion[[#This Row],[MARZO]]+Programacion[[#This Row],[ABRIL]]+Programacion[[#This Row],[MAYO]]+Programacion[[#This Row],[JUNIO]]</f>
        <v>0</v>
      </c>
      <c r="AP13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9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3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39" s="113"/>
    </row>
    <row r="140" spans="1:46" x14ac:dyDescent="0.25">
      <c r="A140" s="52" t="s">
        <v>121</v>
      </c>
      <c r="B140" s="45" t="s">
        <v>279</v>
      </c>
      <c r="C140" s="46" t="s">
        <v>47</v>
      </c>
      <c r="D140" s="46" t="s">
        <v>48</v>
      </c>
      <c r="E140" s="47">
        <v>39</v>
      </c>
      <c r="F140" s="48">
        <v>2.2999999999999998</v>
      </c>
      <c r="G140" s="46" t="s">
        <v>51</v>
      </c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>
        <v>540</v>
      </c>
      <c r="W140" s="33">
        <v>540</v>
      </c>
      <c r="X140" s="33"/>
      <c r="Y140" s="33"/>
      <c r="Z140" s="33"/>
      <c r="AA140" s="33"/>
      <c r="AB140" s="33"/>
      <c r="AC140" s="33"/>
      <c r="AD140" s="33"/>
      <c r="AE140" s="33"/>
      <c r="AF14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0" s="33">
        <f>Programacion[[#This Row],[ENERO]]+Programacion[[#This Row],[FEBRERO]]+Programacion[[#This Row],[MARZO]]</f>
        <v>0</v>
      </c>
      <c r="AH140" s="33">
        <f>Programacion[[#This Row],[DEVENGADO ENERO]]+Programacion[[#This Row],[DEVENGADO FEBRERO]]+Programacion[[#This Row],[DEVENGADO MARZO]]</f>
        <v>0</v>
      </c>
      <c r="AI140" s="33">
        <f>Programacion[[#This Row],[ABRIL]]+Programacion[[#This Row],[MAYO]]+Programacion[[#This Row],[JUNIO]]</f>
        <v>0</v>
      </c>
      <c r="AJ140" s="33">
        <f>Programacion[[#This Row],[DEVENGADO ABRIL]]+Programacion[[#This Row],[DEVENGADO MAYO]]+Programacion[[#This Row],[DEVENGADO JUNIO]]</f>
        <v>0</v>
      </c>
      <c r="AK140" s="33">
        <f>Programacion[[#This Row],[JULIO]]+Programacion[[#This Row],[AGOSTO]]+Programacion[[#This Row],[SEPTIEMBRE]]</f>
        <v>540</v>
      </c>
      <c r="AL140" s="33">
        <f>Programacion[[#This Row],[DEVENGADO JULIO]]+Programacion[[#This Row],[DEVENGADO AGOSTO]]+Programacion[[#This Row],[DEVENGADO SEPTIEMBRE]]</f>
        <v>540</v>
      </c>
      <c r="AM140" s="33">
        <f>Programacion[[#This Row],[OCTUBRE]]+Programacion[[#This Row],[NOVIEMBRE]]+Programacion[[#This Row],[DICIEMBRE]]</f>
        <v>0</v>
      </c>
      <c r="AN140" s="21">
        <f>Programacion[[#This Row],[DEVENGADO OCTUBRE]]+Programacion[[#This Row],[DEVENGADO NOVIEMBRE]]+Programacion[[#This Row],[DEVENGADO DICIEMBRE]]</f>
        <v>0</v>
      </c>
      <c r="AO140" s="21">
        <f>Programacion[[#This Row],[ENERO]]+Programacion[[#This Row],[FEBRERO]]+Programacion[[#This Row],[MARZO]]+Programacion[[#This Row],[ABRIL]]+Programacion[[#This Row],[MAYO]]+Programacion[[#This Row],[JUNIO]]</f>
        <v>0</v>
      </c>
      <c r="AP14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0" s="113"/>
    </row>
    <row r="141" spans="1:46" ht="30" x14ac:dyDescent="0.25">
      <c r="A141" s="128" t="s">
        <v>121</v>
      </c>
      <c r="B141" s="128" t="s">
        <v>298</v>
      </c>
      <c r="C141" s="128" t="s">
        <v>245</v>
      </c>
      <c r="D141" s="129" t="s">
        <v>48</v>
      </c>
      <c r="E141" s="130">
        <v>39</v>
      </c>
      <c r="F141" s="130">
        <v>23</v>
      </c>
      <c r="G141" s="129" t="s">
        <v>49</v>
      </c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>
        <v>1600</v>
      </c>
      <c r="Y141" s="33"/>
      <c r="Z141" s="33"/>
      <c r="AA141" s="33"/>
      <c r="AB141" s="33"/>
      <c r="AC141" s="33"/>
      <c r="AD141" s="33"/>
      <c r="AE141" s="33"/>
      <c r="AF14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1" s="33">
        <f>Programacion[[#This Row],[ENERO]]+Programacion[[#This Row],[FEBRERO]]+Programacion[[#This Row],[MARZO]]</f>
        <v>0</v>
      </c>
      <c r="AH141" s="33">
        <f>Programacion[[#This Row],[DEVENGADO ENERO]]+Programacion[[#This Row],[DEVENGADO FEBRERO]]+Programacion[[#This Row],[DEVENGADO MARZO]]</f>
        <v>0</v>
      </c>
      <c r="AI141" s="33">
        <f>Programacion[[#This Row],[ABRIL]]+Programacion[[#This Row],[MAYO]]+Programacion[[#This Row],[JUNIO]]</f>
        <v>0</v>
      </c>
      <c r="AJ141" s="33">
        <f>Programacion[[#This Row],[DEVENGADO ABRIL]]+Programacion[[#This Row],[DEVENGADO MAYO]]+Programacion[[#This Row],[DEVENGADO JUNIO]]</f>
        <v>0</v>
      </c>
      <c r="AK141" s="33">
        <f>Programacion[[#This Row],[JULIO]]+Programacion[[#This Row],[AGOSTO]]+Programacion[[#This Row],[SEPTIEMBRE]]</f>
        <v>1600</v>
      </c>
      <c r="AL141" s="33">
        <f>Programacion[[#This Row],[DEVENGADO JULIO]]+Programacion[[#This Row],[DEVENGADO AGOSTO]]+Programacion[[#This Row],[DEVENGADO SEPTIEMBRE]]</f>
        <v>0</v>
      </c>
      <c r="AM141" s="33">
        <f>Programacion[[#This Row],[OCTUBRE]]+Programacion[[#This Row],[NOVIEMBRE]]+Programacion[[#This Row],[DICIEMBRE]]</f>
        <v>0</v>
      </c>
      <c r="AN141" s="21">
        <f>Programacion[[#This Row],[DEVENGADO OCTUBRE]]+Programacion[[#This Row],[DEVENGADO NOVIEMBRE]]+Programacion[[#This Row],[DEVENGADO DICIEMBRE]]</f>
        <v>0</v>
      </c>
      <c r="AO141" s="21">
        <f>Programacion[[#This Row],[ENERO]]+Programacion[[#This Row],[FEBRERO]]+Programacion[[#This Row],[MARZO]]+Programacion[[#This Row],[ABRIL]]+Programacion[[#This Row],[MAYO]]+Programacion[[#This Row],[JUNIO]]</f>
        <v>0</v>
      </c>
      <c r="AP14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1" s="113"/>
    </row>
    <row r="142" spans="1:46" x14ac:dyDescent="0.25">
      <c r="A142" s="128" t="s">
        <v>121</v>
      </c>
      <c r="B142" s="128" t="s">
        <v>299</v>
      </c>
      <c r="C142" s="128" t="s">
        <v>243</v>
      </c>
      <c r="D142" s="129" t="s">
        <v>48</v>
      </c>
      <c r="E142" s="130">
        <v>39</v>
      </c>
      <c r="F142" s="130">
        <v>23</v>
      </c>
      <c r="G142" s="129" t="s">
        <v>51</v>
      </c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>
        <v>1080</v>
      </c>
      <c r="Y142" s="33">
        <v>1093.2</v>
      </c>
      <c r="Z142" s="33"/>
      <c r="AA142" s="33"/>
      <c r="AB142" s="33"/>
      <c r="AC142" s="33"/>
      <c r="AD142" s="33"/>
      <c r="AE142" s="33"/>
      <c r="AF14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42" s="33">
        <f>Programacion[[#This Row],[ENERO]]+Programacion[[#This Row],[FEBRERO]]+Programacion[[#This Row],[MARZO]]</f>
        <v>0</v>
      </c>
      <c r="AH142" s="33">
        <f>Programacion[[#This Row],[DEVENGADO ENERO]]+Programacion[[#This Row],[DEVENGADO FEBRERO]]+Programacion[[#This Row],[DEVENGADO MARZO]]</f>
        <v>0</v>
      </c>
      <c r="AI142" s="33">
        <f>Programacion[[#This Row],[ABRIL]]+Programacion[[#This Row],[MAYO]]+Programacion[[#This Row],[JUNIO]]</f>
        <v>0</v>
      </c>
      <c r="AJ142" s="33">
        <f>Programacion[[#This Row],[DEVENGADO ABRIL]]+Programacion[[#This Row],[DEVENGADO MAYO]]+Programacion[[#This Row],[DEVENGADO JUNIO]]</f>
        <v>0</v>
      </c>
      <c r="AK142" s="33">
        <f>Programacion[[#This Row],[JULIO]]+Programacion[[#This Row],[AGOSTO]]+Programacion[[#This Row],[SEPTIEMBRE]]</f>
        <v>1080</v>
      </c>
      <c r="AL142" s="33">
        <f>Programacion[[#This Row],[DEVENGADO JULIO]]+Programacion[[#This Row],[DEVENGADO AGOSTO]]+Programacion[[#This Row],[DEVENGADO SEPTIEMBRE]]</f>
        <v>1093.2</v>
      </c>
      <c r="AM142" s="33">
        <f>Programacion[[#This Row],[OCTUBRE]]+Programacion[[#This Row],[NOVIEMBRE]]+Programacion[[#This Row],[DICIEMBRE]]</f>
        <v>0</v>
      </c>
      <c r="AN142" s="21">
        <f>Programacion[[#This Row],[DEVENGADO OCTUBRE]]+Programacion[[#This Row],[DEVENGADO NOVIEMBRE]]+Programacion[[#This Row],[DEVENGADO DICIEMBRE]]</f>
        <v>0</v>
      </c>
      <c r="AO142" s="21">
        <f>Programacion[[#This Row],[ENERO]]+Programacion[[#This Row],[FEBRERO]]+Programacion[[#This Row],[MARZO]]+Programacion[[#This Row],[ABRIL]]+Programacion[[#This Row],[MAYO]]+Programacion[[#This Row],[JUNIO]]</f>
        <v>0</v>
      </c>
      <c r="AP14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21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4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1093.2</v>
      </c>
      <c r="AS14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1093.2</v>
      </c>
      <c r="AT142" s="113"/>
    </row>
    <row r="143" spans="1:46" ht="30" x14ac:dyDescent="0.25">
      <c r="A143" s="128" t="s">
        <v>121</v>
      </c>
      <c r="B143" s="128" t="s">
        <v>280</v>
      </c>
      <c r="C143" s="36" t="s">
        <v>73</v>
      </c>
      <c r="D143" s="100" t="s">
        <v>48</v>
      </c>
      <c r="E143" s="101">
        <v>39</v>
      </c>
      <c r="F143" s="102">
        <v>2.2999999999999998</v>
      </c>
      <c r="G143" s="100" t="s">
        <v>74</v>
      </c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>
        <v>1000</v>
      </c>
      <c r="Y143" s="33">
        <v>1000</v>
      </c>
      <c r="Z143" s="33"/>
      <c r="AA143" s="33"/>
      <c r="AB143" s="33"/>
      <c r="AC143" s="33"/>
      <c r="AD143" s="33"/>
      <c r="AE143" s="33"/>
      <c r="AF14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43" s="33">
        <f>Programacion[[#This Row],[ENERO]]+Programacion[[#This Row],[FEBRERO]]+Programacion[[#This Row],[MARZO]]</f>
        <v>0</v>
      </c>
      <c r="AH143" s="33">
        <f>Programacion[[#This Row],[DEVENGADO ENERO]]+Programacion[[#This Row],[DEVENGADO FEBRERO]]+Programacion[[#This Row],[DEVENGADO MARZO]]</f>
        <v>0</v>
      </c>
      <c r="AI143" s="33">
        <f>Programacion[[#This Row],[ABRIL]]+Programacion[[#This Row],[MAYO]]+Programacion[[#This Row],[JUNIO]]</f>
        <v>0</v>
      </c>
      <c r="AJ143" s="33">
        <f>Programacion[[#This Row],[DEVENGADO ABRIL]]+Programacion[[#This Row],[DEVENGADO MAYO]]+Programacion[[#This Row],[DEVENGADO JUNIO]]</f>
        <v>0</v>
      </c>
      <c r="AK143" s="33">
        <f>Programacion[[#This Row],[JULIO]]+Programacion[[#This Row],[AGOSTO]]+Programacion[[#This Row],[SEPTIEMBRE]]</f>
        <v>1000</v>
      </c>
      <c r="AL143" s="33">
        <f>Programacion[[#This Row],[DEVENGADO JULIO]]+Programacion[[#This Row],[DEVENGADO AGOSTO]]+Programacion[[#This Row],[DEVENGADO SEPTIEMBRE]]</f>
        <v>1000</v>
      </c>
      <c r="AM143" s="33">
        <f>Programacion[[#This Row],[OCTUBRE]]+Programacion[[#This Row],[NOVIEMBRE]]+Programacion[[#This Row],[DICIEMBRE]]</f>
        <v>0</v>
      </c>
      <c r="AN143" s="21">
        <f>Programacion[[#This Row],[DEVENGADO OCTUBRE]]+Programacion[[#This Row],[DEVENGADO NOVIEMBRE]]+Programacion[[#This Row],[DEVENGADO DICIEMBRE]]</f>
        <v>0</v>
      </c>
      <c r="AO143" s="21">
        <f>Programacion[[#This Row],[ENERO]]+Programacion[[#This Row],[FEBRERO]]+Programacion[[#This Row],[MARZO]]+Programacion[[#This Row],[ABRIL]]+Programacion[[#This Row],[MAYO]]+Programacion[[#This Row],[JUNIO]]</f>
        <v>0</v>
      </c>
      <c r="AP14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3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4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4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43" s="113"/>
    </row>
    <row r="144" spans="1:46" x14ac:dyDescent="0.25">
      <c r="A144" s="128" t="s">
        <v>121</v>
      </c>
      <c r="B144" s="128" t="s">
        <v>260</v>
      </c>
      <c r="C144" s="128" t="s">
        <v>261</v>
      </c>
      <c r="D144" s="129" t="s">
        <v>48</v>
      </c>
      <c r="E144" s="130">
        <v>39</v>
      </c>
      <c r="F144" s="130">
        <v>23</v>
      </c>
      <c r="G144" s="129" t="s">
        <v>70</v>
      </c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>
        <v>7000</v>
      </c>
      <c r="Y144" s="33"/>
      <c r="Z144" s="33"/>
      <c r="AA144" s="33"/>
      <c r="AB144" s="33"/>
      <c r="AC144" s="33"/>
      <c r="AD144" s="33"/>
      <c r="AE144" s="33"/>
      <c r="AF1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44" s="33">
        <f>Programacion[[#This Row],[ENERO]]+Programacion[[#This Row],[FEBRERO]]+Programacion[[#This Row],[MARZO]]</f>
        <v>0</v>
      </c>
      <c r="AH144" s="33">
        <f>Programacion[[#This Row],[DEVENGADO ENERO]]+Programacion[[#This Row],[DEVENGADO FEBRERO]]+Programacion[[#This Row],[DEVENGADO MARZO]]</f>
        <v>0</v>
      </c>
      <c r="AI144" s="33">
        <f>Programacion[[#This Row],[ABRIL]]+Programacion[[#This Row],[MAYO]]+Programacion[[#This Row],[JUNIO]]</f>
        <v>0</v>
      </c>
      <c r="AJ144" s="33">
        <f>Programacion[[#This Row],[DEVENGADO ABRIL]]+Programacion[[#This Row],[DEVENGADO MAYO]]+Programacion[[#This Row],[DEVENGADO JUNIO]]</f>
        <v>0</v>
      </c>
      <c r="AK144" s="33">
        <f>Programacion[[#This Row],[JULIO]]+Programacion[[#This Row],[AGOSTO]]+Programacion[[#This Row],[SEPTIEMBRE]]</f>
        <v>7000</v>
      </c>
      <c r="AL144" s="33">
        <f>Programacion[[#This Row],[DEVENGADO JULIO]]+Programacion[[#This Row],[DEVENGADO AGOSTO]]+Programacion[[#This Row],[DEVENGADO SEPTIEMBRE]]</f>
        <v>0</v>
      </c>
      <c r="AM144" s="33">
        <f>Programacion[[#This Row],[OCTUBRE]]+Programacion[[#This Row],[NOVIEMBRE]]+Programacion[[#This Row],[DICIEMBRE]]</f>
        <v>0</v>
      </c>
      <c r="AN144" s="21">
        <f>Programacion[[#This Row],[DEVENGADO OCTUBRE]]+Programacion[[#This Row],[DEVENGADO NOVIEMBRE]]+Programacion[[#This Row],[DEVENGADO DICIEMBRE]]</f>
        <v>0</v>
      </c>
      <c r="AO144" s="21">
        <f>Programacion[[#This Row],[ENERO]]+Programacion[[#This Row],[FEBRERO]]+Programacion[[#This Row],[MARZO]]+Programacion[[#This Row],[ABRIL]]+Programacion[[#This Row],[MAYO]]+Programacion[[#This Row],[JUNIO]]</f>
        <v>0</v>
      </c>
      <c r="AP1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4" s="113"/>
    </row>
    <row r="145" spans="1:46" x14ac:dyDescent="0.25">
      <c r="A145" s="128" t="s">
        <v>121</v>
      </c>
      <c r="B145" s="128" t="s">
        <v>281</v>
      </c>
      <c r="C145" s="46" t="s">
        <v>64</v>
      </c>
      <c r="D145" s="100" t="s">
        <v>48</v>
      </c>
      <c r="E145" s="101">
        <v>39</v>
      </c>
      <c r="F145" s="102">
        <v>2.2999999999999998</v>
      </c>
      <c r="G145" s="100" t="s">
        <v>74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>
        <v>2700</v>
      </c>
      <c r="W145" s="33">
        <v>2700</v>
      </c>
      <c r="X145" s="33"/>
      <c r="Y145" s="33"/>
      <c r="Z145" s="33"/>
      <c r="AA145" s="33"/>
      <c r="AB145" s="33"/>
      <c r="AC145" s="33"/>
      <c r="AD145" s="33"/>
      <c r="AE145" s="33"/>
      <c r="AF14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45" s="33">
        <f>Programacion[[#This Row],[ENERO]]+Programacion[[#This Row],[FEBRERO]]+Programacion[[#This Row],[MARZO]]</f>
        <v>0</v>
      </c>
      <c r="AH145" s="33">
        <f>Programacion[[#This Row],[DEVENGADO ENERO]]+Programacion[[#This Row],[DEVENGADO FEBRERO]]+Programacion[[#This Row],[DEVENGADO MARZO]]</f>
        <v>0</v>
      </c>
      <c r="AI145" s="33">
        <f>Programacion[[#This Row],[ABRIL]]+Programacion[[#This Row],[MAYO]]+Programacion[[#This Row],[JUNIO]]</f>
        <v>0</v>
      </c>
      <c r="AJ145" s="33">
        <f>Programacion[[#This Row],[DEVENGADO ABRIL]]+Programacion[[#This Row],[DEVENGADO MAYO]]+Programacion[[#This Row],[DEVENGADO JUNIO]]</f>
        <v>0</v>
      </c>
      <c r="AK145" s="33">
        <f>Programacion[[#This Row],[JULIO]]+Programacion[[#This Row],[AGOSTO]]+Programacion[[#This Row],[SEPTIEMBRE]]</f>
        <v>2700</v>
      </c>
      <c r="AL145" s="33">
        <f>Programacion[[#This Row],[DEVENGADO JULIO]]+Programacion[[#This Row],[DEVENGADO AGOSTO]]+Programacion[[#This Row],[DEVENGADO SEPTIEMBRE]]</f>
        <v>2700</v>
      </c>
      <c r="AM145" s="33">
        <f>Programacion[[#This Row],[OCTUBRE]]+Programacion[[#This Row],[NOVIEMBRE]]+Programacion[[#This Row],[DICIEMBRE]]</f>
        <v>0</v>
      </c>
      <c r="AN145" s="21">
        <f>Programacion[[#This Row],[DEVENGADO OCTUBRE]]+Programacion[[#This Row],[DEVENGADO NOVIEMBRE]]+Programacion[[#This Row],[DEVENGADO DICIEMBRE]]</f>
        <v>0</v>
      </c>
      <c r="AO145" s="21">
        <f>Programacion[[#This Row],[ENERO]]+Programacion[[#This Row],[FEBRERO]]+Programacion[[#This Row],[MARZO]]+Programacion[[#This Row],[ABRIL]]+Programacion[[#This Row],[MAYO]]+Programacion[[#This Row],[JUNIO]]</f>
        <v>0</v>
      </c>
      <c r="AP14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5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4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4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45" s="113"/>
    </row>
    <row r="146" spans="1:46" x14ac:dyDescent="0.25">
      <c r="A146" s="128" t="s">
        <v>121</v>
      </c>
      <c r="B146" s="128" t="s">
        <v>282</v>
      </c>
      <c r="C146" s="125" t="s">
        <v>259</v>
      </c>
      <c r="D146" s="100" t="s">
        <v>48</v>
      </c>
      <c r="E146" s="101">
        <v>39</v>
      </c>
      <c r="F146" s="102">
        <v>2.2999999999999998</v>
      </c>
      <c r="G146" s="100" t="s">
        <v>187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>
        <v>150</v>
      </c>
      <c r="W146" s="33">
        <v>150</v>
      </c>
      <c r="X146" s="33"/>
      <c r="Y146" s="33"/>
      <c r="Z146" s="33"/>
      <c r="AA146" s="33"/>
      <c r="AB146" s="33"/>
      <c r="AC146" s="33"/>
      <c r="AD146" s="33"/>
      <c r="AE146" s="33"/>
      <c r="AF1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46" s="33">
        <f>Programacion[[#This Row],[ENERO]]+Programacion[[#This Row],[FEBRERO]]+Programacion[[#This Row],[MARZO]]</f>
        <v>0</v>
      </c>
      <c r="AH146" s="33">
        <f>Programacion[[#This Row],[DEVENGADO ENERO]]+Programacion[[#This Row],[DEVENGADO FEBRERO]]+Programacion[[#This Row],[DEVENGADO MARZO]]</f>
        <v>0</v>
      </c>
      <c r="AI146" s="33">
        <f>Programacion[[#This Row],[ABRIL]]+Programacion[[#This Row],[MAYO]]+Programacion[[#This Row],[JUNIO]]</f>
        <v>0</v>
      </c>
      <c r="AJ146" s="33">
        <f>Programacion[[#This Row],[DEVENGADO ABRIL]]+Programacion[[#This Row],[DEVENGADO MAYO]]+Programacion[[#This Row],[DEVENGADO JUNIO]]</f>
        <v>0</v>
      </c>
      <c r="AK146" s="33">
        <f>Programacion[[#This Row],[JULIO]]+Programacion[[#This Row],[AGOSTO]]+Programacion[[#This Row],[SEPTIEMBRE]]</f>
        <v>150</v>
      </c>
      <c r="AL146" s="33">
        <f>Programacion[[#This Row],[DEVENGADO JULIO]]+Programacion[[#This Row],[DEVENGADO AGOSTO]]+Programacion[[#This Row],[DEVENGADO SEPTIEMBRE]]</f>
        <v>150</v>
      </c>
      <c r="AM146" s="33">
        <f>Programacion[[#This Row],[OCTUBRE]]+Programacion[[#This Row],[NOVIEMBRE]]+Programacion[[#This Row],[DICIEMBRE]]</f>
        <v>0</v>
      </c>
      <c r="AN146" s="21">
        <f>Programacion[[#This Row],[DEVENGADO OCTUBRE]]+Programacion[[#This Row],[DEVENGADO NOVIEMBRE]]+Programacion[[#This Row],[DEVENGADO DICIEMBRE]]</f>
        <v>0</v>
      </c>
      <c r="AO146" s="21">
        <f>Programacion[[#This Row],[ENERO]]+Programacion[[#This Row],[FEBRERO]]+Programacion[[#This Row],[MARZO]]+Programacion[[#This Row],[ABRIL]]+Programacion[[#This Row],[MAYO]]+Programacion[[#This Row],[JUNIO]]</f>
        <v>0</v>
      </c>
      <c r="AP1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6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46" s="113"/>
    </row>
    <row r="147" spans="1:46" ht="30" x14ac:dyDescent="0.25">
      <c r="A147" s="128" t="s">
        <v>121</v>
      </c>
      <c r="B147" s="128" t="s">
        <v>262</v>
      </c>
      <c r="C147" s="128" t="s">
        <v>245</v>
      </c>
      <c r="D147" s="129" t="s">
        <v>48</v>
      </c>
      <c r="E147" s="130">
        <v>39</v>
      </c>
      <c r="F147" s="130">
        <v>23</v>
      </c>
      <c r="G147" s="129" t="s">
        <v>49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>
        <v>1600</v>
      </c>
      <c r="Y147" s="33">
        <v>321.67</v>
      </c>
      <c r="Z147" s="33"/>
      <c r="AA147" s="33"/>
      <c r="AB147" s="33"/>
      <c r="AC147" s="33"/>
      <c r="AD147" s="33"/>
      <c r="AE147" s="33"/>
      <c r="AF1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7" s="33">
        <f>Programacion[[#This Row],[ENERO]]+Programacion[[#This Row],[FEBRERO]]+Programacion[[#This Row],[MARZO]]</f>
        <v>0</v>
      </c>
      <c r="AH147" s="33">
        <f>Programacion[[#This Row],[DEVENGADO ENERO]]+Programacion[[#This Row],[DEVENGADO FEBRERO]]+Programacion[[#This Row],[DEVENGADO MARZO]]</f>
        <v>0</v>
      </c>
      <c r="AI147" s="33">
        <f>Programacion[[#This Row],[ABRIL]]+Programacion[[#This Row],[MAYO]]+Programacion[[#This Row],[JUNIO]]</f>
        <v>0</v>
      </c>
      <c r="AJ147" s="33">
        <f>Programacion[[#This Row],[DEVENGADO ABRIL]]+Programacion[[#This Row],[DEVENGADO MAYO]]+Programacion[[#This Row],[DEVENGADO JUNIO]]</f>
        <v>0</v>
      </c>
      <c r="AK147" s="33">
        <f>Programacion[[#This Row],[JULIO]]+Programacion[[#This Row],[AGOSTO]]+Programacion[[#This Row],[SEPTIEMBRE]]</f>
        <v>1600</v>
      </c>
      <c r="AL147" s="33">
        <f>Programacion[[#This Row],[DEVENGADO JULIO]]+Programacion[[#This Row],[DEVENGADO AGOSTO]]+Programacion[[#This Row],[DEVENGADO SEPTIEMBRE]]</f>
        <v>321.67</v>
      </c>
      <c r="AM147" s="33">
        <f>Programacion[[#This Row],[OCTUBRE]]+Programacion[[#This Row],[NOVIEMBRE]]+Programacion[[#This Row],[DICIEMBRE]]</f>
        <v>0</v>
      </c>
      <c r="AN147" s="21">
        <f>Programacion[[#This Row],[DEVENGADO OCTUBRE]]+Programacion[[#This Row],[DEVENGADO NOVIEMBRE]]+Programacion[[#This Row],[DEVENGADO DICIEMBRE]]</f>
        <v>0</v>
      </c>
      <c r="AO147" s="21">
        <f>Programacion[[#This Row],[ENERO]]+Programacion[[#This Row],[FEBRERO]]+Programacion[[#This Row],[MARZO]]+Programacion[[#This Row],[ABRIL]]+Programacion[[#This Row],[MAYO]]+Programacion[[#This Row],[JUNIO]]</f>
        <v>0</v>
      </c>
      <c r="AP1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321.67</v>
      </c>
      <c r="AS1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321.67</v>
      </c>
      <c r="AT147" s="113"/>
    </row>
    <row r="148" spans="1:46" x14ac:dyDescent="0.25">
      <c r="A148" s="128" t="s">
        <v>121</v>
      </c>
      <c r="B148" s="128" t="s">
        <v>263</v>
      </c>
      <c r="C148" s="128" t="s">
        <v>243</v>
      </c>
      <c r="D148" s="129" t="s">
        <v>48</v>
      </c>
      <c r="E148" s="130">
        <v>39</v>
      </c>
      <c r="F148" s="130">
        <v>23</v>
      </c>
      <c r="G148" s="129" t="s">
        <v>51</v>
      </c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>
        <v>1200</v>
      </c>
      <c r="W148" s="33">
        <v>1200</v>
      </c>
      <c r="X148" s="33"/>
      <c r="Y148" s="33"/>
      <c r="Z148" s="33"/>
      <c r="AA148" s="33"/>
      <c r="AB148" s="33"/>
      <c r="AC148" s="33"/>
      <c r="AD148" s="33"/>
      <c r="AE148" s="33"/>
      <c r="AF1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48" s="33">
        <f>Programacion[[#This Row],[ENERO]]+Programacion[[#This Row],[FEBRERO]]+Programacion[[#This Row],[MARZO]]</f>
        <v>0</v>
      </c>
      <c r="AH148" s="33">
        <f>Programacion[[#This Row],[DEVENGADO ENERO]]+Programacion[[#This Row],[DEVENGADO FEBRERO]]+Programacion[[#This Row],[DEVENGADO MARZO]]</f>
        <v>0</v>
      </c>
      <c r="AI148" s="33">
        <f>Programacion[[#This Row],[ABRIL]]+Programacion[[#This Row],[MAYO]]+Programacion[[#This Row],[JUNIO]]</f>
        <v>0</v>
      </c>
      <c r="AJ148" s="33">
        <f>Programacion[[#This Row],[DEVENGADO ABRIL]]+Programacion[[#This Row],[DEVENGADO MAYO]]+Programacion[[#This Row],[DEVENGADO JUNIO]]</f>
        <v>0</v>
      </c>
      <c r="AK148" s="33">
        <f>Programacion[[#This Row],[JULIO]]+Programacion[[#This Row],[AGOSTO]]+Programacion[[#This Row],[SEPTIEMBRE]]</f>
        <v>1200</v>
      </c>
      <c r="AL148" s="33">
        <f>Programacion[[#This Row],[DEVENGADO JULIO]]+Programacion[[#This Row],[DEVENGADO AGOSTO]]+Programacion[[#This Row],[DEVENGADO SEPTIEMBRE]]</f>
        <v>1200</v>
      </c>
      <c r="AM148" s="33">
        <f>Programacion[[#This Row],[OCTUBRE]]+Programacion[[#This Row],[NOVIEMBRE]]+Programacion[[#This Row],[DICIEMBRE]]</f>
        <v>0</v>
      </c>
      <c r="AN148" s="21">
        <f>Programacion[[#This Row],[DEVENGADO OCTUBRE]]+Programacion[[#This Row],[DEVENGADO NOVIEMBRE]]+Programacion[[#This Row],[DEVENGADO DICIEMBRE]]</f>
        <v>0</v>
      </c>
      <c r="AO148" s="21">
        <f>Programacion[[#This Row],[ENERO]]+Programacion[[#This Row],[FEBRERO]]+Programacion[[#This Row],[MARZO]]+Programacion[[#This Row],[ABRIL]]+Programacion[[#This Row],[MAYO]]+Programacion[[#This Row],[JUNIO]]</f>
        <v>0</v>
      </c>
      <c r="AP1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48" s="113"/>
    </row>
    <row r="149" spans="1:46" ht="30" x14ac:dyDescent="0.25">
      <c r="A149" s="128" t="s">
        <v>121</v>
      </c>
      <c r="B149" s="128" t="s">
        <v>319</v>
      </c>
      <c r="C149" s="36" t="s">
        <v>73</v>
      </c>
      <c r="D149" s="100" t="s">
        <v>48</v>
      </c>
      <c r="E149" s="101">
        <v>39</v>
      </c>
      <c r="F149" s="102">
        <v>2.2999999999999998</v>
      </c>
      <c r="G149" s="100" t="s">
        <v>74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>
        <v>4000</v>
      </c>
      <c r="AA149" s="33"/>
      <c r="AB149" s="33"/>
      <c r="AC149" s="33"/>
      <c r="AD149" s="33"/>
      <c r="AE149" s="33"/>
      <c r="AF1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49" s="33">
        <f>Programacion[[#This Row],[ENERO]]+Programacion[[#This Row],[FEBRERO]]+Programacion[[#This Row],[MARZO]]</f>
        <v>0</v>
      </c>
      <c r="AH149" s="33">
        <f>Programacion[[#This Row],[DEVENGADO ENERO]]+Programacion[[#This Row],[DEVENGADO FEBRERO]]+Programacion[[#This Row],[DEVENGADO MARZO]]</f>
        <v>0</v>
      </c>
      <c r="AI149" s="33">
        <f>Programacion[[#This Row],[ABRIL]]+Programacion[[#This Row],[MAYO]]+Programacion[[#This Row],[JUNIO]]</f>
        <v>0</v>
      </c>
      <c r="AJ149" s="33">
        <f>Programacion[[#This Row],[DEVENGADO ABRIL]]+Programacion[[#This Row],[DEVENGADO MAYO]]+Programacion[[#This Row],[DEVENGADO JUNIO]]</f>
        <v>0</v>
      </c>
      <c r="AK149" s="33">
        <f>Programacion[[#This Row],[JULIO]]+Programacion[[#This Row],[AGOSTO]]+Programacion[[#This Row],[SEPTIEMBRE]]</f>
        <v>0</v>
      </c>
      <c r="AL149" s="33">
        <f>Programacion[[#This Row],[DEVENGADO JULIO]]+Programacion[[#This Row],[DEVENGADO AGOSTO]]+Programacion[[#This Row],[DEVENGADO SEPTIEMBRE]]</f>
        <v>0</v>
      </c>
      <c r="AM149" s="33">
        <f>Programacion[[#This Row],[OCTUBRE]]+Programacion[[#This Row],[NOVIEMBRE]]+Programacion[[#This Row],[DICIEMBRE]]</f>
        <v>4000</v>
      </c>
      <c r="AN149" s="21">
        <f>Programacion[[#This Row],[DEVENGADO OCTUBRE]]+Programacion[[#This Row],[DEVENGADO NOVIEMBRE]]+Programacion[[#This Row],[DEVENGADO DICIEMBRE]]</f>
        <v>0</v>
      </c>
      <c r="AO149" s="21">
        <f>Programacion[[#This Row],[ENERO]]+Programacion[[#This Row],[FEBRERO]]+Programacion[[#This Row],[MARZO]]+Programacion[[#This Row],[ABRIL]]+Programacion[[#This Row],[MAYO]]+Programacion[[#This Row],[JUNIO]]</f>
        <v>0</v>
      </c>
      <c r="AP1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21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49" s="113"/>
    </row>
    <row r="150" spans="1:46" ht="30" x14ac:dyDescent="0.25">
      <c r="A150" s="52" t="s">
        <v>121</v>
      </c>
      <c r="B150" s="45" t="s">
        <v>46</v>
      </c>
      <c r="C150" s="46" t="s">
        <v>47</v>
      </c>
      <c r="D150" s="46" t="s">
        <v>48</v>
      </c>
      <c r="E150" s="47">
        <v>39</v>
      </c>
      <c r="F150" s="48">
        <v>2.2999999999999998</v>
      </c>
      <c r="G150" s="46" t="s">
        <v>49</v>
      </c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>
        <v>6000</v>
      </c>
      <c r="AA150" s="49"/>
      <c r="AB150" s="49"/>
      <c r="AC150" s="49"/>
      <c r="AD150" s="49"/>
      <c r="AE150" s="4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0</v>
      </c>
      <c r="AJ150" s="19">
        <f>Programacion[[#This Row],[DEVENGADO ABRIL]]+Programacion[[#This Row],[DEVENGADO MAYO]]+Programacion[[#This Row],[DEVENGADO JUNIO]]</f>
        <v>0</v>
      </c>
      <c r="AK150" s="19">
        <f>Programacion[[#This Row],[JULIO]]+Programacion[[#This Row],[AGOSTO]]+Programacion[[#This Row],[SEPTIEMBRE]]</f>
        <v>0</v>
      </c>
      <c r="AL150" s="19">
        <f>Programacion[[#This Row],[DEVENGADO JULIO]]+Programacion[[#This Row],[DEVENGADO AGOSTO]]+Programacion[[#This Row],[DEVENGADO SEPTIEMBRE]]</f>
        <v>0</v>
      </c>
      <c r="AM150" s="19">
        <f>Programacion[[#This Row],[OCTUBRE]]+Programacion[[#This Row],[NOVIEMBRE]]+Programacion[[#This Row],[DICIEMBRE]]</f>
        <v>6000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0" s="113"/>
    </row>
    <row r="151" spans="1:46" x14ac:dyDescent="0.25">
      <c r="A151" s="52" t="s">
        <v>121</v>
      </c>
      <c r="B151" s="45" t="s">
        <v>83</v>
      </c>
      <c r="C151" s="46" t="s">
        <v>47</v>
      </c>
      <c r="D151" s="46" t="s">
        <v>48</v>
      </c>
      <c r="E151" s="47">
        <v>39</v>
      </c>
      <c r="F151" s="48">
        <v>2.2999999999999998</v>
      </c>
      <c r="G151" s="46" t="s">
        <v>51</v>
      </c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>
        <v>4000</v>
      </c>
      <c r="AA151" s="49"/>
      <c r="AB151" s="49"/>
      <c r="AC151" s="49"/>
      <c r="AD151" s="49"/>
      <c r="AE151" s="50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1" s="19">
        <f>Programacion[[#This Row],[ENERO]]+Programacion[[#This Row],[FEBRERO]]+Programacion[[#This Row],[MARZO]]</f>
        <v>0</v>
      </c>
      <c r="AH151" s="19">
        <f>Programacion[[#This Row],[DEVENGADO ENERO]]+Programacion[[#This Row],[DEVENGADO FEBRERO]]+Programacion[[#This Row],[DEVENGADO MARZO]]</f>
        <v>0</v>
      </c>
      <c r="AI151" s="19">
        <f>Programacion[[#This Row],[ABRIL]]+Programacion[[#This Row],[MAYO]]+Programacion[[#This Row],[JUNIO]]</f>
        <v>0</v>
      </c>
      <c r="AJ151" s="19">
        <f>Programacion[[#This Row],[DEVENGADO ABRIL]]+Programacion[[#This Row],[DEVENGADO MAYO]]+Programacion[[#This Row],[DEVENGADO JUNIO]]</f>
        <v>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4000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1" s="113"/>
    </row>
    <row r="152" spans="1:46" x14ac:dyDescent="0.25">
      <c r="A152" s="52" t="s">
        <v>121</v>
      </c>
      <c r="B152" s="45" t="s">
        <v>130</v>
      </c>
      <c r="C152" s="46" t="s">
        <v>64</v>
      </c>
      <c r="D152" s="46" t="s">
        <v>48</v>
      </c>
      <c r="E152" s="47">
        <v>39</v>
      </c>
      <c r="F152" s="48">
        <v>2.2999999999999998</v>
      </c>
      <c r="G152" s="46" t="s">
        <v>67</v>
      </c>
      <c r="H152" s="49"/>
      <c r="I152" s="49"/>
      <c r="J152" s="49"/>
      <c r="K152" s="49"/>
      <c r="L152" s="53">
        <v>4500</v>
      </c>
      <c r="M152" s="53">
        <v>4500</v>
      </c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5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52" s="19">
        <f>Programacion[[#This Row],[ENERO]]+Programacion[[#This Row],[FEBRERO]]+Programacion[[#This Row],[MARZO]]</f>
        <v>4500</v>
      </c>
      <c r="AH152" s="19">
        <f>Programacion[[#This Row],[DEVENGADO ENERO]]+Programacion[[#This Row],[DEVENGADO FEBRERO]]+Programacion[[#This Row],[DEVENGADO MARZO]]</f>
        <v>4500</v>
      </c>
      <c r="AI152" s="19">
        <f>Programacion[[#This Row],[ABRIL]]+Programacion[[#This Row],[MAYO]]+Programacion[[#This Row],[JUNIO]]</f>
        <v>0</v>
      </c>
      <c r="AJ152" s="19">
        <f>Programacion[[#This Row],[DEVENGADO ABRIL]]+Programacion[[#This Row],[DEVENGADO MAYO]]+Programacion[[#This Row],[DEVENGADO JUNIO]]</f>
        <v>0</v>
      </c>
      <c r="AK152" s="19">
        <f>Programacion[[#This Row],[JULIO]]+Programacion[[#This Row],[AGOSTO]]+Programacion[[#This Row],[SEPTIEMBRE]]</f>
        <v>0</v>
      </c>
      <c r="AL152" s="19">
        <f>Programacion[[#This Row],[DEVENGADO JULIO]]+Programacion[[#This Row],[DEVENGADO AGOSTO]]+Programacion[[#This Row],[DEVENGADO SEPTIEMBRE]]</f>
        <v>0</v>
      </c>
      <c r="AM152" s="19">
        <f>Programacion[[#This Row],[OCTUBRE]]+Programacion[[#This Row],[NOVIEMBRE]]+Programacion[[#This Row],[DICIEMBRE]]</f>
        <v>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4500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52" s="113"/>
    </row>
    <row r="153" spans="1:46" x14ac:dyDescent="0.25">
      <c r="A153" s="52" t="s">
        <v>121</v>
      </c>
      <c r="B153" s="45" t="s">
        <v>131</v>
      </c>
      <c r="C153" s="46" t="s">
        <v>56</v>
      </c>
      <c r="D153" s="46" t="s">
        <v>48</v>
      </c>
      <c r="E153" s="47">
        <v>3</v>
      </c>
      <c r="F153" s="48">
        <v>2.2999999999999998</v>
      </c>
      <c r="G153" s="46" t="s">
        <v>70</v>
      </c>
      <c r="H153" s="49"/>
      <c r="I153" s="49"/>
      <c r="J153" s="49"/>
      <c r="K153" s="49"/>
      <c r="L153" s="49"/>
      <c r="M153" s="49"/>
      <c r="N153" s="49">
        <v>15000</v>
      </c>
      <c r="O153" s="49">
        <v>15000</v>
      </c>
      <c r="P153" s="49">
        <v>7500</v>
      </c>
      <c r="Q153" s="49">
        <v>7500</v>
      </c>
      <c r="R153" s="49">
        <v>7500</v>
      </c>
      <c r="S153" s="49">
        <v>7500</v>
      </c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50"/>
      <c r="AF15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53" s="19">
        <f>Programacion[[#This Row],[ENERO]]+Programacion[[#This Row],[FEBRERO]]+Programacion[[#This Row],[MARZO]]</f>
        <v>0</v>
      </c>
      <c r="AH153" s="19">
        <f>Programacion[[#This Row],[DEVENGADO ENERO]]+Programacion[[#This Row],[DEVENGADO FEBRERO]]+Programacion[[#This Row],[DEVENGADO MARZO]]</f>
        <v>0</v>
      </c>
      <c r="AI153" s="19">
        <f>Programacion[[#This Row],[ABRIL]]+Programacion[[#This Row],[MAYO]]+Programacion[[#This Row],[JUNIO]]</f>
        <v>30000</v>
      </c>
      <c r="AJ153" s="19">
        <f>Programacion[[#This Row],[DEVENGADO ABRIL]]+Programacion[[#This Row],[DEVENGADO MAYO]]+Programacion[[#This Row],[DEVENGADO JUNIO]]</f>
        <v>30000</v>
      </c>
      <c r="AK153" s="19">
        <f>Programacion[[#This Row],[JULIO]]+Programacion[[#This Row],[AGOSTO]]+Programacion[[#This Row],[SEPTIEMBRE]]</f>
        <v>0</v>
      </c>
      <c r="AL153" s="19">
        <f>Programacion[[#This Row],[DEVENGADO JULIO]]+Programacion[[#This Row],[DEVENGADO AGOSTO]]+Programacion[[#This Row],[DEVENGADO SEPTIEMBRE]]</f>
        <v>0</v>
      </c>
      <c r="AM153" s="19">
        <f>Programacion[[#This Row],[OCTUBRE]]+Programacion[[#This Row],[NOVIEMBRE]]+Programacion[[#This Row],[DICIEMBRE]]</f>
        <v>0</v>
      </c>
      <c r="AN153" s="20">
        <f>Programacion[[#This Row],[DEVENGADO OCTUBRE]]+Programacion[[#This Row],[DEVENGADO NOVIEMBRE]]+Programacion[[#This Row],[DEVENGADO DICIEMBRE]]</f>
        <v>0</v>
      </c>
      <c r="AO153" s="20">
        <f>Programacion[[#This Row],[ENERO]]+Programacion[[#This Row],[FEBRERO]]+Programacion[[#This Row],[MARZO]]+Programacion[[#This Row],[ABRIL]]+Programacion[[#This Row],[MAYO]]+Programacion[[#This Row],[JUNIO]]</f>
        <v>30000</v>
      </c>
      <c r="AP15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5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53" s="113"/>
    </row>
    <row r="154" spans="1:46" ht="30" x14ac:dyDescent="0.25">
      <c r="A154" s="51" t="s">
        <v>121</v>
      </c>
      <c r="B154" s="45" t="s">
        <v>132</v>
      </c>
      <c r="C154" s="46" t="s">
        <v>56</v>
      </c>
      <c r="D154" s="46" t="s">
        <v>48</v>
      </c>
      <c r="E154" s="47">
        <v>3</v>
      </c>
      <c r="F154" s="48">
        <v>2.2999999999999998</v>
      </c>
      <c r="G154" s="46" t="s">
        <v>70</v>
      </c>
      <c r="H154" s="49"/>
      <c r="I154" s="49"/>
      <c r="J154" s="49"/>
      <c r="K154" s="49"/>
      <c r="L154" s="49"/>
      <c r="M154" s="49"/>
      <c r="N154" s="49">
        <v>10000</v>
      </c>
      <c r="O154" s="49">
        <v>10000</v>
      </c>
      <c r="P154" s="49">
        <v>5000</v>
      </c>
      <c r="Q154" s="49">
        <v>5000</v>
      </c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54" s="19">
        <f>Programacion[[#This Row],[ENERO]]+Programacion[[#This Row],[FEBRERO]]+Programacion[[#This Row],[MARZO]]</f>
        <v>0</v>
      </c>
      <c r="AH154" s="19">
        <f>Programacion[[#This Row],[DEVENGADO ENERO]]+Programacion[[#This Row],[DEVENGADO FEBRERO]]+Programacion[[#This Row],[DEVENGADO MARZO]]</f>
        <v>0</v>
      </c>
      <c r="AI154" s="19">
        <f>Programacion[[#This Row],[ABRIL]]+Programacion[[#This Row],[MAYO]]+Programacion[[#This Row],[JUNIO]]</f>
        <v>15000</v>
      </c>
      <c r="AJ154" s="19">
        <f>Programacion[[#This Row],[DEVENGADO ABRIL]]+Programacion[[#This Row],[DEVENGADO MAYO]]+Programacion[[#This Row],[DEVENGADO JUNIO]]</f>
        <v>15000</v>
      </c>
      <c r="AK154" s="19">
        <f>Programacion[[#This Row],[JULIO]]+Programacion[[#This Row],[AGOSTO]]+Programacion[[#This Row],[SEPTIEMBRE]]</f>
        <v>0</v>
      </c>
      <c r="AL154" s="19">
        <f>Programacion[[#This Row],[DEVENGADO JULIO]]+Programacion[[#This Row],[DEVENGADO AGOSTO]]+Programacion[[#This Row],[DEVENGADO SEPTIEMBRE]]</f>
        <v>0</v>
      </c>
      <c r="AM154" s="19">
        <f>Programacion[[#This Row],[OCTUBRE]]+Programacion[[#This Row],[NOVIEMBRE]]+Programacion[[#This Row],[DICIEMBRE]]</f>
        <v>0</v>
      </c>
      <c r="AN154" s="20">
        <f>Programacion[[#This Row],[DEVENGADO OCTUBRE]]+Programacion[[#This Row],[DEVENGADO NOVIEMBRE]]+Programacion[[#This Row],[DEVENGADO DICIEMBRE]]</f>
        <v>0</v>
      </c>
      <c r="AO154" s="20">
        <f>Programacion[[#This Row],[ENERO]]+Programacion[[#This Row],[FEBRERO]]+Programacion[[#This Row],[MARZO]]+Programacion[[#This Row],[ABRIL]]+Programacion[[#This Row],[MAYO]]+Programacion[[#This Row],[JUNIO]]</f>
        <v>15000</v>
      </c>
      <c r="AP1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5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4" s="113"/>
    </row>
    <row r="155" spans="1:46" ht="30" x14ac:dyDescent="0.25">
      <c r="A155" s="128" t="s">
        <v>121</v>
      </c>
      <c r="B155" s="144" t="s">
        <v>300</v>
      </c>
      <c r="C155" s="128" t="s">
        <v>261</v>
      </c>
      <c r="D155" s="145" t="s">
        <v>285</v>
      </c>
      <c r="E155" s="146">
        <v>135</v>
      </c>
      <c r="F155" s="147">
        <v>23</v>
      </c>
      <c r="G155" s="129" t="s">
        <v>70</v>
      </c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148">
        <v>9000</v>
      </c>
      <c r="Y155" s="33"/>
      <c r="Z155" s="148">
        <v>9000</v>
      </c>
      <c r="AA155" s="33"/>
      <c r="AB155" s="148">
        <v>9000</v>
      </c>
      <c r="AC155" s="33"/>
      <c r="AD155" s="33"/>
      <c r="AE155" s="33"/>
      <c r="AF15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55" s="33">
        <f>Programacion[[#This Row],[ENERO]]+Programacion[[#This Row],[FEBRERO]]+Programacion[[#This Row],[MARZO]]</f>
        <v>0</v>
      </c>
      <c r="AH155" s="33">
        <f>Programacion[[#This Row],[DEVENGADO ENERO]]+Programacion[[#This Row],[DEVENGADO FEBRERO]]+Programacion[[#This Row],[DEVENGADO MARZO]]</f>
        <v>0</v>
      </c>
      <c r="AI155" s="33">
        <f>Programacion[[#This Row],[ABRIL]]+Programacion[[#This Row],[MAYO]]+Programacion[[#This Row],[JUNIO]]</f>
        <v>0</v>
      </c>
      <c r="AJ155" s="33">
        <f>Programacion[[#This Row],[DEVENGADO ABRIL]]+Programacion[[#This Row],[DEVENGADO MAYO]]+Programacion[[#This Row],[DEVENGADO JUNIO]]</f>
        <v>0</v>
      </c>
      <c r="AK155" s="33">
        <f>Programacion[[#This Row],[JULIO]]+Programacion[[#This Row],[AGOSTO]]+Programacion[[#This Row],[SEPTIEMBRE]]</f>
        <v>9000</v>
      </c>
      <c r="AL155" s="33">
        <f>Programacion[[#This Row],[DEVENGADO JULIO]]+Programacion[[#This Row],[DEVENGADO AGOSTO]]+Programacion[[#This Row],[DEVENGADO SEPTIEMBRE]]</f>
        <v>0</v>
      </c>
      <c r="AM155" s="33">
        <f>Programacion[[#This Row],[OCTUBRE]]+Programacion[[#This Row],[NOVIEMBRE]]+Programacion[[#This Row],[DICIEMBRE]]</f>
        <v>18000</v>
      </c>
      <c r="AN155" s="21">
        <f>Programacion[[#This Row],[DEVENGADO OCTUBRE]]+Programacion[[#This Row],[DEVENGADO NOVIEMBRE]]+Programacion[[#This Row],[DEVENGADO DICIEMBRE]]</f>
        <v>0</v>
      </c>
      <c r="AO155" s="21">
        <f>Programacion[[#This Row],[ENERO]]+Programacion[[#This Row],[FEBRERO]]+Programacion[[#This Row],[MARZO]]+Programacion[[#This Row],[ABRIL]]+Programacion[[#This Row],[MAYO]]+Programacion[[#This Row],[JUNIO]]</f>
        <v>0</v>
      </c>
      <c r="AP15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1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5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5" s="113"/>
    </row>
    <row r="156" spans="1:46" ht="30" x14ac:dyDescent="0.25">
      <c r="A156" s="128" t="s">
        <v>121</v>
      </c>
      <c r="B156" s="144" t="s">
        <v>301</v>
      </c>
      <c r="C156" s="128" t="s">
        <v>261</v>
      </c>
      <c r="D156" s="145" t="s">
        <v>48</v>
      </c>
      <c r="E156" s="146">
        <v>39</v>
      </c>
      <c r="F156" s="147">
        <v>23</v>
      </c>
      <c r="G156" s="129" t="s">
        <v>70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148">
        <v>3700</v>
      </c>
      <c r="Y156" s="33"/>
      <c r="Z156" s="148">
        <v>3700</v>
      </c>
      <c r="AA156" s="33"/>
      <c r="AB156" s="148">
        <v>3700</v>
      </c>
      <c r="AC156" s="33"/>
      <c r="AD156" s="148">
        <v>3700</v>
      </c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3700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11100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3"/>
    </row>
    <row r="157" spans="1:46" x14ac:dyDescent="0.25">
      <c r="A157" s="128" t="s">
        <v>121</v>
      </c>
      <c r="B157" s="144" t="s">
        <v>302</v>
      </c>
      <c r="C157" s="128" t="s">
        <v>261</v>
      </c>
      <c r="D157" s="145" t="s">
        <v>285</v>
      </c>
      <c r="E157" s="146">
        <v>135</v>
      </c>
      <c r="F157" s="147">
        <v>23</v>
      </c>
      <c r="G157" s="145" t="s">
        <v>57</v>
      </c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148">
        <v>7000</v>
      </c>
      <c r="Y157" s="33"/>
      <c r="Z157" s="148">
        <v>7000</v>
      </c>
      <c r="AA157" s="33"/>
      <c r="AB157" s="148">
        <v>7000</v>
      </c>
      <c r="AC157" s="33"/>
      <c r="AD157" s="148">
        <v>7000</v>
      </c>
      <c r="AE157" s="33"/>
      <c r="AF15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57" s="33">
        <f>Programacion[[#This Row],[ENERO]]+Programacion[[#This Row],[FEBRERO]]+Programacion[[#This Row],[MARZO]]</f>
        <v>0</v>
      </c>
      <c r="AH157" s="33">
        <f>Programacion[[#This Row],[DEVENGADO ENERO]]+Programacion[[#This Row],[DEVENGADO FEBRERO]]+Programacion[[#This Row],[DEVENGADO MARZO]]</f>
        <v>0</v>
      </c>
      <c r="AI157" s="33">
        <f>Programacion[[#This Row],[ABRIL]]+Programacion[[#This Row],[MAYO]]+Programacion[[#This Row],[JUNIO]]</f>
        <v>0</v>
      </c>
      <c r="AJ157" s="33">
        <f>Programacion[[#This Row],[DEVENGADO ABRIL]]+Programacion[[#This Row],[DEVENGADO MAYO]]+Programacion[[#This Row],[DEVENGADO JUNIO]]</f>
        <v>0</v>
      </c>
      <c r="AK157" s="33">
        <f>Programacion[[#This Row],[JULIO]]+Programacion[[#This Row],[AGOSTO]]+Programacion[[#This Row],[SEPTIEMBRE]]</f>
        <v>7000</v>
      </c>
      <c r="AL157" s="33">
        <f>Programacion[[#This Row],[DEVENGADO JULIO]]+Programacion[[#This Row],[DEVENGADO AGOSTO]]+Programacion[[#This Row],[DEVENGADO SEPTIEMBRE]]</f>
        <v>0</v>
      </c>
      <c r="AM157" s="33">
        <f>Programacion[[#This Row],[OCTUBRE]]+Programacion[[#This Row],[NOVIEMBRE]]+Programacion[[#This Row],[DICIEMBRE]]</f>
        <v>21000</v>
      </c>
      <c r="AN157" s="21">
        <f>Programacion[[#This Row],[DEVENGADO OCTUBRE]]+Programacion[[#This Row],[DEVENGADO NOVIEMBRE]]+Programacion[[#This Row],[DEVENGADO DICIEMBRE]]</f>
        <v>0</v>
      </c>
      <c r="AO157" s="21">
        <f>Programacion[[#This Row],[ENERO]]+Programacion[[#This Row],[FEBRERO]]+Programacion[[#This Row],[MARZO]]+Programacion[[#This Row],[ABRIL]]+Programacion[[#This Row],[MAYO]]+Programacion[[#This Row],[JUNIO]]</f>
        <v>0</v>
      </c>
      <c r="AP15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1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5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3"/>
    </row>
    <row r="158" spans="1:46" ht="30" x14ac:dyDescent="0.25">
      <c r="A158" s="128" t="s">
        <v>121</v>
      </c>
      <c r="B158" s="144" t="s">
        <v>303</v>
      </c>
      <c r="C158" s="128" t="s">
        <v>261</v>
      </c>
      <c r="D158" s="145" t="s">
        <v>48</v>
      </c>
      <c r="E158" s="146">
        <v>39</v>
      </c>
      <c r="F158" s="147">
        <v>23</v>
      </c>
      <c r="G158" s="145" t="s">
        <v>57</v>
      </c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148">
        <v>5000</v>
      </c>
      <c r="Y158" s="33"/>
      <c r="Z158" s="148">
        <v>5000</v>
      </c>
      <c r="AA158" s="33"/>
      <c r="AB158" s="148">
        <v>5000</v>
      </c>
      <c r="AC158" s="33"/>
      <c r="AD158" s="148">
        <v>5000</v>
      </c>
      <c r="AE158" s="33"/>
      <c r="AF15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8" s="33">
        <f>Programacion[[#This Row],[ENERO]]+Programacion[[#This Row],[FEBRERO]]+Programacion[[#This Row],[MARZO]]</f>
        <v>0</v>
      </c>
      <c r="AH158" s="33">
        <f>Programacion[[#This Row],[DEVENGADO ENERO]]+Programacion[[#This Row],[DEVENGADO FEBRERO]]+Programacion[[#This Row],[DEVENGADO MARZO]]</f>
        <v>0</v>
      </c>
      <c r="AI158" s="33">
        <f>Programacion[[#This Row],[ABRIL]]+Programacion[[#This Row],[MAYO]]+Programacion[[#This Row],[JUNIO]]</f>
        <v>0</v>
      </c>
      <c r="AJ158" s="33">
        <f>Programacion[[#This Row],[DEVENGADO ABRIL]]+Programacion[[#This Row],[DEVENGADO MAYO]]+Programacion[[#This Row],[DEVENGADO JUNIO]]</f>
        <v>0</v>
      </c>
      <c r="AK158" s="33">
        <f>Programacion[[#This Row],[JULIO]]+Programacion[[#This Row],[AGOSTO]]+Programacion[[#This Row],[SEPTIEMBRE]]</f>
        <v>5000</v>
      </c>
      <c r="AL158" s="33">
        <f>Programacion[[#This Row],[DEVENGADO JULIO]]+Programacion[[#This Row],[DEVENGADO AGOSTO]]+Programacion[[#This Row],[DEVENGADO SEPTIEMBRE]]</f>
        <v>0</v>
      </c>
      <c r="AM158" s="33">
        <f>Programacion[[#This Row],[OCTUBRE]]+Programacion[[#This Row],[NOVIEMBRE]]+Programacion[[#This Row],[DICIEMBRE]]</f>
        <v>15000</v>
      </c>
      <c r="AN158" s="21">
        <f>Programacion[[#This Row],[DEVENGADO OCTUBRE]]+Programacion[[#This Row],[DEVENGADO NOVIEMBRE]]+Programacion[[#This Row],[DEVENGADO DICIEMBRE]]</f>
        <v>0</v>
      </c>
      <c r="AO158" s="21">
        <f>Programacion[[#This Row],[ENERO]]+Programacion[[#This Row],[FEBRERO]]+Programacion[[#This Row],[MARZO]]+Programacion[[#This Row],[ABRIL]]+Programacion[[#This Row],[MAYO]]+Programacion[[#This Row],[JUNIO]]</f>
        <v>0</v>
      </c>
      <c r="AP15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5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113"/>
    </row>
    <row r="159" spans="1:46" ht="30" x14ac:dyDescent="0.25">
      <c r="A159" s="128" t="s">
        <v>121</v>
      </c>
      <c r="B159" s="144" t="s">
        <v>304</v>
      </c>
      <c r="C159" s="128" t="s">
        <v>261</v>
      </c>
      <c r="D159" s="145" t="s">
        <v>285</v>
      </c>
      <c r="E159" s="146">
        <v>135</v>
      </c>
      <c r="F159" s="147">
        <v>23</v>
      </c>
      <c r="G159" s="129" t="s">
        <v>70</v>
      </c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148">
        <v>8000</v>
      </c>
      <c r="Y159" s="33"/>
      <c r="Z159" s="148">
        <v>8000</v>
      </c>
      <c r="AA159" s="33"/>
      <c r="AB159" s="148">
        <v>8000</v>
      </c>
      <c r="AC159" s="33"/>
      <c r="AD159" s="148">
        <v>8000</v>
      </c>
      <c r="AE159" s="33"/>
      <c r="AF15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59" s="33">
        <f>Programacion[[#This Row],[ENERO]]+Programacion[[#This Row],[FEBRERO]]+Programacion[[#This Row],[MARZO]]</f>
        <v>0</v>
      </c>
      <c r="AH159" s="33">
        <f>Programacion[[#This Row],[DEVENGADO ENERO]]+Programacion[[#This Row],[DEVENGADO FEBRERO]]+Programacion[[#This Row],[DEVENGADO MARZO]]</f>
        <v>0</v>
      </c>
      <c r="AI159" s="33">
        <f>Programacion[[#This Row],[ABRIL]]+Programacion[[#This Row],[MAYO]]+Programacion[[#This Row],[JUNIO]]</f>
        <v>0</v>
      </c>
      <c r="AJ159" s="33">
        <f>Programacion[[#This Row],[DEVENGADO ABRIL]]+Programacion[[#This Row],[DEVENGADO MAYO]]+Programacion[[#This Row],[DEVENGADO JUNIO]]</f>
        <v>0</v>
      </c>
      <c r="AK159" s="33">
        <f>Programacion[[#This Row],[JULIO]]+Programacion[[#This Row],[AGOSTO]]+Programacion[[#This Row],[SEPTIEMBRE]]</f>
        <v>8000</v>
      </c>
      <c r="AL159" s="33">
        <f>Programacion[[#This Row],[DEVENGADO JULIO]]+Programacion[[#This Row],[DEVENGADO AGOSTO]]+Programacion[[#This Row],[DEVENGADO SEPTIEMBRE]]</f>
        <v>0</v>
      </c>
      <c r="AM159" s="33">
        <f>Programacion[[#This Row],[OCTUBRE]]+Programacion[[#This Row],[NOVIEMBRE]]+Programacion[[#This Row],[DICIEMBRE]]</f>
        <v>24000</v>
      </c>
      <c r="AN159" s="21">
        <f>Programacion[[#This Row],[DEVENGADO OCTUBRE]]+Programacion[[#This Row],[DEVENGADO NOVIEMBRE]]+Programacion[[#This Row],[DEVENGADO DICIEMBRE]]</f>
        <v>0</v>
      </c>
      <c r="AO159" s="21">
        <f>Programacion[[#This Row],[ENERO]]+Programacion[[#This Row],[FEBRERO]]+Programacion[[#This Row],[MARZO]]+Programacion[[#This Row],[ABRIL]]+Programacion[[#This Row],[MAYO]]+Programacion[[#This Row],[JUNIO]]</f>
        <v>0</v>
      </c>
      <c r="AP15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21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5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9" s="113"/>
    </row>
    <row r="160" spans="1:46" ht="45" x14ac:dyDescent="0.25">
      <c r="A160" s="128" t="s">
        <v>121</v>
      </c>
      <c r="B160" s="144" t="s">
        <v>305</v>
      </c>
      <c r="C160" s="128" t="s">
        <v>261</v>
      </c>
      <c r="D160" s="145" t="s">
        <v>285</v>
      </c>
      <c r="E160" s="146">
        <v>135</v>
      </c>
      <c r="F160" s="147">
        <v>23</v>
      </c>
      <c r="G160" s="145" t="s">
        <v>57</v>
      </c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148">
        <v>4000</v>
      </c>
      <c r="Y160" s="33"/>
      <c r="Z160" s="148">
        <v>4000</v>
      </c>
      <c r="AA160" s="33"/>
      <c r="AB160" s="148">
        <v>4000</v>
      </c>
      <c r="AC160" s="33"/>
      <c r="AD160" s="148">
        <v>4000</v>
      </c>
      <c r="AE160" s="33"/>
      <c r="AF16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0" s="33">
        <f>Programacion[[#This Row],[ENERO]]+Programacion[[#This Row],[FEBRERO]]+Programacion[[#This Row],[MARZO]]</f>
        <v>0</v>
      </c>
      <c r="AH160" s="33">
        <f>Programacion[[#This Row],[DEVENGADO ENERO]]+Programacion[[#This Row],[DEVENGADO FEBRERO]]+Programacion[[#This Row],[DEVENGADO MARZO]]</f>
        <v>0</v>
      </c>
      <c r="AI160" s="33">
        <f>Programacion[[#This Row],[ABRIL]]+Programacion[[#This Row],[MAYO]]+Programacion[[#This Row],[JUNIO]]</f>
        <v>0</v>
      </c>
      <c r="AJ160" s="33">
        <f>Programacion[[#This Row],[DEVENGADO ABRIL]]+Programacion[[#This Row],[DEVENGADO MAYO]]+Programacion[[#This Row],[DEVENGADO JUNIO]]</f>
        <v>0</v>
      </c>
      <c r="AK160" s="33">
        <f>Programacion[[#This Row],[JULIO]]+Programacion[[#This Row],[AGOSTO]]+Programacion[[#This Row],[SEPTIEMBRE]]</f>
        <v>4000</v>
      </c>
      <c r="AL160" s="33">
        <f>Programacion[[#This Row],[DEVENGADO JULIO]]+Programacion[[#This Row],[DEVENGADO AGOSTO]]+Programacion[[#This Row],[DEVENGADO SEPTIEMBRE]]</f>
        <v>0</v>
      </c>
      <c r="AM160" s="33">
        <f>Programacion[[#This Row],[OCTUBRE]]+Programacion[[#This Row],[NOVIEMBRE]]+Programacion[[#This Row],[DICIEMBRE]]</f>
        <v>12000</v>
      </c>
      <c r="AN160" s="21">
        <f>Programacion[[#This Row],[DEVENGADO OCTUBRE]]+Programacion[[#This Row],[DEVENGADO NOVIEMBRE]]+Programacion[[#This Row],[DEVENGADO DICIEMBRE]]</f>
        <v>0</v>
      </c>
      <c r="AO160" s="21">
        <f>Programacion[[#This Row],[ENERO]]+Programacion[[#This Row],[FEBRERO]]+Programacion[[#This Row],[MARZO]]+Programacion[[#This Row],[ABRIL]]+Programacion[[#This Row],[MAYO]]+Programacion[[#This Row],[JUNIO]]</f>
        <v>0</v>
      </c>
      <c r="AP16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21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113"/>
    </row>
    <row r="161" spans="1:46" ht="45" x14ac:dyDescent="0.25">
      <c r="A161" s="128" t="s">
        <v>121</v>
      </c>
      <c r="B161" s="144" t="s">
        <v>306</v>
      </c>
      <c r="C161" s="128" t="s">
        <v>261</v>
      </c>
      <c r="D161" s="145" t="s">
        <v>48</v>
      </c>
      <c r="E161" s="146">
        <v>39</v>
      </c>
      <c r="F161" s="147">
        <v>23</v>
      </c>
      <c r="G161" s="145" t="s">
        <v>57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148">
        <v>5000</v>
      </c>
      <c r="Y161" s="33"/>
      <c r="Z161" s="148">
        <v>5000</v>
      </c>
      <c r="AA161" s="33"/>
      <c r="AB161" s="148">
        <v>5000</v>
      </c>
      <c r="AC161" s="33"/>
      <c r="AD161" s="148">
        <v>5000</v>
      </c>
      <c r="AE161" s="33"/>
      <c r="AF16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1" s="33">
        <f>Programacion[[#This Row],[ENERO]]+Programacion[[#This Row],[FEBRERO]]+Programacion[[#This Row],[MARZO]]</f>
        <v>0</v>
      </c>
      <c r="AH161" s="33">
        <f>Programacion[[#This Row],[DEVENGADO ENERO]]+Programacion[[#This Row],[DEVENGADO FEBRERO]]+Programacion[[#This Row],[DEVENGADO MARZO]]</f>
        <v>0</v>
      </c>
      <c r="AI161" s="33">
        <f>Programacion[[#This Row],[ABRIL]]+Programacion[[#This Row],[MAYO]]+Programacion[[#This Row],[JUNIO]]</f>
        <v>0</v>
      </c>
      <c r="AJ161" s="33">
        <f>Programacion[[#This Row],[DEVENGADO ABRIL]]+Programacion[[#This Row],[DEVENGADO MAYO]]+Programacion[[#This Row],[DEVENGADO JUNIO]]</f>
        <v>0</v>
      </c>
      <c r="AK161" s="33">
        <f>Programacion[[#This Row],[JULIO]]+Programacion[[#This Row],[AGOSTO]]+Programacion[[#This Row],[SEPTIEMBRE]]</f>
        <v>5000</v>
      </c>
      <c r="AL161" s="33">
        <f>Programacion[[#This Row],[DEVENGADO JULIO]]+Programacion[[#This Row],[DEVENGADO AGOSTO]]+Programacion[[#This Row],[DEVENGADO SEPTIEMBRE]]</f>
        <v>0</v>
      </c>
      <c r="AM161" s="33">
        <f>Programacion[[#This Row],[OCTUBRE]]+Programacion[[#This Row],[NOVIEMBRE]]+Programacion[[#This Row],[DICIEMBRE]]</f>
        <v>15000</v>
      </c>
      <c r="AN161" s="21">
        <f>Programacion[[#This Row],[DEVENGADO OCTUBRE]]+Programacion[[#This Row],[DEVENGADO NOVIEMBRE]]+Programacion[[#This Row],[DEVENGADO DICIEMBRE]]</f>
        <v>0</v>
      </c>
      <c r="AO161" s="21">
        <f>Programacion[[#This Row],[ENERO]]+Programacion[[#This Row],[FEBRERO]]+Programacion[[#This Row],[MARZO]]+Programacion[[#This Row],[ABRIL]]+Programacion[[#This Row],[MAYO]]+Programacion[[#This Row],[JUNIO]]</f>
        <v>0</v>
      </c>
      <c r="AP16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1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1" s="113"/>
    </row>
    <row r="162" spans="1:46" ht="45" x14ac:dyDescent="0.25">
      <c r="A162" s="128" t="s">
        <v>121</v>
      </c>
      <c r="B162" s="144" t="s">
        <v>305</v>
      </c>
      <c r="C162" s="128" t="s">
        <v>261</v>
      </c>
      <c r="D162" s="145" t="s">
        <v>48</v>
      </c>
      <c r="E162" s="146">
        <v>135</v>
      </c>
      <c r="F162" s="147">
        <v>23</v>
      </c>
      <c r="G162" s="145" t="s">
        <v>57</v>
      </c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148">
        <v>4000</v>
      </c>
      <c r="Y162" s="33"/>
      <c r="Z162" s="148">
        <v>4000</v>
      </c>
      <c r="AA162" s="33"/>
      <c r="AB162" s="148">
        <v>4000</v>
      </c>
      <c r="AC162" s="33"/>
      <c r="AD162" s="148">
        <v>4000</v>
      </c>
      <c r="AE162" s="33"/>
      <c r="AF16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62" s="33">
        <f>Programacion[[#This Row],[ENERO]]+Programacion[[#This Row],[FEBRERO]]+Programacion[[#This Row],[MARZO]]</f>
        <v>0</v>
      </c>
      <c r="AH162" s="33">
        <f>Programacion[[#This Row],[DEVENGADO ENERO]]+Programacion[[#This Row],[DEVENGADO FEBRERO]]+Programacion[[#This Row],[DEVENGADO MARZO]]</f>
        <v>0</v>
      </c>
      <c r="AI162" s="33">
        <f>Programacion[[#This Row],[ABRIL]]+Programacion[[#This Row],[MAYO]]+Programacion[[#This Row],[JUNIO]]</f>
        <v>0</v>
      </c>
      <c r="AJ162" s="33">
        <f>Programacion[[#This Row],[DEVENGADO ABRIL]]+Programacion[[#This Row],[DEVENGADO MAYO]]+Programacion[[#This Row],[DEVENGADO JUNIO]]</f>
        <v>0</v>
      </c>
      <c r="AK162" s="33">
        <f>Programacion[[#This Row],[JULIO]]+Programacion[[#This Row],[AGOSTO]]+Programacion[[#This Row],[SEPTIEMBRE]]</f>
        <v>4000</v>
      </c>
      <c r="AL162" s="33">
        <f>Programacion[[#This Row],[DEVENGADO JULIO]]+Programacion[[#This Row],[DEVENGADO AGOSTO]]+Programacion[[#This Row],[DEVENGADO SEPTIEMBRE]]</f>
        <v>0</v>
      </c>
      <c r="AM162" s="33">
        <f>Programacion[[#This Row],[OCTUBRE]]+Programacion[[#This Row],[NOVIEMBRE]]+Programacion[[#This Row],[DICIEMBRE]]</f>
        <v>12000</v>
      </c>
      <c r="AN162" s="21">
        <f>Programacion[[#This Row],[DEVENGADO OCTUBRE]]+Programacion[[#This Row],[DEVENGADO NOVIEMBRE]]+Programacion[[#This Row],[DEVENGADO DICIEMBRE]]</f>
        <v>0</v>
      </c>
      <c r="AO162" s="21">
        <f>Programacion[[#This Row],[ENERO]]+Programacion[[#This Row],[FEBRERO]]+Programacion[[#This Row],[MARZO]]+Programacion[[#This Row],[ABRIL]]+Programacion[[#This Row],[MAYO]]+Programacion[[#This Row],[JUNIO]]</f>
        <v>0</v>
      </c>
      <c r="AP16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21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6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3"/>
    </row>
    <row r="163" spans="1:46" ht="30" x14ac:dyDescent="0.25">
      <c r="A163" s="128" t="s">
        <v>121</v>
      </c>
      <c r="B163" s="144" t="s">
        <v>307</v>
      </c>
      <c r="C163" s="128" t="s">
        <v>261</v>
      </c>
      <c r="D163" s="145" t="s">
        <v>285</v>
      </c>
      <c r="E163" s="146">
        <v>135</v>
      </c>
      <c r="F163" s="147">
        <v>23</v>
      </c>
      <c r="G163" s="129" t="s">
        <v>70</v>
      </c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148">
        <v>6000</v>
      </c>
      <c r="Y163" s="33"/>
      <c r="Z163" s="148">
        <v>6000</v>
      </c>
      <c r="AA163" s="33"/>
      <c r="AB163" s="148">
        <v>6000</v>
      </c>
      <c r="AC163" s="33"/>
      <c r="AD163" s="148">
        <v>6000</v>
      </c>
      <c r="AE163" s="33"/>
      <c r="AF1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63" s="33">
        <f>Programacion[[#This Row],[ENERO]]+Programacion[[#This Row],[FEBRERO]]+Programacion[[#This Row],[MARZO]]</f>
        <v>0</v>
      </c>
      <c r="AH163" s="33">
        <f>Programacion[[#This Row],[DEVENGADO ENERO]]+Programacion[[#This Row],[DEVENGADO FEBRERO]]+Programacion[[#This Row],[DEVENGADO MARZO]]</f>
        <v>0</v>
      </c>
      <c r="AI163" s="33">
        <f>Programacion[[#This Row],[ABRIL]]+Programacion[[#This Row],[MAYO]]+Programacion[[#This Row],[JUNIO]]</f>
        <v>0</v>
      </c>
      <c r="AJ163" s="33">
        <f>Programacion[[#This Row],[DEVENGADO ABRIL]]+Programacion[[#This Row],[DEVENGADO MAYO]]+Programacion[[#This Row],[DEVENGADO JUNIO]]</f>
        <v>0</v>
      </c>
      <c r="AK163" s="33">
        <f>Programacion[[#This Row],[JULIO]]+Programacion[[#This Row],[AGOSTO]]+Programacion[[#This Row],[SEPTIEMBRE]]</f>
        <v>6000</v>
      </c>
      <c r="AL163" s="33">
        <f>Programacion[[#This Row],[DEVENGADO JULIO]]+Programacion[[#This Row],[DEVENGADO AGOSTO]]+Programacion[[#This Row],[DEVENGADO SEPTIEMBRE]]</f>
        <v>0</v>
      </c>
      <c r="AM163" s="33">
        <f>Programacion[[#This Row],[OCTUBRE]]+Programacion[[#This Row],[NOVIEMBRE]]+Programacion[[#This Row],[DICIEMBRE]]</f>
        <v>18000</v>
      </c>
      <c r="AN163" s="21">
        <f>Programacion[[#This Row],[DEVENGADO OCTUBRE]]+Programacion[[#This Row],[DEVENGADO NOVIEMBRE]]+Programacion[[#This Row],[DEVENGADO DICIEMBRE]]</f>
        <v>0</v>
      </c>
      <c r="AO163" s="21">
        <f>Programacion[[#This Row],[ENERO]]+Programacion[[#This Row],[FEBRERO]]+Programacion[[#This Row],[MARZO]]+Programacion[[#This Row],[ABRIL]]+Programacion[[#This Row],[MAYO]]+Programacion[[#This Row],[JUNIO]]</f>
        <v>0</v>
      </c>
      <c r="AP1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3"/>
    </row>
    <row r="164" spans="1:46" ht="30" x14ac:dyDescent="0.25">
      <c r="A164" s="128" t="s">
        <v>121</v>
      </c>
      <c r="B164" s="144" t="s">
        <v>308</v>
      </c>
      <c r="C164" s="128" t="s">
        <v>261</v>
      </c>
      <c r="D164" s="145" t="s">
        <v>285</v>
      </c>
      <c r="E164" s="146">
        <v>135</v>
      </c>
      <c r="F164" s="147">
        <v>23</v>
      </c>
      <c r="G164" s="129" t="s">
        <v>70</v>
      </c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148">
        <v>5000</v>
      </c>
      <c r="Y164" s="33"/>
      <c r="Z164" s="148">
        <v>5000</v>
      </c>
      <c r="AA164" s="33"/>
      <c r="AB164" s="148">
        <v>5000</v>
      </c>
      <c r="AC164" s="33"/>
      <c r="AD164" s="148">
        <v>5000</v>
      </c>
      <c r="AE164" s="33"/>
      <c r="AF16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4" s="33">
        <f>Programacion[[#This Row],[ENERO]]+Programacion[[#This Row],[FEBRERO]]+Programacion[[#This Row],[MARZO]]</f>
        <v>0</v>
      </c>
      <c r="AH164" s="33">
        <f>Programacion[[#This Row],[DEVENGADO ENERO]]+Programacion[[#This Row],[DEVENGADO FEBRERO]]+Programacion[[#This Row],[DEVENGADO MARZO]]</f>
        <v>0</v>
      </c>
      <c r="AI164" s="33">
        <f>Programacion[[#This Row],[ABRIL]]+Programacion[[#This Row],[MAYO]]+Programacion[[#This Row],[JUNIO]]</f>
        <v>0</v>
      </c>
      <c r="AJ164" s="33">
        <f>Programacion[[#This Row],[DEVENGADO ABRIL]]+Programacion[[#This Row],[DEVENGADO MAYO]]+Programacion[[#This Row],[DEVENGADO JUNIO]]</f>
        <v>0</v>
      </c>
      <c r="AK164" s="33">
        <f>Programacion[[#This Row],[JULIO]]+Programacion[[#This Row],[AGOSTO]]+Programacion[[#This Row],[SEPTIEMBRE]]</f>
        <v>5000</v>
      </c>
      <c r="AL164" s="33">
        <f>Programacion[[#This Row],[DEVENGADO JULIO]]+Programacion[[#This Row],[DEVENGADO AGOSTO]]+Programacion[[#This Row],[DEVENGADO SEPTIEMBRE]]</f>
        <v>0</v>
      </c>
      <c r="AM164" s="33">
        <f>Programacion[[#This Row],[OCTUBRE]]+Programacion[[#This Row],[NOVIEMBRE]]+Programacion[[#This Row],[DICIEMBRE]]</f>
        <v>15000</v>
      </c>
      <c r="AN164" s="21">
        <f>Programacion[[#This Row],[DEVENGADO OCTUBRE]]+Programacion[[#This Row],[DEVENGADO NOVIEMBRE]]+Programacion[[#This Row],[DEVENGADO DICIEMBRE]]</f>
        <v>0</v>
      </c>
      <c r="AO164" s="21">
        <f>Programacion[[#This Row],[ENERO]]+Programacion[[#This Row],[FEBRERO]]+Programacion[[#This Row],[MARZO]]+Programacion[[#This Row],[ABRIL]]+Programacion[[#This Row],[MAYO]]+Programacion[[#This Row],[JUNIO]]</f>
        <v>0</v>
      </c>
      <c r="AP16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6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4" s="113"/>
    </row>
    <row r="165" spans="1:46" x14ac:dyDescent="0.25">
      <c r="A165" s="54" t="s">
        <v>133</v>
      </c>
      <c r="B165" s="55" t="s">
        <v>111</v>
      </c>
      <c r="C165" s="54" t="s">
        <v>56</v>
      </c>
      <c r="D165" s="56" t="s">
        <v>48</v>
      </c>
      <c r="E165" s="57">
        <v>64</v>
      </c>
      <c r="F165" s="58">
        <v>2.2999999999999998</v>
      </c>
      <c r="G165" s="56" t="s">
        <v>70</v>
      </c>
      <c r="H165" s="59"/>
      <c r="I165" s="59"/>
      <c r="J165" s="59"/>
      <c r="K165" s="59"/>
      <c r="L165" s="59">
        <v>10000</v>
      </c>
      <c r="M165" s="59">
        <v>10000</v>
      </c>
      <c r="N165" s="59">
        <v>5000</v>
      </c>
      <c r="O165" s="59">
        <v>5000</v>
      </c>
      <c r="P165" s="59">
        <v>5000</v>
      </c>
      <c r="Q165" s="59">
        <v>5000</v>
      </c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65" s="19">
        <f>Programacion[[#This Row],[ENERO]]+Programacion[[#This Row],[FEBRERO]]+Programacion[[#This Row],[MARZO]]</f>
        <v>10000</v>
      </c>
      <c r="AH165" s="19">
        <f>Programacion[[#This Row],[DEVENGADO ENERO]]+Programacion[[#This Row],[DEVENGADO FEBRERO]]+Programacion[[#This Row],[DEVENGADO MARZO]]</f>
        <v>10000</v>
      </c>
      <c r="AI165" s="19">
        <f>Programacion[[#This Row],[ABRIL]]+Programacion[[#This Row],[MAYO]]+Programacion[[#This Row],[JUNIO]]</f>
        <v>10000</v>
      </c>
      <c r="AJ165" s="19">
        <f>Programacion[[#This Row],[DEVENGADO ABRIL]]+Programacion[[#This Row],[DEVENGADO MAYO]]+Programacion[[#This Row],[DEVENGADO JUNIO]]</f>
        <v>10000</v>
      </c>
      <c r="AK165" s="19">
        <f>Programacion[[#This Row],[JULIO]]+Programacion[[#This Row],[AGOSTO]]+Programacion[[#This Row],[SEPTIEMBRE]]</f>
        <v>0</v>
      </c>
      <c r="AL165" s="19">
        <f>Programacion[[#This Row],[DEVENGADO JULIO]]+Programacion[[#This Row],[DEVENGADO AGOSTO]]+Programacion[[#This Row],[DEVENGADO SEPTIEMBRE]]</f>
        <v>0</v>
      </c>
      <c r="AM165" s="19">
        <f>Programacion[[#This Row],[OCTUBRE]]+Programacion[[#This Row],[NOVIEMBRE]]+Programacion[[#This Row],[DICIEMBRE]]</f>
        <v>0</v>
      </c>
      <c r="AN165" s="20">
        <f>Programacion[[#This Row],[DEVENGADO OCTUBRE]]+Programacion[[#This Row],[DEVENGADO NOVIEMBRE]]+Programacion[[#This Row],[DEVENGADO DICIEMBRE]]</f>
        <v>0</v>
      </c>
      <c r="AO165" s="20">
        <f>Programacion[[#This Row],[ENERO]]+Programacion[[#This Row],[FEBRERO]]+Programacion[[#This Row],[MARZO]]+Programacion[[#This Row],[ABRIL]]+Programacion[[#This Row],[MAYO]]+Programacion[[#This Row],[JUNIO]]</f>
        <v>20000</v>
      </c>
      <c r="AP1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65" s="113"/>
    </row>
    <row r="166" spans="1:46" x14ac:dyDescent="0.25">
      <c r="A166" s="54" t="s">
        <v>133</v>
      </c>
      <c r="B166" s="55" t="s">
        <v>134</v>
      </c>
      <c r="C166" s="54" t="s">
        <v>56</v>
      </c>
      <c r="D166" s="56" t="s">
        <v>48</v>
      </c>
      <c r="E166" s="57">
        <v>64</v>
      </c>
      <c r="F166" s="58">
        <v>2.2999999999999998</v>
      </c>
      <c r="G166" s="56" t="s">
        <v>70</v>
      </c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>
        <v>5000</v>
      </c>
      <c r="S166" s="59">
        <v>5000</v>
      </c>
      <c r="T166" s="59">
        <v>5000</v>
      </c>
      <c r="U166" s="59">
        <v>5000</v>
      </c>
      <c r="V166" s="59">
        <v>5000</v>
      </c>
      <c r="W166" s="59">
        <v>5000</v>
      </c>
      <c r="X166" s="59">
        <v>5000</v>
      </c>
      <c r="Y166" s="59"/>
      <c r="Z166" s="59">
        <v>5000</v>
      </c>
      <c r="AA166" s="59"/>
      <c r="AB166" s="59">
        <v>5000</v>
      </c>
      <c r="AC166" s="59"/>
      <c r="AD166" s="59">
        <v>5000</v>
      </c>
      <c r="AE166" s="59"/>
      <c r="AF1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66" s="19">
        <f>Programacion[[#This Row],[ENERO]]+Programacion[[#This Row],[FEBRERO]]+Programacion[[#This Row],[MARZO]]</f>
        <v>0</v>
      </c>
      <c r="AH166" s="19">
        <f>Programacion[[#This Row],[DEVENGADO ENERO]]+Programacion[[#This Row],[DEVENGADO FEBRERO]]+Programacion[[#This Row],[DEVENGADO MARZO]]</f>
        <v>0</v>
      </c>
      <c r="AI166" s="19">
        <f>Programacion[[#This Row],[ABRIL]]+Programacion[[#This Row],[MAYO]]+Programacion[[#This Row],[JUNIO]]</f>
        <v>5000</v>
      </c>
      <c r="AJ166" s="19">
        <f>Programacion[[#This Row],[DEVENGADO ABRIL]]+Programacion[[#This Row],[DEVENGADO MAYO]]+Programacion[[#This Row],[DEVENGADO JUNIO]]</f>
        <v>5000</v>
      </c>
      <c r="AK166" s="19">
        <f>Programacion[[#This Row],[JULIO]]+Programacion[[#This Row],[AGOSTO]]+Programacion[[#This Row],[SEPTIEMBRE]]</f>
        <v>15000</v>
      </c>
      <c r="AL166" s="19">
        <f>Programacion[[#This Row],[DEVENGADO JULIO]]+Programacion[[#This Row],[DEVENGADO AGOSTO]]+Programacion[[#This Row],[DEVENGADO SEPTIEMBRE]]</f>
        <v>10000</v>
      </c>
      <c r="AM166" s="19">
        <f>Programacion[[#This Row],[OCTUBRE]]+Programacion[[#This Row],[NOVIEMBRE]]+Programacion[[#This Row],[DICIEMBRE]]</f>
        <v>15000</v>
      </c>
      <c r="AN166" s="20">
        <f>Programacion[[#This Row],[DEVENGADO OCTUBRE]]+Programacion[[#This Row],[DEVENGADO NOVIEMBRE]]+Programacion[[#This Row],[DEVENGADO DICIEMBRE]]</f>
        <v>0</v>
      </c>
      <c r="AO166" s="20">
        <f>Programacion[[#This Row],[ENERO]]+Programacion[[#This Row],[FEBRERO]]+Programacion[[#This Row],[MARZO]]+Programacion[[#This Row],[ABRIL]]+Programacion[[#This Row],[MAYO]]+Programacion[[#This Row],[JUNIO]]</f>
        <v>5000</v>
      </c>
      <c r="AP1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6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6" s="113"/>
    </row>
    <row r="167" spans="1:46" x14ac:dyDescent="0.25">
      <c r="A167" s="54" t="s">
        <v>133</v>
      </c>
      <c r="B167" s="27" t="s">
        <v>84</v>
      </c>
      <c r="C167" s="28" t="s">
        <v>47</v>
      </c>
      <c r="D167" s="28" t="s">
        <v>48</v>
      </c>
      <c r="E167" s="29">
        <v>39</v>
      </c>
      <c r="F167" s="30">
        <v>2.2999999999999998</v>
      </c>
      <c r="G167" s="28" t="s">
        <v>85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>
        <v>1200</v>
      </c>
      <c r="W167" s="33">
        <v>1200</v>
      </c>
      <c r="X167" s="33"/>
      <c r="Y167" s="33"/>
      <c r="Z167" s="33"/>
      <c r="AA167" s="33"/>
      <c r="AB167" s="33"/>
      <c r="AC167" s="33"/>
      <c r="AD167" s="33"/>
      <c r="AE167" s="33"/>
      <c r="AF16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67" s="33">
        <f>Programacion[[#This Row],[ENERO]]+Programacion[[#This Row],[FEBRERO]]+Programacion[[#This Row],[MARZO]]</f>
        <v>0</v>
      </c>
      <c r="AH167" s="33">
        <f>Programacion[[#This Row],[DEVENGADO ENERO]]+Programacion[[#This Row],[DEVENGADO FEBRERO]]+Programacion[[#This Row],[DEVENGADO MARZO]]</f>
        <v>0</v>
      </c>
      <c r="AI167" s="33">
        <f>Programacion[[#This Row],[ABRIL]]+Programacion[[#This Row],[MAYO]]+Programacion[[#This Row],[JUNIO]]</f>
        <v>0</v>
      </c>
      <c r="AJ167" s="33">
        <f>Programacion[[#This Row],[DEVENGADO ABRIL]]+Programacion[[#This Row],[DEVENGADO MAYO]]+Programacion[[#This Row],[DEVENGADO JUNIO]]</f>
        <v>0</v>
      </c>
      <c r="AK167" s="33">
        <f>Programacion[[#This Row],[JULIO]]+Programacion[[#This Row],[AGOSTO]]+Programacion[[#This Row],[SEPTIEMBRE]]</f>
        <v>1200</v>
      </c>
      <c r="AL167" s="33">
        <f>Programacion[[#This Row],[DEVENGADO JULIO]]+Programacion[[#This Row],[DEVENGADO AGOSTO]]+Programacion[[#This Row],[DEVENGADO SEPTIEMBRE]]</f>
        <v>1200</v>
      </c>
      <c r="AM167" s="33">
        <f>Programacion[[#This Row],[OCTUBRE]]+Programacion[[#This Row],[NOVIEMBRE]]+Programacion[[#This Row],[DICIEMBRE]]</f>
        <v>0</v>
      </c>
      <c r="AN167" s="21">
        <f>Programacion[[#This Row],[DEVENGADO OCTUBRE]]+Programacion[[#This Row],[DEVENGADO NOVIEMBRE]]+Programacion[[#This Row],[DEVENGADO DICIEMBRE]]</f>
        <v>0</v>
      </c>
      <c r="AO167" s="21">
        <f>Programacion[[#This Row],[ENERO]]+Programacion[[#This Row],[FEBRERO]]+Programacion[[#This Row],[MARZO]]+Programacion[[#This Row],[ABRIL]]+Programacion[[#This Row],[MAYO]]+Programacion[[#This Row],[JUNIO]]</f>
        <v>0</v>
      </c>
      <c r="AP16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6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6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67" s="113"/>
    </row>
    <row r="168" spans="1:46" ht="30" x14ac:dyDescent="0.25">
      <c r="A168" s="54" t="s">
        <v>133</v>
      </c>
      <c r="B168" s="55" t="s">
        <v>46</v>
      </c>
      <c r="C168" s="54" t="s">
        <v>47</v>
      </c>
      <c r="D168" s="56" t="s">
        <v>48</v>
      </c>
      <c r="E168" s="57">
        <v>39</v>
      </c>
      <c r="F168" s="58">
        <v>2.2999999999999998</v>
      </c>
      <c r="G168" s="56" t="s">
        <v>49</v>
      </c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>
        <v>2000</v>
      </c>
      <c r="S168" s="59">
        <v>2000</v>
      </c>
      <c r="T168" s="59"/>
      <c r="U168" s="59"/>
      <c r="V168" s="59">
        <v>2200</v>
      </c>
      <c r="W168" s="59">
        <v>2200</v>
      </c>
      <c r="X168" s="59"/>
      <c r="Y168" s="59"/>
      <c r="Z168" s="59"/>
      <c r="AA168" s="59"/>
      <c r="AB168" s="59"/>
      <c r="AC168" s="59"/>
      <c r="AD168" s="59"/>
      <c r="AE168" s="59"/>
      <c r="AF1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68" s="19">
        <f>Programacion[[#This Row],[ENERO]]+Programacion[[#This Row],[FEBRERO]]+Programacion[[#This Row],[MARZO]]</f>
        <v>0</v>
      </c>
      <c r="AH168" s="19">
        <f>Programacion[[#This Row],[DEVENGADO ENERO]]+Programacion[[#This Row],[DEVENGADO FEBRERO]]+Programacion[[#This Row],[DEVENGADO MARZO]]</f>
        <v>0</v>
      </c>
      <c r="AI168" s="19">
        <f>Programacion[[#This Row],[ABRIL]]+Programacion[[#This Row],[MAYO]]+Programacion[[#This Row],[JUNIO]]</f>
        <v>2000</v>
      </c>
      <c r="AJ168" s="19">
        <f>Programacion[[#This Row],[DEVENGADO ABRIL]]+Programacion[[#This Row],[DEVENGADO MAYO]]+Programacion[[#This Row],[DEVENGADO JUNIO]]</f>
        <v>2000</v>
      </c>
      <c r="AK168" s="19">
        <f>Programacion[[#This Row],[JULIO]]+Programacion[[#This Row],[AGOSTO]]+Programacion[[#This Row],[SEPTIEMBRE]]</f>
        <v>2200</v>
      </c>
      <c r="AL168" s="19">
        <f>Programacion[[#This Row],[DEVENGADO JULIO]]+Programacion[[#This Row],[DEVENGADO AGOSTO]]+Programacion[[#This Row],[DEVENGADO SEPTIEMBRE]]</f>
        <v>2200</v>
      </c>
      <c r="AM168" s="19">
        <f>Programacion[[#This Row],[OCTUBRE]]+Programacion[[#This Row],[NOVIEMBRE]]+Programacion[[#This Row],[DICIEMBRE]]</f>
        <v>0</v>
      </c>
      <c r="AN168" s="20">
        <f>Programacion[[#This Row],[DEVENGADO OCTUBRE]]+Programacion[[#This Row],[DEVENGADO NOVIEMBRE]]+Programacion[[#This Row],[DEVENGADO DICIEMBRE]]</f>
        <v>0</v>
      </c>
      <c r="AO168" s="20">
        <f>Programacion[[#This Row],[ENERO]]+Programacion[[#This Row],[FEBRERO]]+Programacion[[#This Row],[MARZO]]+Programacion[[#This Row],[ABRIL]]+Programacion[[#This Row],[MAYO]]+Programacion[[#This Row],[JUNIO]]</f>
        <v>2000</v>
      </c>
      <c r="AP1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68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68" s="113"/>
    </row>
    <row r="169" spans="1:46" x14ac:dyDescent="0.25">
      <c r="A169" s="54" t="s">
        <v>133</v>
      </c>
      <c r="B169" s="55" t="s">
        <v>50</v>
      </c>
      <c r="C169" s="54" t="s">
        <v>47</v>
      </c>
      <c r="D169" s="56" t="s">
        <v>48</v>
      </c>
      <c r="E169" s="57">
        <v>39</v>
      </c>
      <c r="F169" s="58">
        <v>2.2999999999999998</v>
      </c>
      <c r="G169" s="56" t="s">
        <v>51</v>
      </c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>
        <v>1080</v>
      </c>
      <c r="S169" s="59">
        <v>1080</v>
      </c>
      <c r="T169" s="59"/>
      <c r="U169" s="59"/>
      <c r="V169" s="59">
        <v>4000</v>
      </c>
      <c r="W169" s="59">
        <v>4000</v>
      </c>
      <c r="X169" s="59"/>
      <c r="Y169" s="59"/>
      <c r="Z169" s="59"/>
      <c r="AA169" s="59"/>
      <c r="AB169" s="59"/>
      <c r="AC169" s="59"/>
      <c r="AD169" s="59"/>
      <c r="AE169" s="59"/>
      <c r="AF1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69" s="19">
        <f>Programacion[[#This Row],[ENERO]]+Programacion[[#This Row],[FEBRERO]]+Programacion[[#This Row],[MARZO]]</f>
        <v>0</v>
      </c>
      <c r="AH169" s="19">
        <f>Programacion[[#This Row],[DEVENGADO ENERO]]+Programacion[[#This Row],[DEVENGADO FEBRERO]]+Programacion[[#This Row],[DEVENGADO MARZO]]</f>
        <v>0</v>
      </c>
      <c r="AI169" s="19">
        <f>Programacion[[#This Row],[ABRIL]]+Programacion[[#This Row],[MAYO]]+Programacion[[#This Row],[JUNIO]]</f>
        <v>1080</v>
      </c>
      <c r="AJ169" s="19">
        <f>Programacion[[#This Row],[DEVENGADO ABRIL]]+Programacion[[#This Row],[DEVENGADO MAYO]]+Programacion[[#This Row],[DEVENGADO JUNIO]]</f>
        <v>1080</v>
      </c>
      <c r="AK169" s="19">
        <f>Programacion[[#This Row],[JULIO]]+Programacion[[#This Row],[AGOSTO]]+Programacion[[#This Row],[SEPTIEMBRE]]</f>
        <v>4000</v>
      </c>
      <c r="AL169" s="19">
        <f>Programacion[[#This Row],[DEVENGADO JULIO]]+Programacion[[#This Row],[DEVENGADO AGOSTO]]+Programacion[[#This Row],[DEVENGADO SEPTIEMBRE]]</f>
        <v>4000</v>
      </c>
      <c r="AM169" s="19">
        <f>Programacion[[#This Row],[OCTUBRE]]+Programacion[[#This Row],[NOVIEMBRE]]+Programacion[[#This Row],[DICIEMBRE]]</f>
        <v>0</v>
      </c>
      <c r="AN169" s="20">
        <f>Programacion[[#This Row],[DEVENGADO OCTUBRE]]+Programacion[[#This Row],[DEVENGADO NOVIEMBRE]]+Programacion[[#This Row],[DEVENGADO DICIEMBRE]]</f>
        <v>0</v>
      </c>
      <c r="AO169" s="20">
        <f>Programacion[[#This Row],[ENERO]]+Programacion[[#This Row],[FEBRERO]]+Programacion[[#This Row],[MARZO]]+Programacion[[#This Row],[ABRIL]]+Programacion[[#This Row],[MAYO]]+Programacion[[#This Row],[JUNIO]]</f>
        <v>1080</v>
      </c>
      <c r="AP1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69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69" s="113"/>
    </row>
    <row r="170" spans="1:46" ht="30" x14ac:dyDescent="0.25">
      <c r="A170" s="54" t="s">
        <v>133</v>
      </c>
      <c r="B170" s="55" t="s">
        <v>135</v>
      </c>
      <c r="C170" s="54" t="s">
        <v>73</v>
      </c>
      <c r="D170" s="56" t="s">
        <v>48</v>
      </c>
      <c r="E170" s="57">
        <v>39</v>
      </c>
      <c r="F170" s="58">
        <v>2.2999999999999998</v>
      </c>
      <c r="G170" s="56" t="s">
        <v>74</v>
      </c>
      <c r="H170" s="59"/>
      <c r="I170" s="59"/>
      <c r="J170" s="59"/>
      <c r="K170" s="59"/>
      <c r="L170" s="59">
        <v>1680</v>
      </c>
      <c r="M170" s="59">
        <v>1680</v>
      </c>
      <c r="N170" s="59">
        <v>1724.8</v>
      </c>
      <c r="O170" s="59">
        <v>1724.8</v>
      </c>
      <c r="P170" s="59"/>
      <c r="Q170" s="59"/>
      <c r="R170" s="59">
        <v>3460.8</v>
      </c>
      <c r="S170" s="59">
        <v>3460.8</v>
      </c>
      <c r="T170" s="59">
        <v>1730.4</v>
      </c>
      <c r="U170" s="59">
        <v>1730.4</v>
      </c>
      <c r="V170" s="59">
        <v>1730.4</v>
      </c>
      <c r="W170" s="59">
        <v>1730.4</v>
      </c>
      <c r="X170" s="59">
        <v>1730.4</v>
      </c>
      <c r="Y170" s="59"/>
      <c r="Z170" s="59">
        <v>1730.4</v>
      </c>
      <c r="AA170" s="59"/>
      <c r="AB170" s="59">
        <v>1730.4</v>
      </c>
      <c r="AC170" s="59"/>
      <c r="AD170" s="59">
        <v>1730.4</v>
      </c>
      <c r="AE170" s="59"/>
      <c r="AF1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70" s="19">
        <f>Programacion[[#This Row],[ENERO]]+Programacion[[#This Row],[FEBRERO]]+Programacion[[#This Row],[MARZO]]</f>
        <v>1680</v>
      </c>
      <c r="AH170" s="19">
        <f>Programacion[[#This Row],[DEVENGADO ENERO]]+Programacion[[#This Row],[DEVENGADO FEBRERO]]+Programacion[[#This Row],[DEVENGADO MARZO]]</f>
        <v>1680</v>
      </c>
      <c r="AI170" s="19">
        <f>Programacion[[#This Row],[ABRIL]]+Programacion[[#This Row],[MAYO]]+Programacion[[#This Row],[JUNIO]]</f>
        <v>5185.6000000000004</v>
      </c>
      <c r="AJ170" s="19">
        <f>Programacion[[#This Row],[DEVENGADO ABRIL]]+Programacion[[#This Row],[DEVENGADO MAYO]]+Programacion[[#This Row],[DEVENGADO JUNIO]]</f>
        <v>5185.6000000000004</v>
      </c>
      <c r="AK170" s="19">
        <f>Programacion[[#This Row],[JULIO]]+Programacion[[#This Row],[AGOSTO]]+Programacion[[#This Row],[SEPTIEMBRE]]</f>
        <v>5191.2000000000007</v>
      </c>
      <c r="AL170" s="19">
        <f>Programacion[[#This Row],[DEVENGADO JULIO]]+Programacion[[#This Row],[DEVENGADO AGOSTO]]+Programacion[[#This Row],[DEVENGADO SEPTIEMBRE]]</f>
        <v>3460.8</v>
      </c>
      <c r="AM170" s="19">
        <f>Programacion[[#This Row],[OCTUBRE]]+Programacion[[#This Row],[NOVIEMBRE]]+Programacion[[#This Row],[DICIEMBRE]]</f>
        <v>5191.2000000000007</v>
      </c>
      <c r="AN170" s="20">
        <f>Programacion[[#This Row],[DEVENGADO OCTUBRE]]+Programacion[[#This Row],[DEVENGADO NOVIEMBRE]]+Programacion[[#This Row],[DEVENGADO DICIEMBRE]]</f>
        <v>0</v>
      </c>
      <c r="AO170" s="20">
        <f>Programacion[[#This Row],[ENERO]]+Programacion[[#This Row],[FEBRERO]]+Programacion[[#This Row],[MARZO]]+Programacion[[#This Row],[ABRIL]]+Programacion[[#This Row],[MAYO]]+Programacion[[#This Row],[JUNIO]]</f>
        <v>6865.6</v>
      </c>
      <c r="AP1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70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70" s="113"/>
    </row>
    <row r="171" spans="1:46" ht="30" x14ac:dyDescent="0.25">
      <c r="A171" s="54" t="s">
        <v>133</v>
      </c>
      <c r="B171" s="55" t="s">
        <v>136</v>
      </c>
      <c r="C171" s="54" t="s">
        <v>73</v>
      </c>
      <c r="D171" s="56" t="s">
        <v>48</v>
      </c>
      <c r="E171" s="57">
        <v>39</v>
      </c>
      <c r="F171" s="58">
        <v>2.2999999999999998</v>
      </c>
      <c r="G171" s="56" t="s">
        <v>74</v>
      </c>
      <c r="H171" s="59">
        <v>810</v>
      </c>
      <c r="I171" s="59">
        <v>810</v>
      </c>
      <c r="J171" s="59">
        <v>810</v>
      </c>
      <c r="K171" s="59">
        <v>810</v>
      </c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1" s="19">
        <f>Programacion[[#This Row],[ENERO]]+Programacion[[#This Row],[FEBRERO]]+Programacion[[#This Row],[MARZO]]</f>
        <v>1620</v>
      </c>
      <c r="AH171" s="19">
        <f>Programacion[[#This Row],[DEVENGADO ENERO]]+Programacion[[#This Row],[DEVENGADO FEBRERO]]+Programacion[[#This Row],[DEVENGADO MARZO]]</f>
        <v>1620</v>
      </c>
      <c r="AI171" s="19">
        <f>Programacion[[#This Row],[ABRIL]]+Programacion[[#This Row],[MAYO]]+Programacion[[#This Row],[JUNIO]]</f>
        <v>0</v>
      </c>
      <c r="AJ171" s="19">
        <f>Programacion[[#This Row],[DEVENGADO ABRIL]]+Programacion[[#This Row],[DEVENGADO MAYO]]+Programacion[[#This Row],[DEVENGADO JUNIO]]</f>
        <v>0</v>
      </c>
      <c r="AK171" s="19">
        <f>Programacion[[#This Row],[JULIO]]+Programacion[[#This Row],[AGOSTO]]+Programacion[[#This Row],[SEPTIEMBRE]]</f>
        <v>0</v>
      </c>
      <c r="AL171" s="19">
        <f>Programacion[[#This Row],[DEVENGADO JULIO]]+Programacion[[#This Row],[DEVENGADO AGOSTO]]+Programacion[[#This Row],[DEVENGADO SEPTIEMBRE]]</f>
        <v>0</v>
      </c>
      <c r="AM171" s="19">
        <f>Programacion[[#This Row],[OCTUBRE]]+Programacion[[#This Row],[NOVIEMBRE]]+Programacion[[#This Row],[DICIEMBRE]]</f>
        <v>0</v>
      </c>
      <c r="AN171" s="20">
        <f>Programacion[[#This Row],[DEVENGADO OCTUBRE]]+Programacion[[#This Row],[DEVENGADO NOVIEMBRE]]+Programacion[[#This Row],[DEVENGADO DICIEMBRE]]</f>
        <v>0</v>
      </c>
      <c r="AO171" s="20">
        <f>Programacion[[#This Row],[ENERO]]+Programacion[[#This Row],[FEBRERO]]+Programacion[[#This Row],[MARZO]]+Programacion[[#This Row],[ABRIL]]+Programacion[[#This Row],[MAYO]]+Programacion[[#This Row],[JUNIO]]</f>
        <v>1620</v>
      </c>
      <c r="AP1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7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1" s="113"/>
    </row>
    <row r="172" spans="1:46" ht="30" x14ac:dyDescent="0.25">
      <c r="A172" s="54" t="s">
        <v>133</v>
      </c>
      <c r="B172" s="55" t="s">
        <v>137</v>
      </c>
      <c r="C172" s="54" t="s">
        <v>56</v>
      </c>
      <c r="D172" s="56" t="s">
        <v>48</v>
      </c>
      <c r="E172" s="57">
        <v>3</v>
      </c>
      <c r="F172" s="58">
        <v>2.2999999999999998</v>
      </c>
      <c r="G172" s="56" t="s">
        <v>70</v>
      </c>
      <c r="H172" s="59"/>
      <c r="I172" s="59"/>
      <c r="J172" s="59"/>
      <c r="K172" s="59"/>
      <c r="L172" s="59">
        <v>10000</v>
      </c>
      <c r="M172" s="59">
        <v>10000</v>
      </c>
      <c r="N172" s="59">
        <v>5000</v>
      </c>
      <c r="O172" s="59">
        <v>5000</v>
      </c>
      <c r="P172" s="59">
        <v>5000</v>
      </c>
      <c r="Q172" s="59">
        <v>5000</v>
      </c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9">
        <f>Programacion[[#This Row],[ENERO]]+Programacion[[#This Row],[FEBRERO]]+Programacion[[#This Row],[MARZO]]</f>
        <v>10000</v>
      </c>
      <c r="AH172" s="19">
        <f>Programacion[[#This Row],[DEVENGADO ENERO]]+Programacion[[#This Row],[DEVENGADO FEBRERO]]+Programacion[[#This Row],[DEVENGADO MARZO]]</f>
        <v>10000</v>
      </c>
      <c r="AI172" s="19">
        <f>Programacion[[#This Row],[ABRIL]]+Programacion[[#This Row],[MAYO]]+Programacion[[#This Row],[JUNIO]]</f>
        <v>10000</v>
      </c>
      <c r="AJ172" s="19">
        <f>Programacion[[#This Row],[DEVENGADO ABRIL]]+Programacion[[#This Row],[DEVENGADO MAYO]]+Programacion[[#This Row],[DEVENGADO JUNIO]]</f>
        <v>10000</v>
      </c>
      <c r="AK172" s="19">
        <f>Programacion[[#This Row],[JULIO]]+Programacion[[#This Row],[AGOSTO]]+Programacion[[#This Row],[SEPTIEMBRE]]</f>
        <v>0</v>
      </c>
      <c r="AL172" s="19">
        <f>Programacion[[#This Row],[DEVENGADO JULIO]]+Programacion[[#This Row],[DEVENGADO AGOSTO]]+Programacion[[#This Row],[DEVENGADO SEPTIEMBRE]]</f>
        <v>0</v>
      </c>
      <c r="AM172" s="19">
        <f>Programacion[[#This Row],[OCTUBRE]]+Programacion[[#This Row],[NOVIEMBRE]]+Programacion[[#This Row],[DICIEMBRE]]</f>
        <v>0</v>
      </c>
      <c r="AN172" s="20">
        <f>Programacion[[#This Row],[DEVENGADO OCTUBRE]]+Programacion[[#This Row],[DEVENGADO NOVIEMBRE]]+Programacion[[#This Row],[DEVENGADO DICIEMBRE]]</f>
        <v>0</v>
      </c>
      <c r="AO172" s="20">
        <f>Programacion[[#This Row],[ENERO]]+Programacion[[#This Row],[FEBRERO]]+Programacion[[#This Row],[MARZO]]+Programacion[[#This Row],[ABRIL]]+Programacion[[#This Row],[MAYO]]+Programacion[[#This Row],[JUNIO]]</f>
        <v>20000</v>
      </c>
      <c r="AP1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2" s="113"/>
    </row>
    <row r="173" spans="1:46" x14ac:dyDescent="0.25">
      <c r="A173" s="54" t="s">
        <v>133</v>
      </c>
      <c r="B173" s="55" t="s">
        <v>138</v>
      </c>
      <c r="C173" s="54" t="s">
        <v>56</v>
      </c>
      <c r="D173" s="56" t="s">
        <v>48</v>
      </c>
      <c r="E173" s="57">
        <v>3</v>
      </c>
      <c r="F173" s="58">
        <v>2.2999999999999998</v>
      </c>
      <c r="G173" s="56" t="s">
        <v>70</v>
      </c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>
        <v>5000</v>
      </c>
      <c r="S173" s="59">
        <v>5000</v>
      </c>
      <c r="T173" s="59">
        <v>5000</v>
      </c>
      <c r="U173" s="59">
        <v>5000</v>
      </c>
      <c r="V173" s="59">
        <v>5000</v>
      </c>
      <c r="W173" s="59">
        <v>5000</v>
      </c>
      <c r="X173" s="59">
        <v>5000</v>
      </c>
      <c r="Y173" s="59"/>
      <c r="Z173" s="59">
        <v>5000</v>
      </c>
      <c r="AA173" s="59"/>
      <c r="AB173" s="59">
        <v>5000</v>
      </c>
      <c r="AC173" s="59"/>
      <c r="AD173" s="59">
        <v>5000</v>
      </c>
      <c r="AE173" s="59"/>
      <c r="AF1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3" s="19">
        <f>Programacion[[#This Row],[ENERO]]+Programacion[[#This Row],[FEBRERO]]+Programacion[[#This Row],[MARZO]]</f>
        <v>0</v>
      </c>
      <c r="AH173" s="19">
        <f>Programacion[[#This Row],[DEVENGADO ENERO]]+Programacion[[#This Row],[DEVENGADO FEBRERO]]+Programacion[[#This Row],[DEVENGADO MARZO]]</f>
        <v>0</v>
      </c>
      <c r="AI173" s="19">
        <f>Programacion[[#This Row],[ABRIL]]+Programacion[[#This Row],[MAYO]]+Programacion[[#This Row],[JUNIO]]</f>
        <v>5000</v>
      </c>
      <c r="AJ173" s="19">
        <f>Programacion[[#This Row],[DEVENGADO ABRIL]]+Programacion[[#This Row],[DEVENGADO MAYO]]+Programacion[[#This Row],[DEVENGADO JUNIO]]</f>
        <v>5000</v>
      </c>
      <c r="AK173" s="19">
        <f>Programacion[[#This Row],[JULIO]]+Programacion[[#This Row],[AGOSTO]]+Programacion[[#This Row],[SEPTIEMBRE]]</f>
        <v>15000</v>
      </c>
      <c r="AL173" s="19">
        <f>Programacion[[#This Row],[DEVENGADO JULIO]]+Programacion[[#This Row],[DEVENGADO AGOSTO]]+Programacion[[#This Row],[DEVENGADO SEPTIEMBRE]]</f>
        <v>10000</v>
      </c>
      <c r="AM173" s="19">
        <f>Programacion[[#This Row],[OCTUBRE]]+Programacion[[#This Row],[NOVIEMBRE]]+Programacion[[#This Row],[DICIEMBRE]]</f>
        <v>15000</v>
      </c>
      <c r="AN173" s="20">
        <f>Programacion[[#This Row],[DEVENGADO OCTUBRE]]+Programacion[[#This Row],[DEVENGADO NOVIEMBRE]]+Programacion[[#This Row],[DEVENGADO DICIEMBRE]]</f>
        <v>0</v>
      </c>
      <c r="AO173" s="20">
        <f>Programacion[[#This Row],[ENERO]]+Programacion[[#This Row],[FEBRERO]]+Programacion[[#This Row],[MARZO]]+Programacion[[#This Row],[ABRIL]]+Programacion[[#This Row],[MAYO]]+Programacion[[#This Row],[JUNIO]]</f>
        <v>5000</v>
      </c>
      <c r="AP1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3" s="113"/>
    </row>
    <row r="174" spans="1:46" ht="30" x14ac:dyDescent="0.25">
      <c r="A174" s="54" t="s">
        <v>133</v>
      </c>
      <c r="B174" s="55" t="s">
        <v>139</v>
      </c>
      <c r="C174" s="54" t="s">
        <v>56</v>
      </c>
      <c r="D174" s="56" t="s">
        <v>48</v>
      </c>
      <c r="E174" s="57">
        <v>3</v>
      </c>
      <c r="F174" s="58">
        <v>2.2999999999999998</v>
      </c>
      <c r="G174" s="56" t="s">
        <v>70</v>
      </c>
      <c r="H174" s="59"/>
      <c r="I174" s="59"/>
      <c r="J174" s="59"/>
      <c r="K174" s="59"/>
      <c r="L174" s="59">
        <v>10000</v>
      </c>
      <c r="M174" s="59">
        <v>10000</v>
      </c>
      <c r="N174" s="59">
        <v>5000</v>
      </c>
      <c r="O174" s="59">
        <v>5000</v>
      </c>
      <c r="P174" s="59">
        <v>5000</v>
      </c>
      <c r="Q174" s="59">
        <v>5000</v>
      </c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4" s="19">
        <f>Programacion[[#This Row],[ENERO]]+Programacion[[#This Row],[FEBRERO]]+Programacion[[#This Row],[MARZO]]</f>
        <v>10000</v>
      </c>
      <c r="AH174" s="19">
        <f>Programacion[[#This Row],[DEVENGADO ENERO]]+Programacion[[#This Row],[DEVENGADO FEBRERO]]+Programacion[[#This Row],[DEVENGADO MARZO]]</f>
        <v>10000</v>
      </c>
      <c r="AI174" s="19">
        <f>Programacion[[#This Row],[ABRIL]]+Programacion[[#This Row],[MAYO]]+Programacion[[#This Row],[JUNIO]]</f>
        <v>10000</v>
      </c>
      <c r="AJ174" s="19">
        <f>Programacion[[#This Row],[DEVENGADO ABRIL]]+Programacion[[#This Row],[DEVENGADO MAYO]]+Programacion[[#This Row],[DEVENGADO JUNIO]]</f>
        <v>10000</v>
      </c>
      <c r="AK174" s="19">
        <f>Programacion[[#This Row],[JULIO]]+Programacion[[#This Row],[AGOSTO]]+Programacion[[#This Row],[SEPTIEMBRE]]</f>
        <v>0</v>
      </c>
      <c r="AL174" s="19">
        <f>Programacion[[#This Row],[DEVENGADO JULIO]]+Programacion[[#This Row],[DEVENGADO AGOSTO]]+Programacion[[#This Row],[DEVENGADO SEPTIEMBRE]]</f>
        <v>0</v>
      </c>
      <c r="AM174" s="19">
        <f>Programacion[[#This Row],[OCTUBRE]]+Programacion[[#This Row],[NOVIEMBRE]]+Programacion[[#This Row],[DICIEMBRE]]</f>
        <v>0</v>
      </c>
      <c r="AN174" s="20">
        <f>Programacion[[#This Row],[DEVENGADO OCTUBRE]]+Programacion[[#This Row],[DEVENGADO NOVIEMBRE]]+Programacion[[#This Row],[DEVENGADO DICIEMBRE]]</f>
        <v>0</v>
      </c>
      <c r="AO174" s="20">
        <f>Programacion[[#This Row],[ENERO]]+Programacion[[#This Row],[FEBRERO]]+Programacion[[#This Row],[MARZO]]+Programacion[[#This Row],[ABRIL]]+Programacion[[#This Row],[MAYO]]+Programacion[[#This Row],[JUNIO]]</f>
        <v>20000</v>
      </c>
      <c r="AP1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113"/>
    </row>
    <row r="175" spans="1:46" x14ac:dyDescent="0.25">
      <c r="A175" s="54" t="s">
        <v>133</v>
      </c>
      <c r="B175" s="55" t="s">
        <v>138</v>
      </c>
      <c r="C175" s="54" t="s">
        <v>56</v>
      </c>
      <c r="D175" s="56" t="s">
        <v>48</v>
      </c>
      <c r="E175" s="57">
        <v>3</v>
      </c>
      <c r="F175" s="58">
        <v>2.2999999999999998</v>
      </c>
      <c r="G175" s="56" t="s">
        <v>70</v>
      </c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>
        <v>5000</v>
      </c>
      <c r="S175" s="59">
        <v>5000</v>
      </c>
      <c r="T175" s="59">
        <v>5000</v>
      </c>
      <c r="U175" s="59">
        <v>5000</v>
      </c>
      <c r="V175" s="59">
        <v>5000</v>
      </c>
      <c r="W175" s="59">
        <v>5000</v>
      </c>
      <c r="X175" s="59">
        <v>5000</v>
      </c>
      <c r="Y175" s="59"/>
      <c r="Z175" s="59">
        <v>5000</v>
      </c>
      <c r="AA175" s="59"/>
      <c r="AB175" s="59">
        <v>5000</v>
      </c>
      <c r="AC175" s="59"/>
      <c r="AD175" s="59">
        <v>5000</v>
      </c>
      <c r="AE175" s="59"/>
      <c r="AF17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5" s="19">
        <f>Programacion[[#This Row],[ENERO]]+Programacion[[#This Row],[FEBRERO]]+Programacion[[#This Row],[MARZO]]</f>
        <v>0</v>
      </c>
      <c r="AH175" s="19">
        <f>Programacion[[#This Row],[DEVENGADO ENERO]]+Programacion[[#This Row],[DEVENGADO FEBRERO]]+Programacion[[#This Row],[DEVENGADO MARZO]]</f>
        <v>0</v>
      </c>
      <c r="AI175" s="19">
        <f>Programacion[[#This Row],[ABRIL]]+Programacion[[#This Row],[MAYO]]+Programacion[[#This Row],[JUNIO]]</f>
        <v>5000</v>
      </c>
      <c r="AJ175" s="19">
        <f>Programacion[[#This Row],[DEVENGADO ABRIL]]+Programacion[[#This Row],[DEVENGADO MAYO]]+Programacion[[#This Row],[DEVENGADO JUNIO]]</f>
        <v>5000</v>
      </c>
      <c r="AK175" s="19">
        <f>Programacion[[#This Row],[JULIO]]+Programacion[[#This Row],[AGOSTO]]+Programacion[[#This Row],[SEPTIEMBRE]]</f>
        <v>15000</v>
      </c>
      <c r="AL175" s="19">
        <f>Programacion[[#This Row],[DEVENGADO JULIO]]+Programacion[[#This Row],[DEVENGADO AGOSTO]]+Programacion[[#This Row],[DEVENGADO SEPTIEMBRE]]</f>
        <v>10000</v>
      </c>
      <c r="AM175" s="19">
        <f>Programacion[[#This Row],[OCTUBRE]]+Programacion[[#This Row],[NOVIEMBRE]]+Programacion[[#This Row],[DICIEMBRE]]</f>
        <v>15000</v>
      </c>
      <c r="AN175" s="20">
        <f>Programacion[[#This Row],[DEVENGADO OCTUBRE]]+Programacion[[#This Row],[DEVENGADO NOVIEMBRE]]+Programacion[[#This Row],[DEVENGADO DICIEMBRE]]</f>
        <v>0</v>
      </c>
      <c r="AO175" s="20">
        <f>Programacion[[#This Row],[ENERO]]+Programacion[[#This Row],[FEBRERO]]+Programacion[[#This Row],[MARZO]]+Programacion[[#This Row],[ABRIL]]+Programacion[[#This Row],[MAYO]]+Programacion[[#This Row],[JUNIO]]</f>
        <v>5000</v>
      </c>
      <c r="AP17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5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5" s="113"/>
    </row>
    <row r="176" spans="1:46" x14ac:dyDescent="0.25">
      <c r="A176" s="54" t="s">
        <v>133</v>
      </c>
      <c r="B176" s="55" t="s">
        <v>140</v>
      </c>
      <c r="C176" s="54" t="s">
        <v>56</v>
      </c>
      <c r="D176" s="56" t="s">
        <v>48</v>
      </c>
      <c r="E176" s="57">
        <v>39</v>
      </c>
      <c r="F176" s="58">
        <v>2.2999999999999998</v>
      </c>
      <c r="G176" s="56" t="s">
        <v>70</v>
      </c>
      <c r="H176" s="59"/>
      <c r="I176" s="59"/>
      <c r="J176" s="59"/>
      <c r="K176" s="59"/>
      <c r="L176" s="59">
        <v>4000</v>
      </c>
      <c r="M176" s="59">
        <v>4000</v>
      </c>
      <c r="N176" s="59">
        <v>4000</v>
      </c>
      <c r="O176" s="59">
        <v>4000</v>
      </c>
      <c r="P176" s="59">
        <v>4000</v>
      </c>
      <c r="Q176" s="59">
        <v>4000</v>
      </c>
      <c r="R176" s="59">
        <v>4000</v>
      </c>
      <c r="S176" s="59">
        <v>4000</v>
      </c>
      <c r="T176" s="59">
        <v>4000</v>
      </c>
      <c r="U176" s="59">
        <v>4000</v>
      </c>
      <c r="V176" s="59">
        <v>4000</v>
      </c>
      <c r="W176" s="59">
        <v>4000</v>
      </c>
      <c r="X176" s="59">
        <v>4000</v>
      </c>
      <c r="Y176" s="59"/>
      <c r="Z176" s="59">
        <v>4000</v>
      </c>
      <c r="AA176" s="59"/>
      <c r="AB176" s="59">
        <v>4000</v>
      </c>
      <c r="AC176" s="59"/>
      <c r="AD176" s="59">
        <v>4000</v>
      </c>
      <c r="AE176" s="59"/>
      <c r="AF1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76" s="19">
        <f>Programacion[[#This Row],[ENERO]]+Programacion[[#This Row],[FEBRERO]]+Programacion[[#This Row],[MARZO]]</f>
        <v>4000</v>
      </c>
      <c r="AH176" s="19">
        <f>Programacion[[#This Row],[DEVENGADO ENERO]]+Programacion[[#This Row],[DEVENGADO FEBRERO]]+Programacion[[#This Row],[DEVENGADO MARZO]]</f>
        <v>4000</v>
      </c>
      <c r="AI176" s="19">
        <f>Programacion[[#This Row],[ABRIL]]+Programacion[[#This Row],[MAYO]]+Programacion[[#This Row],[JUNIO]]</f>
        <v>12000</v>
      </c>
      <c r="AJ176" s="19">
        <f>Programacion[[#This Row],[DEVENGADO ABRIL]]+Programacion[[#This Row],[DEVENGADO MAYO]]+Programacion[[#This Row],[DEVENGADO JUNIO]]</f>
        <v>12000</v>
      </c>
      <c r="AK176" s="19">
        <f>Programacion[[#This Row],[JULIO]]+Programacion[[#This Row],[AGOSTO]]+Programacion[[#This Row],[SEPTIEMBRE]]</f>
        <v>12000</v>
      </c>
      <c r="AL176" s="19">
        <f>Programacion[[#This Row],[DEVENGADO JULIO]]+Programacion[[#This Row],[DEVENGADO AGOSTO]]+Programacion[[#This Row],[DEVENGADO SEPTIEMBRE]]</f>
        <v>8000</v>
      </c>
      <c r="AM176" s="19">
        <f>Programacion[[#This Row],[OCTUBRE]]+Programacion[[#This Row],[NOVIEMBRE]]+Programacion[[#This Row],[DICIEMBRE]]</f>
        <v>12000</v>
      </c>
      <c r="AN176" s="20">
        <f>Programacion[[#This Row],[DEVENGADO OCTUBRE]]+Programacion[[#This Row],[DEVENGADO NOVIEMBRE]]+Programacion[[#This Row],[DEVENGADO DICIEMBRE]]</f>
        <v>0</v>
      </c>
      <c r="AO176" s="20">
        <f>Programacion[[#This Row],[ENERO]]+Programacion[[#This Row],[FEBRERO]]+Programacion[[#This Row],[MARZO]]+Programacion[[#This Row],[ABRIL]]+Programacion[[#This Row],[MAYO]]+Programacion[[#This Row],[JUNIO]]</f>
        <v>16000</v>
      </c>
      <c r="AP1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76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76" s="113"/>
    </row>
    <row r="177" spans="1:46" x14ac:dyDescent="0.25">
      <c r="A177" s="54" t="s">
        <v>133</v>
      </c>
      <c r="B177" s="55" t="s">
        <v>141</v>
      </c>
      <c r="C177" s="54" t="s">
        <v>56</v>
      </c>
      <c r="D177" s="56" t="s">
        <v>48</v>
      </c>
      <c r="E177" s="57">
        <v>39</v>
      </c>
      <c r="F177" s="58">
        <v>2.2999999999999998</v>
      </c>
      <c r="G177" s="56" t="s">
        <v>70</v>
      </c>
      <c r="H177" s="59"/>
      <c r="I177" s="59"/>
      <c r="J177" s="59"/>
      <c r="K177" s="59"/>
      <c r="L177" s="59">
        <v>4000</v>
      </c>
      <c r="M177" s="59">
        <v>4000</v>
      </c>
      <c r="N177" s="59">
        <v>4000</v>
      </c>
      <c r="O177" s="59">
        <v>4000</v>
      </c>
      <c r="P177" s="59">
        <v>4000</v>
      </c>
      <c r="Q177" s="59">
        <v>4000</v>
      </c>
      <c r="R177" s="59">
        <v>4000</v>
      </c>
      <c r="S177" s="59">
        <v>4000</v>
      </c>
      <c r="T177" s="59">
        <v>4000</v>
      </c>
      <c r="U177" s="59">
        <v>4000</v>
      </c>
      <c r="V177" s="59">
        <v>4000</v>
      </c>
      <c r="W177" s="59">
        <v>4000</v>
      </c>
      <c r="X177" s="59">
        <v>4000</v>
      </c>
      <c r="Y177" s="59"/>
      <c r="Z177" s="59">
        <v>4000</v>
      </c>
      <c r="AA177" s="59"/>
      <c r="AB177" s="59">
        <v>4000</v>
      </c>
      <c r="AC177" s="59"/>
      <c r="AD177" s="59">
        <v>4000</v>
      </c>
      <c r="AE177" s="59"/>
      <c r="AF17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77" s="19">
        <f>Programacion[[#This Row],[ENERO]]+Programacion[[#This Row],[FEBRERO]]+Programacion[[#This Row],[MARZO]]</f>
        <v>4000</v>
      </c>
      <c r="AH177" s="19">
        <f>Programacion[[#This Row],[DEVENGADO ENERO]]+Programacion[[#This Row],[DEVENGADO FEBRERO]]+Programacion[[#This Row],[DEVENGADO MARZO]]</f>
        <v>4000</v>
      </c>
      <c r="AI177" s="19">
        <f>Programacion[[#This Row],[ABRIL]]+Programacion[[#This Row],[MAYO]]+Programacion[[#This Row],[JUNIO]]</f>
        <v>12000</v>
      </c>
      <c r="AJ177" s="19">
        <f>Programacion[[#This Row],[DEVENGADO ABRIL]]+Programacion[[#This Row],[DEVENGADO MAYO]]+Programacion[[#This Row],[DEVENGADO JUNIO]]</f>
        <v>12000</v>
      </c>
      <c r="AK177" s="19">
        <f>Programacion[[#This Row],[JULIO]]+Programacion[[#This Row],[AGOSTO]]+Programacion[[#This Row],[SEPTIEMBRE]]</f>
        <v>12000</v>
      </c>
      <c r="AL177" s="19">
        <f>Programacion[[#This Row],[DEVENGADO JULIO]]+Programacion[[#This Row],[DEVENGADO AGOSTO]]+Programacion[[#This Row],[DEVENGADO SEPTIEMBRE]]</f>
        <v>8000</v>
      </c>
      <c r="AM177" s="19">
        <f>Programacion[[#This Row],[OCTUBRE]]+Programacion[[#This Row],[NOVIEMBRE]]+Programacion[[#This Row],[DICIEMBRE]]</f>
        <v>12000</v>
      </c>
      <c r="AN177" s="20">
        <f>Programacion[[#This Row],[DEVENGADO OCTUBRE]]+Programacion[[#This Row],[DEVENGADO NOVIEMBRE]]+Programacion[[#This Row],[DEVENGADO DICIEMBRE]]</f>
        <v>0</v>
      </c>
      <c r="AO177" s="20">
        <f>Programacion[[#This Row],[ENERO]]+Programacion[[#This Row],[FEBRERO]]+Programacion[[#This Row],[MARZO]]+Programacion[[#This Row],[ABRIL]]+Programacion[[#This Row],[MAYO]]+Programacion[[#This Row],[JUNIO]]</f>
        <v>16000</v>
      </c>
      <c r="AP17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7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7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77" s="113"/>
    </row>
    <row r="178" spans="1:46" ht="45" x14ac:dyDescent="0.25">
      <c r="A178" s="54" t="s">
        <v>133</v>
      </c>
      <c r="B178" s="55" t="s">
        <v>142</v>
      </c>
      <c r="C178" s="54" t="s">
        <v>56</v>
      </c>
      <c r="D178" s="56" t="s">
        <v>48</v>
      </c>
      <c r="E178" s="57">
        <v>39</v>
      </c>
      <c r="F178" s="58">
        <v>2.2999999999999998</v>
      </c>
      <c r="G178" s="56" t="s">
        <v>70</v>
      </c>
      <c r="H178" s="59"/>
      <c r="I178" s="59"/>
      <c r="J178" s="59"/>
      <c r="K178" s="59"/>
      <c r="L178" s="59">
        <v>10000</v>
      </c>
      <c r="M178" s="59">
        <v>10000</v>
      </c>
      <c r="N178" s="59">
        <v>5000</v>
      </c>
      <c r="O178" s="59">
        <v>5000</v>
      </c>
      <c r="P178" s="59">
        <v>5000</v>
      </c>
      <c r="Q178" s="59">
        <v>5000</v>
      </c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8" s="19">
        <f>Programacion[[#This Row],[ENERO]]+Programacion[[#This Row],[FEBRERO]]+Programacion[[#This Row],[MARZO]]</f>
        <v>10000</v>
      </c>
      <c r="AH178" s="19">
        <f>Programacion[[#This Row],[DEVENGADO ENERO]]+Programacion[[#This Row],[DEVENGADO FEBRERO]]+Programacion[[#This Row],[DEVENGADO MARZO]]</f>
        <v>10000</v>
      </c>
      <c r="AI178" s="19">
        <f>Programacion[[#This Row],[ABRIL]]+Programacion[[#This Row],[MAYO]]+Programacion[[#This Row],[JUNIO]]</f>
        <v>10000</v>
      </c>
      <c r="AJ178" s="19">
        <f>Programacion[[#This Row],[DEVENGADO ABRIL]]+Programacion[[#This Row],[DEVENGADO MAYO]]+Programacion[[#This Row],[DEVENGADO JUNIO]]</f>
        <v>10000</v>
      </c>
      <c r="AK178" s="19">
        <f>Programacion[[#This Row],[JULIO]]+Programacion[[#This Row],[AGOSTO]]+Programacion[[#This Row],[SEPTIEMBRE]]</f>
        <v>0</v>
      </c>
      <c r="AL178" s="19">
        <f>Programacion[[#This Row],[DEVENGADO JULIO]]+Programacion[[#This Row],[DEVENGADO AGOSTO]]+Programacion[[#This Row],[DEVENGADO SEPTIEMBRE]]</f>
        <v>0</v>
      </c>
      <c r="AM178" s="19">
        <f>Programacion[[#This Row],[OCTUBRE]]+Programacion[[#This Row],[NOVIEMBRE]]+Programacion[[#This Row],[DICIEMBRE]]</f>
        <v>0</v>
      </c>
      <c r="AN178" s="20">
        <f>Programacion[[#This Row],[DEVENGADO OCTUBRE]]+Programacion[[#This Row],[DEVENGADO NOVIEMBRE]]+Programacion[[#This Row],[DEVENGADO DICIEMBRE]]</f>
        <v>0</v>
      </c>
      <c r="AO178" s="20">
        <f>Programacion[[#This Row],[ENERO]]+Programacion[[#This Row],[FEBRERO]]+Programacion[[#This Row],[MARZO]]+Programacion[[#This Row],[ABRIL]]+Programacion[[#This Row],[MAYO]]+Programacion[[#This Row],[JUNIO]]</f>
        <v>20000</v>
      </c>
      <c r="AP1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8" s="113"/>
    </row>
    <row r="179" spans="1:46" ht="45" x14ac:dyDescent="0.25">
      <c r="A179" s="54" t="s">
        <v>133</v>
      </c>
      <c r="B179" s="55" t="s">
        <v>143</v>
      </c>
      <c r="C179" s="54" t="s">
        <v>56</v>
      </c>
      <c r="D179" s="56" t="s">
        <v>48</v>
      </c>
      <c r="E179" s="57">
        <v>39</v>
      </c>
      <c r="F179" s="58">
        <v>2.2999999999999998</v>
      </c>
      <c r="G179" s="56" t="s">
        <v>70</v>
      </c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>
        <v>5000</v>
      </c>
      <c r="S179" s="59">
        <v>5000</v>
      </c>
      <c r="T179" s="59">
        <v>5000</v>
      </c>
      <c r="U179" s="59">
        <v>5000</v>
      </c>
      <c r="V179" s="59">
        <v>5000</v>
      </c>
      <c r="W179" s="59">
        <v>5000</v>
      </c>
      <c r="X179" s="59">
        <v>5000</v>
      </c>
      <c r="Y179" s="59"/>
      <c r="Z179" s="59">
        <v>5000</v>
      </c>
      <c r="AA179" s="59"/>
      <c r="AB179" s="59">
        <v>5000</v>
      </c>
      <c r="AC179" s="59"/>
      <c r="AD179" s="59">
        <v>5000</v>
      </c>
      <c r="AE179" s="59"/>
      <c r="AF1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9" s="19">
        <f>Programacion[[#This Row],[ENERO]]+Programacion[[#This Row],[FEBRERO]]+Programacion[[#This Row],[MARZO]]</f>
        <v>0</v>
      </c>
      <c r="AH179" s="19">
        <f>Programacion[[#This Row],[DEVENGADO ENERO]]+Programacion[[#This Row],[DEVENGADO FEBRERO]]+Programacion[[#This Row],[DEVENGADO MARZO]]</f>
        <v>0</v>
      </c>
      <c r="AI179" s="19">
        <f>Programacion[[#This Row],[ABRIL]]+Programacion[[#This Row],[MAYO]]+Programacion[[#This Row],[JUNIO]]</f>
        <v>5000</v>
      </c>
      <c r="AJ179" s="19">
        <f>Programacion[[#This Row],[DEVENGADO ABRIL]]+Programacion[[#This Row],[DEVENGADO MAYO]]+Programacion[[#This Row],[DEVENGADO JUNIO]]</f>
        <v>5000</v>
      </c>
      <c r="AK179" s="19">
        <f>Programacion[[#This Row],[JULIO]]+Programacion[[#This Row],[AGOSTO]]+Programacion[[#This Row],[SEPTIEMBRE]]</f>
        <v>15000</v>
      </c>
      <c r="AL179" s="19">
        <f>Programacion[[#This Row],[DEVENGADO JULIO]]+Programacion[[#This Row],[DEVENGADO AGOSTO]]+Programacion[[#This Row],[DEVENGADO SEPTIEMBRE]]</f>
        <v>10000</v>
      </c>
      <c r="AM179" s="19">
        <f>Programacion[[#This Row],[OCTUBRE]]+Programacion[[#This Row],[NOVIEMBRE]]+Programacion[[#This Row],[DICIEMBRE]]</f>
        <v>15000</v>
      </c>
      <c r="AN179" s="20">
        <f>Programacion[[#This Row],[DEVENGADO OCTUBRE]]+Programacion[[#This Row],[DEVENGADO NOVIEMBRE]]+Programacion[[#This Row],[DEVENGADO DICIEMBRE]]</f>
        <v>0</v>
      </c>
      <c r="AO179" s="20">
        <f>Programacion[[#This Row],[ENERO]]+Programacion[[#This Row],[FEBRERO]]+Programacion[[#This Row],[MARZO]]+Programacion[[#This Row],[ABRIL]]+Programacion[[#This Row],[MAYO]]+Programacion[[#This Row],[JUNIO]]</f>
        <v>5000</v>
      </c>
      <c r="AP17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79" s="113"/>
    </row>
    <row r="180" spans="1:46" ht="45" x14ac:dyDescent="0.25">
      <c r="A180" s="54" t="s">
        <v>133</v>
      </c>
      <c r="B180" s="60" t="s">
        <v>144</v>
      </c>
      <c r="C180" s="54" t="s">
        <v>56</v>
      </c>
      <c r="D180" s="61" t="s">
        <v>48</v>
      </c>
      <c r="E180" s="62">
        <v>39</v>
      </c>
      <c r="F180" s="58">
        <v>2.2999999999999998</v>
      </c>
      <c r="G180" s="61" t="s">
        <v>70</v>
      </c>
      <c r="H180" s="63"/>
      <c r="I180" s="63"/>
      <c r="J180" s="63"/>
      <c r="K180" s="63"/>
      <c r="L180" s="63">
        <v>10000</v>
      </c>
      <c r="M180" s="63">
        <v>10000</v>
      </c>
      <c r="N180" s="63">
        <v>5000</v>
      </c>
      <c r="O180" s="63">
        <v>5000</v>
      </c>
      <c r="P180" s="63">
        <v>5000</v>
      </c>
      <c r="Q180" s="63">
        <v>5000</v>
      </c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0" s="19">
        <f>Programacion[[#This Row],[ENERO]]+Programacion[[#This Row],[FEBRERO]]+Programacion[[#This Row],[MARZO]]</f>
        <v>10000</v>
      </c>
      <c r="AH180" s="19">
        <f>Programacion[[#This Row],[DEVENGADO ENERO]]+Programacion[[#This Row],[DEVENGADO FEBRERO]]+Programacion[[#This Row],[DEVENGADO MARZO]]</f>
        <v>10000</v>
      </c>
      <c r="AI180" s="19">
        <f>Programacion[[#This Row],[ABRIL]]+Programacion[[#This Row],[MAYO]]+Programacion[[#This Row],[JUNIO]]</f>
        <v>10000</v>
      </c>
      <c r="AJ180" s="19">
        <f>Programacion[[#This Row],[DEVENGADO ABRIL]]+Programacion[[#This Row],[DEVENGADO MAYO]]+Programacion[[#This Row],[DEVENGADO JUNIO]]</f>
        <v>10000</v>
      </c>
      <c r="AK180" s="19">
        <f>Programacion[[#This Row],[JULIO]]+Programacion[[#This Row],[AGOSTO]]+Programacion[[#This Row],[SEPTIEMBRE]]</f>
        <v>0</v>
      </c>
      <c r="AL180" s="19">
        <f>Programacion[[#This Row],[DEVENGADO JULIO]]+Programacion[[#This Row],[DEVENGADO AGOSTO]]+Programacion[[#This Row],[DEVENGADO SEPTIEMBRE]]</f>
        <v>0</v>
      </c>
      <c r="AM180" s="19">
        <f>Programacion[[#This Row],[OCTUBRE]]+Programacion[[#This Row],[NOVIEMBRE]]+Programacion[[#This Row],[DICIEMBRE]]</f>
        <v>0</v>
      </c>
      <c r="AN180" s="20">
        <f>Programacion[[#This Row],[DEVENGADO OCTUBRE]]+Programacion[[#This Row],[DEVENGADO NOVIEMBRE]]+Programacion[[#This Row],[DEVENGADO DICIEMBRE]]</f>
        <v>0</v>
      </c>
      <c r="AO180" s="20">
        <f>Programacion[[#This Row],[ENERO]]+Programacion[[#This Row],[FEBRERO]]+Programacion[[#This Row],[MARZO]]+Programacion[[#This Row],[ABRIL]]+Programacion[[#This Row],[MAYO]]+Programacion[[#This Row],[JUNIO]]</f>
        <v>20000</v>
      </c>
      <c r="AP18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8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80" s="113"/>
    </row>
    <row r="181" spans="1:46" ht="45" x14ac:dyDescent="0.25">
      <c r="A181" s="64" t="s">
        <v>133</v>
      </c>
      <c r="B181" s="65" t="s">
        <v>145</v>
      </c>
      <c r="C181" s="54" t="s">
        <v>56</v>
      </c>
      <c r="D181" s="66" t="s">
        <v>48</v>
      </c>
      <c r="E181" s="67">
        <v>39</v>
      </c>
      <c r="F181" s="68">
        <v>2.2999999999999998</v>
      </c>
      <c r="G181" s="69" t="s">
        <v>70</v>
      </c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>
        <v>5000</v>
      </c>
      <c r="S181" s="70">
        <v>5000</v>
      </c>
      <c r="T181" s="70">
        <v>5000</v>
      </c>
      <c r="U181" s="70">
        <v>5000</v>
      </c>
      <c r="V181" s="70">
        <v>5000</v>
      </c>
      <c r="W181" s="70">
        <v>5000</v>
      </c>
      <c r="X181" s="70">
        <v>5000</v>
      </c>
      <c r="Y181" s="70"/>
      <c r="Z181" s="70">
        <v>5000</v>
      </c>
      <c r="AA181" s="70"/>
      <c r="AB181" s="70">
        <v>5000</v>
      </c>
      <c r="AC181" s="70"/>
      <c r="AD181" s="70">
        <v>5000</v>
      </c>
      <c r="AE181" s="70"/>
      <c r="AF18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81" s="19">
        <f>Programacion[[#This Row],[ENERO]]+Programacion[[#This Row],[FEBRERO]]+Programacion[[#This Row],[MARZO]]</f>
        <v>0</v>
      </c>
      <c r="AH181" s="19">
        <f>Programacion[[#This Row],[DEVENGADO ENERO]]+Programacion[[#This Row],[DEVENGADO FEBRERO]]+Programacion[[#This Row],[DEVENGADO MARZO]]</f>
        <v>0</v>
      </c>
      <c r="AI181" s="19">
        <f>Programacion[[#This Row],[ABRIL]]+Programacion[[#This Row],[MAYO]]+Programacion[[#This Row],[JUNIO]]</f>
        <v>5000</v>
      </c>
      <c r="AJ181" s="19">
        <f>Programacion[[#This Row],[DEVENGADO ABRIL]]+Programacion[[#This Row],[DEVENGADO MAYO]]+Programacion[[#This Row],[DEVENGADO JUNIO]]</f>
        <v>5000</v>
      </c>
      <c r="AK181" s="19">
        <f>Programacion[[#This Row],[JULIO]]+Programacion[[#This Row],[AGOSTO]]+Programacion[[#This Row],[SEPTIEMBRE]]</f>
        <v>15000</v>
      </c>
      <c r="AL181" s="19">
        <f>Programacion[[#This Row],[DEVENGADO JULIO]]+Programacion[[#This Row],[DEVENGADO AGOSTO]]+Programacion[[#This Row],[DEVENGADO SEPTIEMBRE]]</f>
        <v>10000</v>
      </c>
      <c r="AM181" s="19">
        <f>Programacion[[#This Row],[OCTUBRE]]+Programacion[[#This Row],[NOVIEMBRE]]+Programacion[[#This Row],[DICIEMBRE]]</f>
        <v>15000</v>
      </c>
      <c r="AN181" s="20">
        <f>Programacion[[#This Row],[DEVENGADO OCTUBRE]]+Programacion[[#This Row],[DEVENGADO NOVIEMBRE]]+Programacion[[#This Row],[DEVENGADO DICIEMBRE]]</f>
        <v>0</v>
      </c>
      <c r="AO181" s="20">
        <f>Programacion[[#This Row],[ENERO]]+Programacion[[#This Row],[FEBRERO]]+Programacion[[#This Row],[MARZO]]+Programacion[[#This Row],[ABRIL]]+Programacion[[#This Row],[MAYO]]+Programacion[[#This Row],[JUNIO]]</f>
        <v>5000</v>
      </c>
      <c r="AP18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8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81" s="113"/>
    </row>
    <row r="182" spans="1:46" x14ac:dyDescent="0.25">
      <c r="A182" s="131" t="s">
        <v>133</v>
      </c>
      <c r="B182" s="132" t="s">
        <v>242</v>
      </c>
      <c r="C182" s="131" t="s">
        <v>252</v>
      </c>
      <c r="D182" s="133" t="s">
        <v>48</v>
      </c>
      <c r="E182" s="132">
        <v>39</v>
      </c>
      <c r="F182" s="134">
        <v>23</v>
      </c>
      <c r="G182" s="132" t="s">
        <v>65</v>
      </c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>
        <v>7300</v>
      </c>
      <c r="W182" s="33">
        <v>7300</v>
      </c>
      <c r="X182" s="33"/>
      <c r="Y182" s="33"/>
      <c r="Z182" s="33"/>
      <c r="AA182" s="33"/>
      <c r="AB182" s="33"/>
      <c r="AC182" s="33"/>
      <c r="AD182" s="33"/>
      <c r="AE182" s="33"/>
      <c r="AF1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82" s="33">
        <f>Programacion[[#This Row],[ENERO]]+Programacion[[#This Row],[FEBRERO]]+Programacion[[#This Row],[MARZO]]</f>
        <v>0</v>
      </c>
      <c r="AH182" s="33">
        <f>Programacion[[#This Row],[DEVENGADO ENERO]]+Programacion[[#This Row],[DEVENGADO FEBRERO]]+Programacion[[#This Row],[DEVENGADO MARZO]]</f>
        <v>0</v>
      </c>
      <c r="AI182" s="33">
        <f>Programacion[[#This Row],[ABRIL]]+Programacion[[#This Row],[MAYO]]+Programacion[[#This Row],[JUNIO]]</f>
        <v>0</v>
      </c>
      <c r="AJ182" s="33">
        <f>Programacion[[#This Row],[DEVENGADO ABRIL]]+Programacion[[#This Row],[DEVENGADO MAYO]]+Programacion[[#This Row],[DEVENGADO JUNIO]]</f>
        <v>0</v>
      </c>
      <c r="AK182" s="33">
        <f>Programacion[[#This Row],[JULIO]]+Programacion[[#This Row],[AGOSTO]]+Programacion[[#This Row],[SEPTIEMBRE]]</f>
        <v>7300</v>
      </c>
      <c r="AL182" s="33">
        <f>Programacion[[#This Row],[DEVENGADO JULIO]]+Programacion[[#This Row],[DEVENGADO AGOSTO]]+Programacion[[#This Row],[DEVENGADO SEPTIEMBRE]]</f>
        <v>7300</v>
      </c>
      <c r="AM182" s="33">
        <f>Programacion[[#This Row],[OCTUBRE]]+Programacion[[#This Row],[NOVIEMBRE]]+Programacion[[#This Row],[DICIEMBRE]]</f>
        <v>0</v>
      </c>
      <c r="AN182" s="21">
        <f>Programacion[[#This Row],[DEVENGADO OCTUBRE]]+Programacion[[#This Row],[DEVENGADO NOVIEMBRE]]+Programacion[[#This Row],[DEVENGADO DICIEMBRE]]</f>
        <v>0</v>
      </c>
      <c r="AO182" s="21">
        <f>Programacion[[#This Row],[ENERO]]+Programacion[[#This Row],[FEBRERO]]+Programacion[[#This Row],[MARZO]]+Programacion[[#This Row],[ABRIL]]+Programacion[[#This Row],[MAYO]]+Programacion[[#This Row],[JUNIO]]</f>
        <v>0</v>
      </c>
      <c r="AP1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82" s="113"/>
    </row>
    <row r="183" spans="1:46" x14ac:dyDescent="0.25">
      <c r="A183" s="71" t="s">
        <v>133</v>
      </c>
      <c r="B183" s="72" t="s">
        <v>146</v>
      </c>
      <c r="C183" s="54" t="s">
        <v>80</v>
      </c>
      <c r="D183" s="73" t="s">
        <v>48</v>
      </c>
      <c r="E183" s="73">
        <v>39</v>
      </c>
      <c r="F183" s="74">
        <v>2.6</v>
      </c>
      <c r="G183" s="71" t="s">
        <v>118</v>
      </c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>
        <v>15587.09</v>
      </c>
      <c r="W183" s="75">
        <v>15587.09</v>
      </c>
      <c r="X183" s="75"/>
      <c r="Y183" s="75"/>
      <c r="Z183" s="75"/>
      <c r="AA183" s="75"/>
      <c r="AB183" s="75"/>
      <c r="AC183" s="75"/>
      <c r="AD183" s="75"/>
      <c r="AE183" s="75"/>
      <c r="AF18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83" s="19">
        <f>Programacion[[#This Row],[ENERO]]+Programacion[[#This Row],[FEBRERO]]+Programacion[[#This Row],[MARZO]]</f>
        <v>0</v>
      </c>
      <c r="AH183" s="19">
        <f>Programacion[[#This Row],[DEVENGADO ENERO]]+Programacion[[#This Row],[DEVENGADO FEBRERO]]+Programacion[[#This Row],[DEVENGADO MARZO]]</f>
        <v>0</v>
      </c>
      <c r="AI183" s="19">
        <f>Programacion[[#This Row],[ABRIL]]+Programacion[[#This Row],[MAYO]]+Programacion[[#This Row],[JUNIO]]</f>
        <v>0</v>
      </c>
      <c r="AJ183" s="19">
        <f>Programacion[[#This Row],[DEVENGADO ABRIL]]+Programacion[[#This Row],[DEVENGADO MAYO]]+Programacion[[#This Row],[DEVENGADO JUNIO]]</f>
        <v>0</v>
      </c>
      <c r="AK183" s="19">
        <f>Programacion[[#This Row],[JULIO]]+Programacion[[#This Row],[AGOSTO]]+Programacion[[#This Row],[SEPTIEMBRE]]</f>
        <v>15587.09</v>
      </c>
      <c r="AL183" s="19">
        <f>Programacion[[#This Row],[DEVENGADO JULIO]]+Programacion[[#This Row],[DEVENGADO AGOSTO]]+Programacion[[#This Row],[DEVENGADO SEPTIEMBRE]]</f>
        <v>15587.09</v>
      </c>
      <c r="AM183" s="19">
        <f>Programacion[[#This Row],[OCTUBRE]]+Programacion[[#This Row],[NOVIEMBRE]]+Programacion[[#This Row],[DICIEMBRE]]</f>
        <v>0</v>
      </c>
      <c r="AN183" s="20">
        <f>Programacion[[#This Row],[DEVENGADO OCTUBRE]]+Programacion[[#This Row],[DEVENGADO NOVIEMBRE]]+Programacion[[#This Row],[DEVENGADO DICIEMBRE]]</f>
        <v>0</v>
      </c>
      <c r="AO183" s="20">
        <f>Programacion[[#This Row],[ENERO]]+Programacion[[#This Row],[FEBRERO]]+Programacion[[#This Row],[MARZO]]+Programacion[[#This Row],[ABRIL]]+Programacion[[#This Row],[MAYO]]+Programacion[[#This Row],[JUNIO]]</f>
        <v>0</v>
      </c>
      <c r="AP18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8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8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83" s="113"/>
    </row>
    <row r="184" spans="1:46" ht="30" x14ac:dyDescent="0.25">
      <c r="A184" s="131" t="s">
        <v>133</v>
      </c>
      <c r="B184" s="132" t="s">
        <v>309</v>
      </c>
      <c r="C184" s="131" t="s">
        <v>261</v>
      </c>
      <c r="D184" s="133" t="s">
        <v>285</v>
      </c>
      <c r="E184" s="149">
        <v>136</v>
      </c>
      <c r="F184" s="134">
        <v>23</v>
      </c>
      <c r="G184" s="133" t="s">
        <v>70</v>
      </c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150">
        <v>6000</v>
      </c>
      <c r="Y184" s="33"/>
      <c r="Z184" s="150">
        <v>6000</v>
      </c>
      <c r="AA184" s="33"/>
      <c r="AB184" s="150">
        <v>6000</v>
      </c>
      <c r="AC184" s="33"/>
      <c r="AD184" s="150">
        <v>6000</v>
      </c>
      <c r="AE184" s="33"/>
      <c r="AF1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4" s="33">
        <f>Programacion[[#This Row],[ENERO]]+Programacion[[#This Row],[FEBRERO]]+Programacion[[#This Row],[MARZO]]</f>
        <v>0</v>
      </c>
      <c r="AH184" s="33">
        <f>Programacion[[#This Row],[DEVENGADO ENERO]]+Programacion[[#This Row],[DEVENGADO FEBRERO]]+Programacion[[#This Row],[DEVENGADO MARZO]]</f>
        <v>0</v>
      </c>
      <c r="AI184" s="33">
        <f>Programacion[[#This Row],[ABRIL]]+Programacion[[#This Row],[MAYO]]+Programacion[[#This Row],[JUNIO]]</f>
        <v>0</v>
      </c>
      <c r="AJ184" s="33">
        <f>Programacion[[#This Row],[DEVENGADO ABRIL]]+Programacion[[#This Row],[DEVENGADO MAYO]]+Programacion[[#This Row],[DEVENGADO JUNIO]]</f>
        <v>0</v>
      </c>
      <c r="AK184" s="33">
        <f>Programacion[[#This Row],[JULIO]]+Programacion[[#This Row],[AGOSTO]]+Programacion[[#This Row],[SEPTIEMBRE]]</f>
        <v>6000</v>
      </c>
      <c r="AL184" s="33">
        <f>Programacion[[#This Row],[DEVENGADO JULIO]]+Programacion[[#This Row],[DEVENGADO AGOSTO]]+Programacion[[#This Row],[DEVENGADO SEPTIEMBRE]]</f>
        <v>0</v>
      </c>
      <c r="AM184" s="33">
        <f>Programacion[[#This Row],[OCTUBRE]]+Programacion[[#This Row],[NOVIEMBRE]]+Programacion[[#This Row],[DICIEMBRE]]</f>
        <v>18000</v>
      </c>
      <c r="AN184" s="21">
        <f>Programacion[[#This Row],[DEVENGADO OCTUBRE]]+Programacion[[#This Row],[DEVENGADO NOVIEMBRE]]+Programacion[[#This Row],[DEVENGADO DICIEMBRE]]</f>
        <v>0</v>
      </c>
      <c r="AO184" s="21">
        <f>Programacion[[#This Row],[ENERO]]+Programacion[[#This Row],[FEBRERO]]+Programacion[[#This Row],[MARZO]]+Programacion[[#This Row],[ABRIL]]+Programacion[[#This Row],[MAYO]]+Programacion[[#This Row],[JUNIO]]</f>
        <v>0</v>
      </c>
      <c r="AP1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113"/>
    </row>
    <row r="185" spans="1:46" ht="30" x14ac:dyDescent="0.25">
      <c r="A185" s="131" t="s">
        <v>133</v>
      </c>
      <c r="B185" s="132" t="s">
        <v>310</v>
      </c>
      <c r="C185" s="131" t="s">
        <v>261</v>
      </c>
      <c r="D185" s="133" t="s">
        <v>285</v>
      </c>
      <c r="E185" s="149">
        <v>136</v>
      </c>
      <c r="F185" s="134">
        <v>23</v>
      </c>
      <c r="G185" s="133" t="s">
        <v>70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150">
        <v>6000</v>
      </c>
      <c r="Y185" s="33"/>
      <c r="Z185" s="150">
        <v>6000</v>
      </c>
      <c r="AA185" s="33"/>
      <c r="AB185" s="150">
        <v>6000</v>
      </c>
      <c r="AC185" s="33"/>
      <c r="AD185" s="150">
        <v>6000</v>
      </c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6000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18000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3"/>
    </row>
    <row r="186" spans="1:46" ht="30" x14ac:dyDescent="0.25">
      <c r="A186" s="131" t="s">
        <v>133</v>
      </c>
      <c r="B186" s="132" t="s">
        <v>311</v>
      </c>
      <c r="C186" s="131" t="s">
        <v>261</v>
      </c>
      <c r="D186" s="133" t="s">
        <v>285</v>
      </c>
      <c r="E186" s="149">
        <v>136</v>
      </c>
      <c r="F186" s="134">
        <v>23</v>
      </c>
      <c r="G186" s="133" t="s">
        <v>70</v>
      </c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150">
        <v>6000</v>
      </c>
      <c r="Y186" s="33"/>
      <c r="Z186" s="150">
        <v>6000</v>
      </c>
      <c r="AA186" s="33"/>
      <c r="AB186" s="150">
        <v>6000</v>
      </c>
      <c r="AC186" s="33"/>
      <c r="AD186" s="150">
        <v>6000</v>
      </c>
      <c r="AE186" s="33"/>
      <c r="AF1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6" s="33">
        <f>Programacion[[#This Row],[ENERO]]+Programacion[[#This Row],[FEBRERO]]+Programacion[[#This Row],[MARZO]]</f>
        <v>0</v>
      </c>
      <c r="AH186" s="33">
        <f>Programacion[[#This Row],[DEVENGADO ENERO]]+Programacion[[#This Row],[DEVENGADO FEBRERO]]+Programacion[[#This Row],[DEVENGADO MARZO]]</f>
        <v>0</v>
      </c>
      <c r="AI186" s="33">
        <f>Programacion[[#This Row],[ABRIL]]+Programacion[[#This Row],[MAYO]]+Programacion[[#This Row],[JUNIO]]</f>
        <v>0</v>
      </c>
      <c r="AJ186" s="33">
        <f>Programacion[[#This Row],[DEVENGADO ABRIL]]+Programacion[[#This Row],[DEVENGADO MAYO]]+Programacion[[#This Row],[DEVENGADO JUNIO]]</f>
        <v>0</v>
      </c>
      <c r="AK186" s="33">
        <f>Programacion[[#This Row],[JULIO]]+Programacion[[#This Row],[AGOSTO]]+Programacion[[#This Row],[SEPTIEMBRE]]</f>
        <v>6000</v>
      </c>
      <c r="AL186" s="33">
        <f>Programacion[[#This Row],[DEVENGADO JULIO]]+Programacion[[#This Row],[DEVENGADO AGOSTO]]+Programacion[[#This Row],[DEVENGADO SEPTIEMBRE]]</f>
        <v>0</v>
      </c>
      <c r="AM186" s="33">
        <f>Programacion[[#This Row],[OCTUBRE]]+Programacion[[#This Row],[NOVIEMBRE]]+Programacion[[#This Row],[DICIEMBRE]]</f>
        <v>18000</v>
      </c>
      <c r="AN186" s="21">
        <f>Programacion[[#This Row],[DEVENGADO OCTUBRE]]+Programacion[[#This Row],[DEVENGADO NOVIEMBRE]]+Programacion[[#This Row],[DEVENGADO DICIEMBRE]]</f>
        <v>0</v>
      </c>
      <c r="AO186" s="21">
        <f>Programacion[[#This Row],[ENERO]]+Programacion[[#This Row],[FEBRERO]]+Programacion[[#This Row],[MARZO]]+Programacion[[#This Row],[ABRIL]]+Programacion[[#This Row],[MAYO]]+Programacion[[#This Row],[JUNIO]]</f>
        <v>0</v>
      </c>
      <c r="AP1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6" s="113"/>
    </row>
    <row r="187" spans="1:46" ht="45" x14ac:dyDescent="0.25">
      <c r="A187" s="131" t="s">
        <v>133</v>
      </c>
      <c r="B187" s="132" t="s">
        <v>312</v>
      </c>
      <c r="C187" s="131" t="s">
        <v>261</v>
      </c>
      <c r="D187" s="133" t="s">
        <v>285</v>
      </c>
      <c r="E187" s="149">
        <v>136</v>
      </c>
      <c r="F187" s="134">
        <v>23</v>
      </c>
      <c r="G187" s="133" t="s">
        <v>57</v>
      </c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150">
        <v>6000</v>
      </c>
      <c r="Y187" s="33"/>
      <c r="Z187" s="150">
        <v>6000</v>
      </c>
      <c r="AA187" s="33"/>
      <c r="AB187" s="150">
        <v>6000</v>
      </c>
      <c r="AC187" s="33"/>
      <c r="AD187" s="150">
        <v>6000</v>
      </c>
      <c r="AE187" s="33"/>
      <c r="AF1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7" s="33">
        <f>Programacion[[#This Row],[ENERO]]+Programacion[[#This Row],[FEBRERO]]+Programacion[[#This Row],[MARZO]]</f>
        <v>0</v>
      </c>
      <c r="AH187" s="33">
        <f>Programacion[[#This Row],[DEVENGADO ENERO]]+Programacion[[#This Row],[DEVENGADO FEBRERO]]+Programacion[[#This Row],[DEVENGADO MARZO]]</f>
        <v>0</v>
      </c>
      <c r="AI187" s="33">
        <f>Programacion[[#This Row],[ABRIL]]+Programacion[[#This Row],[MAYO]]+Programacion[[#This Row],[JUNIO]]</f>
        <v>0</v>
      </c>
      <c r="AJ187" s="33">
        <f>Programacion[[#This Row],[DEVENGADO ABRIL]]+Programacion[[#This Row],[DEVENGADO MAYO]]+Programacion[[#This Row],[DEVENGADO JUNIO]]</f>
        <v>0</v>
      </c>
      <c r="AK187" s="33">
        <f>Programacion[[#This Row],[JULIO]]+Programacion[[#This Row],[AGOSTO]]+Programacion[[#This Row],[SEPTIEMBRE]]</f>
        <v>6000</v>
      </c>
      <c r="AL187" s="33">
        <f>Programacion[[#This Row],[DEVENGADO JULIO]]+Programacion[[#This Row],[DEVENGADO AGOSTO]]+Programacion[[#This Row],[DEVENGADO SEPTIEMBRE]]</f>
        <v>0</v>
      </c>
      <c r="AM187" s="33">
        <f>Programacion[[#This Row],[OCTUBRE]]+Programacion[[#This Row],[NOVIEMBRE]]+Programacion[[#This Row],[DICIEMBRE]]</f>
        <v>18000</v>
      </c>
      <c r="AN187" s="21">
        <f>Programacion[[#This Row],[DEVENGADO OCTUBRE]]+Programacion[[#This Row],[DEVENGADO NOVIEMBRE]]+Programacion[[#This Row],[DEVENGADO DICIEMBRE]]</f>
        <v>0</v>
      </c>
      <c r="AO187" s="21">
        <f>Programacion[[#This Row],[ENERO]]+Programacion[[#This Row],[FEBRERO]]+Programacion[[#This Row],[MARZO]]+Programacion[[#This Row],[ABRIL]]+Programacion[[#This Row],[MAYO]]+Programacion[[#This Row],[JUNIO]]</f>
        <v>0</v>
      </c>
      <c r="AP1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7" s="113"/>
    </row>
    <row r="188" spans="1:46" ht="45" x14ac:dyDescent="0.25">
      <c r="A188" s="131" t="s">
        <v>133</v>
      </c>
      <c r="B188" s="132" t="s">
        <v>313</v>
      </c>
      <c r="C188" s="131" t="s">
        <v>261</v>
      </c>
      <c r="D188" s="133" t="s">
        <v>285</v>
      </c>
      <c r="E188" s="149">
        <v>136</v>
      </c>
      <c r="F188" s="134">
        <v>23</v>
      </c>
      <c r="G188" s="133" t="s">
        <v>57</v>
      </c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150">
        <v>6000</v>
      </c>
      <c r="Y188" s="33"/>
      <c r="Z188" s="150">
        <v>6000</v>
      </c>
      <c r="AA188" s="33"/>
      <c r="AB188" s="150">
        <v>6000</v>
      </c>
      <c r="AC188" s="33"/>
      <c r="AD188" s="150">
        <v>6000</v>
      </c>
      <c r="AE188" s="33"/>
      <c r="AF1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88" s="33">
        <f>Programacion[[#This Row],[ENERO]]+Programacion[[#This Row],[FEBRERO]]+Programacion[[#This Row],[MARZO]]</f>
        <v>0</v>
      </c>
      <c r="AH188" s="33">
        <f>Programacion[[#This Row],[DEVENGADO ENERO]]+Programacion[[#This Row],[DEVENGADO FEBRERO]]+Programacion[[#This Row],[DEVENGADO MARZO]]</f>
        <v>0</v>
      </c>
      <c r="AI188" s="33">
        <f>Programacion[[#This Row],[ABRIL]]+Programacion[[#This Row],[MAYO]]+Programacion[[#This Row],[JUNIO]]</f>
        <v>0</v>
      </c>
      <c r="AJ188" s="33">
        <f>Programacion[[#This Row],[DEVENGADO ABRIL]]+Programacion[[#This Row],[DEVENGADO MAYO]]+Programacion[[#This Row],[DEVENGADO JUNIO]]</f>
        <v>0</v>
      </c>
      <c r="AK188" s="33">
        <f>Programacion[[#This Row],[JULIO]]+Programacion[[#This Row],[AGOSTO]]+Programacion[[#This Row],[SEPTIEMBRE]]</f>
        <v>6000</v>
      </c>
      <c r="AL188" s="33">
        <f>Programacion[[#This Row],[DEVENGADO JULIO]]+Programacion[[#This Row],[DEVENGADO AGOSTO]]+Programacion[[#This Row],[DEVENGADO SEPTIEMBRE]]</f>
        <v>0</v>
      </c>
      <c r="AM188" s="33">
        <f>Programacion[[#This Row],[OCTUBRE]]+Programacion[[#This Row],[NOVIEMBRE]]+Programacion[[#This Row],[DICIEMBRE]]</f>
        <v>18000</v>
      </c>
      <c r="AN188" s="21">
        <f>Programacion[[#This Row],[DEVENGADO OCTUBRE]]+Programacion[[#This Row],[DEVENGADO NOVIEMBRE]]+Programacion[[#This Row],[DEVENGADO DICIEMBRE]]</f>
        <v>0</v>
      </c>
      <c r="AO188" s="21">
        <f>Programacion[[#This Row],[ENERO]]+Programacion[[#This Row],[FEBRERO]]+Programacion[[#This Row],[MARZO]]+Programacion[[#This Row],[ABRIL]]+Programacion[[#This Row],[MAYO]]+Programacion[[#This Row],[JUNIO]]</f>
        <v>0</v>
      </c>
      <c r="AP1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8" s="113"/>
    </row>
    <row r="189" spans="1:46" ht="30" x14ac:dyDescent="0.25">
      <c r="A189" s="131" t="s">
        <v>133</v>
      </c>
      <c r="B189" s="132" t="s">
        <v>314</v>
      </c>
      <c r="C189" s="131" t="s">
        <v>261</v>
      </c>
      <c r="D189" s="133" t="s">
        <v>285</v>
      </c>
      <c r="E189" s="149">
        <v>136</v>
      </c>
      <c r="F189" s="134">
        <v>23</v>
      </c>
      <c r="G189" s="133" t="s">
        <v>70</v>
      </c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150">
        <v>5000</v>
      </c>
      <c r="Y189" s="33"/>
      <c r="Z189" s="150">
        <v>5000</v>
      </c>
      <c r="AA189" s="33"/>
      <c r="AB189" s="150">
        <v>5000</v>
      </c>
      <c r="AC189" s="33"/>
      <c r="AD189" s="150">
        <v>5000</v>
      </c>
      <c r="AE189" s="33"/>
      <c r="AF1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89" s="33">
        <f>Programacion[[#This Row],[ENERO]]+Programacion[[#This Row],[FEBRERO]]+Programacion[[#This Row],[MARZO]]</f>
        <v>0</v>
      </c>
      <c r="AH189" s="33">
        <f>Programacion[[#This Row],[DEVENGADO ENERO]]+Programacion[[#This Row],[DEVENGADO FEBRERO]]+Programacion[[#This Row],[DEVENGADO MARZO]]</f>
        <v>0</v>
      </c>
      <c r="AI189" s="33">
        <f>Programacion[[#This Row],[ABRIL]]+Programacion[[#This Row],[MAYO]]+Programacion[[#This Row],[JUNIO]]</f>
        <v>0</v>
      </c>
      <c r="AJ189" s="33">
        <f>Programacion[[#This Row],[DEVENGADO ABRIL]]+Programacion[[#This Row],[DEVENGADO MAYO]]+Programacion[[#This Row],[DEVENGADO JUNIO]]</f>
        <v>0</v>
      </c>
      <c r="AK189" s="33">
        <f>Programacion[[#This Row],[JULIO]]+Programacion[[#This Row],[AGOSTO]]+Programacion[[#This Row],[SEPTIEMBRE]]</f>
        <v>5000</v>
      </c>
      <c r="AL189" s="33">
        <f>Programacion[[#This Row],[DEVENGADO JULIO]]+Programacion[[#This Row],[DEVENGADO AGOSTO]]+Programacion[[#This Row],[DEVENGADO SEPTIEMBRE]]</f>
        <v>0</v>
      </c>
      <c r="AM189" s="33">
        <f>Programacion[[#This Row],[OCTUBRE]]+Programacion[[#This Row],[NOVIEMBRE]]+Programacion[[#This Row],[DICIEMBRE]]</f>
        <v>15000</v>
      </c>
      <c r="AN189" s="21">
        <f>Programacion[[#This Row],[DEVENGADO OCTUBRE]]+Programacion[[#This Row],[DEVENGADO NOVIEMBRE]]+Programacion[[#This Row],[DEVENGADO DICIEMBRE]]</f>
        <v>0</v>
      </c>
      <c r="AO189" s="21">
        <f>Programacion[[#This Row],[ENERO]]+Programacion[[#This Row],[FEBRERO]]+Programacion[[#This Row],[MARZO]]+Programacion[[#This Row],[ABRIL]]+Programacion[[#This Row],[MAYO]]+Programacion[[#This Row],[JUNIO]]</f>
        <v>0</v>
      </c>
      <c r="AP1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3"/>
    </row>
    <row r="190" spans="1:46" ht="30" x14ac:dyDescent="0.25">
      <c r="A190" s="131" t="s">
        <v>133</v>
      </c>
      <c r="B190" s="132" t="s">
        <v>315</v>
      </c>
      <c r="C190" s="131" t="s">
        <v>261</v>
      </c>
      <c r="D190" s="133" t="s">
        <v>285</v>
      </c>
      <c r="E190" s="149">
        <v>136</v>
      </c>
      <c r="F190" s="134">
        <v>23</v>
      </c>
      <c r="G190" s="133" t="s">
        <v>70</v>
      </c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150">
        <v>5000</v>
      </c>
      <c r="Y190" s="33"/>
      <c r="Z190" s="150">
        <v>5000</v>
      </c>
      <c r="AA190" s="33"/>
      <c r="AB190" s="150">
        <v>5000</v>
      </c>
      <c r="AC190" s="33"/>
      <c r="AD190" s="150">
        <v>5000</v>
      </c>
      <c r="AE190" s="33"/>
      <c r="AF1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33">
        <f>Programacion[[#This Row],[ENERO]]+Programacion[[#This Row],[FEBRERO]]+Programacion[[#This Row],[MARZO]]</f>
        <v>0</v>
      </c>
      <c r="AH190" s="33">
        <f>Programacion[[#This Row],[DEVENGADO ENERO]]+Programacion[[#This Row],[DEVENGADO FEBRERO]]+Programacion[[#This Row],[DEVENGADO MARZO]]</f>
        <v>0</v>
      </c>
      <c r="AI190" s="33">
        <f>Programacion[[#This Row],[ABRIL]]+Programacion[[#This Row],[MAYO]]+Programacion[[#This Row],[JUNIO]]</f>
        <v>0</v>
      </c>
      <c r="AJ190" s="33">
        <f>Programacion[[#This Row],[DEVENGADO ABRIL]]+Programacion[[#This Row],[DEVENGADO MAYO]]+Programacion[[#This Row],[DEVENGADO JUNIO]]</f>
        <v>0</v>
      </c>
      <c r="AK190" s="33">
        <f>Programacion[[#This Row],[JULIO]]+Programacion[[#This Row],[AGOSTO]]+Programacion[[#This Row],[SEPTIEMBRE]]</f>
        <v>5000</v>
      </c>
      <c r="AL190" s="33">
        <f>Programacion[[#This Row],[DEVENGADO JULIO]]+Programacion[[#This Row],[DEVENGADO AGOSTO]]+Programacion[[#This Row],[DEVENGADO SEPTIEMBRE]]</f>
        <v>0</v>
      </c>
      <c r="AM190" s="33">
        <f>Programacion[[#This Row],[OCTUBRE]]+Programacion[[#This Row],[NOVIEMBRE]]+Programacion[[#This Row],[DICIEMBRE]]</f>
        <v>15000</v>
      </c>
      <c r="AN190" s="21">
        <f>Programacion[[#This Row],[DEVENGADO OCTUBRE]]+Programacion[[#This Row],[DEVENGADO NOVIEMBRE]]+Programacion[[#This Row],[DEVENGADO DICIEMBRE]]</f>
        <v>0</v>
      </c>
      <c r="AO190" s="21">
        <f>Programacion[[#This Row],[ENERO]]+Programacion[[#This Row],[FEBRERO]]+Programacion[[#This Row],[MARZO]]+Programacion[[#This Row],[ABRIL]]+Programacion[[#This Row],[MAYO]]+Programacion[[#This Row],[JUNIO]]</f>
        <v>0</v>
      </c>
      <c r="AP1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0" s="21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0" s="113"/>
    </row>
    <row r="191" spans="1:46" ht="45" x14ac:dyDescent="0.25">
      <c r="A191" s="76" t="s">
        <v>147</v>
      </c>
      <c r="B191" s="77" t="s">
        <v>148</v>
      </c>
      <c r="C191" s="78" t="s">
        <v>56</v>
      </c>
      <c r="D191" s="78" t="s">
        <v>149</v>
      </c>
      <c r="E191" s="79">
        <v>34</v>
      </c>
      <c r="F191" s="80">
        <v>2.2999999999999998</v>
      </c>
      <c r="G191" s="78" t="s">
        <v>57</v>
      </c>
      <c r="H191" s="78"/>
      <c r="I191" s="81"/>
      <c r="J191" s="81"/>
      <c r="K191" s="81"/>
      <c r="L191" s="81">
        <v>7000</v>
      </c>
      <c r="M191" s="81">
        <v>7000</v>
      </c>
      <c r="N191" s="81">
        <v>7000</v>
      </c>
      <c r="O191" s="81">
        <v>7000</v>
      </c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2"/>
      <c r="AB191" s="83"/>
      <c r="AC191" s="83"/>
      <c r="AD191" s="83"/>
      <c r="AE191" s="83"/>
      <c r="AF191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91" s="85">
        <f>Programacion[[#This Row],[ENERO]]+Programacion[[#This Row],[FEBRERO]]+Programacion[[#This Row],[MARZO]]</f>
        <v>7000</v>
      </c>
      <c r="AH191" s="85">
        <f>Programacion[[#This Row],[DEVENGADO ENERO]]+Programacion[[#This Row],[DEVENGADO FEBRERO]]+Programacion[[#This Row],[DEVENGADO MARZO]]</f>
        <v>7000</v>
      </c>
      <c r="AI191" s="85">
        <f>Programacion[[#This Row],[ABRIL]]+Programacion[[#This Row],[MAYO]]+Programacion[[#This Row],[JUNIO]]</f>
        <v>7000</v>
      </c>
      <c r="AJ191" s="85">
        <f>Programacion[[#This Row],[DEVENGADO ABRIL]]+Programacion[[#This Row],[DEVENGADO MAYO]]+Programacion[[#This Row],[DEVENGADO JUNIO]]</f>
        <v>7000</v>
      </c>
      <c r="AK191" s="85">
        <f>Programacion[[#This Row],[JULIO]]+Programacion[[#This Row],[AGOSTO]]+Programacion[[#This Row],[SEPTIEMBRE]]</f>
        <v>0</v>
      </c>
      <c r="AL191" s="85">
        <f>Programacion[[#This Row],[DEVENGADO JULIO]]+Programacion[[#This Row],[DEVENGADO AGOSTO]]+Programacion[[#This Row],[DEVENGADO SEPTIEMBRE]]</f>
        <v>0</v>
      </c>
      <c r="AM191" s="85">
        <f>Programacion[[#This Row],[OCTUBRE]]+Programacion[[#This Row],[NOVIEMBRE]]+Programacion[[#This Row],[DICIEMBRE]]</f>
        <v>0</v>
      </c>
      <c r="AN191" s="86">
        <f>Programacion[[#This Row],[DEVENGADO OCTUBRE]]+Programacion[[#This Row],[DEVENGADO NOVIEMBRE]]+Programacion[[#This Row],[DEVENGADO DICIEMBRE]]</f>
        <v>0</v>
      </c>
      <c r="AO191" s="86">
        <f>Programacion[[#This Row],[ENERO]]+Programacion[[#This Row],[FEBRERO]]+Programacion[[#This Row],[MARZO]]+Programacion[[#This Row],[ABRIL]]+Programacion[[#This Row],[MAYO]]+Programacion[[#This Row],[JUNIO]]</f>
        <v>14000</v>
      </c>
      <c r="AP191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91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1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91" s="113"/>
    </row>
    <row r="192" spans="1:46" x14ac:dyDescent="0.25">
      <c r="A192" s="76" t="s">
        <v>147</v>
      </c>
      <c r="B192" s="87" t="s">
        <v>150</v>
      </c>
      <c r="C192" s="88" t="s">
        <v>47</v>
      </c>
      <c r="D192" s="78" t="s">
        <v>149</v>
      </c>
      <c r="E192" s="89">
        <v>34</v>
      </c>
      <c r="F192" s="90">
        <v>2.2999999999999998</v>
      </c>
      <c r="G192" s="91" t="s">
        <v>49</v>
      </c>
      <c r="H192" s="85"/>
      <c r="I192" s="85"/>
      <c r="J192" s="85"/>
      <c r="K192" s="85"/>
      <c r="L192" s="85"/>
      <c r="M192" s="85"/>
      <c r="N192" s="85"/>
      <c r="O192" s="85"/>
      <c r="P192" s="85">
        <v>3564.19</v>
      </c>
      <c r="Q192" s="85">
        <v>3564.19</v>
      </c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92" s="85">
        <f>Programacion[[#This Row],[ENERO]]+Programacion[[#This Row],[FEBRERO]]+Programacion[[#This Row],[MARZO]]</f>
        <v>0</v>
      </c>
      <c r="AH192" s="85">
        <f>Programacion[[#This Row],[DEVENGADO ENERO]]+Programacion[[#This Row],[DEVENGADO FEBRERO]]+Programacion[[#This Row],[DEVENGADO MARZO]]</f>
        <v>0</v>
      </c>
      <c r="AI192" s="85">
        <f>Programacion[[#This Row],[ABRIL]]+Programacion[[#This Row],[MAYO]]+Programacion[[#This Row],[JUNIO]]</f>
        <v>3564.19</v>
      </c>
      <c r="AJ192" s="85">
        <f>Programacion[[#This Row],[DEVENGADO ABRIL]]+Programacion[[#This Row],[DEVENGADO MAYO]]+Programacion[[#This Row],[DEVENGADO JUNIO]]</f>
        <v>3564.19</v>
      </c>
      <c r="AK192" s="85">
        <f>Programacion[[#This Row],[JULIO]]+Programacion[[#This Row],[AGOSTO]]+Programacion[[#This Row],[SEPTIEMBRE]]</f>
        <v>0</v>
      </c>
      <c r="AL192" s="85">
        <f>Programacion[[#This Row],[DEVENGADO JULIO]]+Programacion[[#This Row],[DEVENGADO AGOSTO]]+Programacion[[#This Row],[DEVENGADO SEPTIEMBRE]]</f>
        <v>0</v>
      </c>
      <c r="AM192" s="85">
        <f>Programacion[[#This Row],[OCTUBRE]]+Programacion[[#This Row],[NOVIEMBRE]]+Programacion[[#This Row],[DICIEMBRE]]</f>
        <v>0</v>
      </c>
      <c r="AN192" s="85">
        <f>Programacion[[#This Row],[DEVENGADO OCTUBRE]]+Programacion[[#This Row],[DEVENGADO NOVIEMBRE]]+Programacion[[#This Row],[DEVENGADO DICIEMBRE]]</f>
        <v>0</v>
      </c>
      <c r="AO192" s="85">
        <f>Programacion[[#This Row],[ENERO]]+Programacion[[#This Row],[FEBRERO]]+Programacion[[#This Row],[MARZO]]+Programacion[[#This Row],[ABRIL]]+Programacion[[#This Row],[MAYO]]+Programacion[[#This Row],[JUNIO]]</f>
        <v>3564.19</v>
      </c>
      <c r="AP192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92" s="8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92" s="113"/>
    </row>
    <row r="193" spans="1:46" x14ac:dyDescent="0.25">
      <c r="A193" s="76" t="s">
        <v>147</v>
      </c>
      <c r="B193" s="87" t="s">
        <v>151</v>
      </c>
      <c r="C193" s="88" t="s">
        <v>47</v>
      </c>
      <c r="D193" s="78" t="s">
        <v>149</v>
      </c>
      <c r="E193" s="89">
        <v>34</v>
      </c>
      <c r="F193" s="90">
        <v>2.2999999999999998</v>
      </c>
      <c r="G193" s="91" t="s">
        <v>51</v>
      </c>
      <c r="H193" s="85"/>
      <c r="I193" s="85"/>
      <c r="J193" s="85"/>
      <c r="K193" s="85"/>
      <c r="L193" s="85"/>
      <c r="M193" s="85"/>
      <c r="N193" s="85"/>
      <c r="O193" s="85"/>
      <c r="P193" s="85">
        <v>1806</v>
      </c>
      <c r="Q193" s="85">
        <v>1806</v>
      </c>
      <c r="R193" s="85">
        <v>-317</v>
      </c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93" s="85">
        <f>Programacion[[#This Row],[ENERO]]+Programacion[[#This Row],[FEBRERO]]+Programacion[[#This Row],[MARZO]]</f>
        <v>0</v>
      </c>
      <c r="AH193" s="85">
        <f>Programacion[[#This Row],[DEVENGADO ENERO]]+Programacion[[#This Row],[DEVENGADO FEBRERO]]+Programacion[[#This Row],[DEVENGADO MARZO]]</f>
        <v>0</v>
      </c>
      <c r="AI193" s="85">
        <f>Programacion[[#This Row],[ABRIL]]+Programacion[[#This Row],[MAYO]]+Programacion[[#This Row],[JUNIO]]</f>
        <v>1489</v>
      </c>
      <c r="AJ193" s="85">
        <f>Programacion[[#This Row],[DEVENGADO ABRIL]]+Programacion[[#This Row],[DEVENGADO MAYO]]+Programacion[[#This Row],[DEVENGADO JUNIO]]</f>
        <v>1806</v>
      </c>
      <c r="AK193" s="85">
        <f>Programacion[[#This Row],[JULIO]]+Programacion[[#This Row],[AGOSTO]]+Programacion[[#This Row],[SEPTIEMBRE]]</f>
        <v>0</v>
      </c>
      <c r="AL193" s="85">
        <f>Programacion[[#This Row],[DEVENGADO JULIO]]+Programacion[[#This Row],[DEVENGADO AGOSTO]]+Programacion[[#This Row],[DEVENGADO SEPTIEMBRE]]</f>
        <v>0</v>
      </c>
      <c r="AM193" s="85">
        <f>Programacion[[#This Row],[OCTUBRE]]+Programacion[[#This Row],[NOVIEMBRE]]+Programacion[[#This Row],[DICIEMBRE]]</f>
        <v>0</v>
      </c>
      <c r="AN193" s="85">
        <f>Programacion[[#This Row],[DEVENGADO OCTUBRE]]+Programacion[[#This Row],[DEVENGADO NOVIEMBRE]]+Programacion[[#This Row],[DEVENGADO DICIEMBRE]]</f>
        <v>0</v>
      </c>
      <c r="AO193" s="85">
        <f>Programacion[[#This Row],[ENERO]]+Programacion[[#This Row],[FEBRERO]]+Programacion[[#This Row],[MARZO]]+Programacion[[#This Row],[ABRIL]]+Programacion[[#This Row],[MAYO]]+Programacion[[#This Row],[JUNIO]]</f>
        <v>1489</v>
      </c>
      <c r="AP193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93" s="8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93" s="113"/>
    </row>
    <row r="194" spans="1:46" x14ac:dyDescent="0.25">
      <c r="A194" s="76" t="s">
        <v>147</v>
      </c>
      <c r="B194" s="87" t="s">
        <v>152</v>
      </c>
      <c r="C194" s="88" t="s">
        <v>73</v>
      </c>
      <c r="D194" s="78" t="s">
        <v>149</v>
      </c>
      <c r="E194" s="89">
        <v>34</v>
      </c>
      <c r="F194" s="90">
        <v>2.2999999999999998</v>
      </c>
      <c r="G194" s="91" t="s">
        <v>74</v>
      </c>
      <c r="H194" s="85"/>
      <c r="I194" s="85"/>
      <c r="J194" s="85"/>
      <c r="K194" s="85"/>
      <c r="L194" s="85"/>
      <c r="M194" s="85"/>
      <c r="N194" s="85"/>
      <c r="O194" s="85"/>
      <c r="P194" s="85">
        <v>500</v>
      </c>
      <c r="Q194" s="85">
        <v>500</v>
      </c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94" s="85">
        <f>Programacion[[#This Row],[ENERO]]+Programacion[[#This Row],[FEBRERO]]+Programacion[[#This Row],[MARZO]]</f>
        <v>0</v>
      </c>
      <c r="AH194" s="85">
        <f>Programacion[[#This Row],[DEVENGADO ENERO]]+Programacion[[#This Row],[DEVENGADO FEBRERO]]+Programacion[[#This Row],[DEVENGADO MARZO]]</f>
        <v>0</v>
      </c>
      <c r="AI194" s="85">
        <f>Programacion[[#This Row],[ABRIL]]+Programacion[[#This Row],[MAYO]]+Programacion[[#This Row],[JUNIO]]</f>
        <v>500</v>
      </c>
      <c r="AJ194" s="85">
        <f>Programacion[[#This Row],[DEVENGADO ABRIL]]+Programacion[[#This Row],[DEVENGADO MAYO]]+Programacion[[#This Row],[DEVENGADO JUNIO]]</f>
        <v>500</v>
      </c>
      <c r="AK194" s="85">
        <f>Programacion[[#This Row],[JULIO]]+Programacion[[#This Row],[AGOSTO]]+Programacion[[#This Row],[SEPTIEMBRE]]</f>
        <v>0</v>
      </c>
      <c r="AL194" s="85">
        <f>Programacion[[#This Row],[DEVENGADO JULIO]]+Programacion[[#This Row],[DEVENGADO AGOSTO]]+Programacion[[#This Row],[DEVENGADO SEPTIEMBRE]]</f>
        <v>0</v>
      </c>
      <c r="AM194" s="85">
        <f>Programacion[[#This Row],[OCTUBRE]]+Programacion[[#This Row],[NOVIEMBRE]]+Programacion[[#This Row],[DICIEMBRE]]</f>
        <v>0</v>
      </c>
      <c r="AN194" s="85">
        <f>Programacion[[#This Row],[DEVENGADO OCTUBRE]]+Programacion[[#This Row],[DEVENGADO NOVIEMBRE]]+Programacion[[#This Row],[DEVENGADO DICIEMBRE]]</f>
        <v>0</v>
      </c>
      <c r="AO194" s="85">
        <f>Programacion[[#This Row],[ENERO]]+Programacion[[#This Row],[FEBRERO]]+Programacion[[#This Row],[MARZO]]+Programacion[[#This Row],[ABRIL]]+Programacion[[#This Row],[MAYO]]+Programacion[[#This Row],[JUNIO]]</f>
        <v>500</v>
      </c>
      <c r="AP194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94" s="85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94" s="113"/>
    </row>
    <row r="195" spans="1:46" x14ac:dyDescent="0.25">
      <c r="A195" s="92" t="s">
        <v>147</v>
      </c>
      <c r="B195" s="87" t="s">
        <v>153</v>
      </c>
      <c r="C195" s="88" t="s">
        <v>56</v>
      </c>
      <c r="D195" s="91" t="s">
        <v>149</v>
      </c>
      <c r="E195" s="89">
        <v>34</v>
      </c>
      <c r="F195" s="90">
        <v>2.2999999999999998</v>
      </c>
      <c r="G195" s="91" t="s">
        <v>57</v>
      </c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>
        <v>7045.58</v>
      </c>
      <c r="AA195" s="85"/>
      <c r="AB195" s="85"/>
      <c r="AC195" s="85"/>
      <c r="AD195" s="85"/>
      <c r="AE195" s="85"/>
      <c r="AF19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95" s="85">
        <f>Programacion[[#This Row],[ENERO]]+Programacion[[#This Row],[FEBRERO]]+Programacion[[#This Row],[MARZO]]</f>
        <v>0</v>
      </c>
      <c r="AH195" s="85">
        <f>Programacion[[#This Row],[DEVENGADO ENERO]]+Programacion[[#This Row],[DEVENGADO FEBRERO]]+Programacion[[#This Row],[DEVENGADO MARZO]]</f>
        <v>0</v>
      </c>
      <c r="AI195" s="85">
        <f>Programacion[[#This Row],[ABRIL]]+Programacion[[#This Row],[MAYO]]+Programacion[[#This Row],[JUNIO]]</f>
        <v>0</v>
      </c>
      <c r="AJ195" s="85">
        <f>Programacion[[#This Row],[DEVENGADO ABRIL]]+Programacion[[#This Row],[DEVENGADO MAYO]]+Programacion[[#This Row],[DEVENGADO JUNIO]]</f>
        <v>0</v>
      </c>
      <c r="AK195" s="85">
        <f>Programacion[[#This Row],[JULIO]]+Programacion[[#This Row],[AGOSTO]]+Programacion[[#This Row],[SEPTIEMBRE]]</f>
        <v>0</v>
      </c>
      <c r="AL195" s="85">
        <f>Programacion[[#This Row],[DEVENGADO JULIO]]+Programacion[[#This Row],[DEVENGADO AGOSTO]]+Programacion[[#This Row],[DEVENGADO SEPTIEMBRE]]</f>
        <v>0</v>
      </c>
      <c r="AM195" s="85">
        <f>Programacion[[#This Row],[OCTUBRE]]+Programacion[[#This Row],[NOVIEMBRE]]+Programacion[[#This Row],[DICIEMBRE]]</f>
        <v>7045.58</v>
      </c>
      <c r="AN195" s="94">
        <f>Programacion[[#This Row],[DEVENGADO OCTUBRE]]+Programacion[[#This Row],[DEVENGADO NOVIEMBRE]]+Programacion[[#This Row],[DEVENGADO DICIEMBRE]]</f>
        <v>0</v>
      </c>
      <c r="AO195" s="94">
        <f>Programacion[[#This Row],[ENERO]]+Programacion[[#This Row],[FEBRERO]]+Programacion[[#This Row],[MARZO]]+Programacion[[#This Row],[ABRIL]]+Programacion[[#This Row],[MAYO]]+Programacion[[#This Row],[JUNIO]]</f>
        <v>0</v>
      </c>
      <c r="AP19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5" s="94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9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5" s="113"/>
    </row>
    <row r="196" spans="1:46" ht="30" x14ac:dyDescent="0.25">
      <c r="A196" s="92" t="s">
        <v>147</v>
      </c>
      <c r="B196" s="87" t="s">
        <v>154</v>
      </c>
      <c r="C196" s="88" t="s">
        <v>56</v>
      </c>
      <c r="D196" s="91" t="s">
        <v>149</v>
      </c>
      <c r="E196" s="89">
        <v>34</v>
      </c>
      <c r="F196" s="90">
        <v>2.2999999999999998</v>
      </c>
      <c r="G196" s="91" t="s">
        <v>57</v>
      </c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>
        <v>13530</v>
      </c>
      <c r="Y196" s="85"/>
      <c r="Z196" s="85">
        <v>6970</v>
      </c>
      <c r="AA196" s="85"/>
      <c r="AB196" s="85"/>
      <c r="AC196" s="85"/>
      <c r="AD196" s="85"/>
      <c r="AE196" s="85"/>
      <c r="AF19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96" s="85">
        <f>Programacion[[#This Row],[ENERO]]+Programacion[[#This Row],[FEBRERO]]+Programacion[[#This Row],[MARZO]]</f>
        <v>0</v>
      </c>
      <c r="AH196" s="85">
        <f>Programacion[[#This Row],[DEVENGADO ENERO]]+Programacion[[#This Row],[DEVENGADO FEBRERO]]+Programacion[[#This Row],[DEVENGADO MARZO]]</f>
        <v>0</v>
      </c>
      <c r="AI196" s="85">
        <f>Programacion[[#This Row],[ABRIL]]+Programacion[[#This Row],[MAYO]]+Programacion[[#This Row],[JUNIO]]</f>
        <v>0</v>
      </c>
      <c r="AJ196" s="85">
        <f>Programacion[[#This Row],[DEVENGADO ABRIL]]+Programacion[[#This Row],[DEVENGADO MAYO]]+Programacion[[#This Row],[DEVENGADO JUNIO]]</f>
        <v>0</v>
      </c>
      <c r="AK196" s="85">
        <f>Programacion[[#This Row],[JULIO]]+Programacion[[#This Row],[AGOSTO]]+Programacion[[#This Row],[SEPTIEMBRE]]</f>
        <v>13530</v>
      </c>
      <c r="AL196" s="85">
        <f>Programacion[[#This Row],[DEVENGADO JULIO]]+Programacion[[#This Row],[DEVENGADO AGOSTO]]+Programacion[[#This Row],[DEVENGADO SEPTIEMBRE]]</f>
        <v>0</v>
      </c>
      <c r="AM196" s="85">
        <f>Programacion[[#This Row],[OCTUBRE]]+Programacion[[#This Row],[NOVIEMBRE]]+Programacion[[#This Row],[DICIEMBRE]]</f>
        <v>6970</v>
      </c>
      <c r="AN196" s="94">
        <f>Programacion[[#This Row],[DEVENGADO OCTUBRE]]+Programacion[[#This Row],[DEVENGADO NOVIEMBRE]]+Programacion[[#This Row],[DEVENGADO DICIEMBRE]]</f>
        <v>0</v>
      </c>
      <c r="AO196" s="94">
        <f>Programacion[[#This Row],[ENERO]]+Programacion[[#This Row],[FEBRERO]]+Programacion[[#This Row],[MARZO]]+Programacion[[#This Row],[ABRIL]]+Programacion[[#This Row],[MAYO]]+Programacion[[#This Row],[JUNIO]]</f>
        <v>0</v>
      </c>
      <c r="AP19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6" s="94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9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6" s="113"/>
    </row>
    <row r="197" spans="1:46" ht="30" x14ac:dyDescent="0.25">
      <c r="A197" s="96" t="s">
        <v>147</v>
      </c>
      <c r="B197" s="87" t="s">
        <v>155</v>
      </c>
      <c r="C197" s="78" t="s">
        <v>56</v>
      </c>
      <c r="D197" s="78" t="s">
        <v>149</v>
      </c>
      <c r="E197" s="79">
        <v>34</v>
      </c>
      <c r="F197" s="80">
        <v>2.2999999999999998</v>
      </c>
      <c r="G197" s="78" t="s">
        <v>126</v>
      </c>
      <c r="H197" s="78"/>
      <c r="I197" s="81"/>
      <c r="J197" s="81">
        <v>4500</v>
      </c>
      <c r="K197" s="81">
        <v>4500</v>
      </c>
      <c r="L197" s="81">
        <v>10500</v>
      </c>
      <c r="M197" s="81">
        <v>10500</v>
      </c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2"/>
      <c r="AB197" s="97"/>
      <c r="AC197" s="97"/>
      <c r="AD197" s="97"/>
      <c r="AE197" s="97"/>
      <c r="AF197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97" s="85">
        <f>Programacion[[#This Row],[ENERO]]+Programacion[[#This Row],[FEBRERO]]+Programacion[[#This Row],[MARZO]]</f>
        <v>15000</v>
      </c>
      <c r="AH197" s="85">
        <f>Programacion[[#This Row],[DEVENGADO ENERO]]+Programacion[[#This Row],[DEVENGADO FEBRERO]]+Programacion[[#This Row],[DEVENGADO MARZO]]</f>
        <v>15000</v>
      </c>
      <c r="AI197" s="85">
        <f>Programacion[[#This Row],[ABRIL]]+Programacion[[#This Row],[MAYO]]+Programacion[[#This Row],[JUNIO]]</f>
        <v>0</v>
      </c>
      <c r="AJ197" s="85">
        <f>Programacion[[#This Row],[DEVENGADO ABRIL]]+Programacion[[#This Row],[DEVENGADO MAYO]]+Programacion[[#This Row],[DEVENGADO JUNIO]]</f>
        <v>0</v>
      </c>
      <c r="AK197" s="85">
        <f>Programacion[[#This Row],[JULIO]]+Programacion[[#This Row],[AGOSTO]]+Programacion[[#This Row],[SEPTIEMBRE]]</f>
        <v>0</v>
      </c>
      <c r="AL197" s="85">
        <f>Programacion[[#This Row],[DEVENGADO JULIO]]+Programacion[[#This Row],[DEVENGADO AGOSTO]]+Programacion[[#This Row],[DEVENGADO SEPTIEMBRE]]</f>
        <v>0</v>
      </c>
      <c r="AM197" s="85">
        <f>Programacion[[#This Row],[OCTUBRE]]+Programacion[[#This Row],[NOVIEMBRE]]+Programacion[[#This Row],[DICIEMBRE]]</f>
        <v>0</v>
      </c>
      <c r="AN197" s="86">
        <f>Programacion[[#This Row],[DEVENGADO OCTUBRE]]+Programacion[[#This Row],[DEVENGADO NOVIEMBRE]]+Programacion[[#This Row],[DEVENGADO DICIEMBRE]]</f>
        <v>0</v>
      </c>
      <c r="AO197" s="86">
        <f>Programacion[[#This Row],[ENERO]]+Programacion[[#This Row],[FEBRERO]]+Programacion[[#This Row],[MARZO]]+Programacion[[#This Row],[ABRIL]]+Programacion[[#This Row],[MAYO]]+Programacion[[#This Row],[JUNIO]]</f>
        <v>15000</v>
      </c>
      <c r="AP197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97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97" s="113"/>
    </row>
    <row r="198" spans="1:46" x14ac:dyDescent="0.25">
      <c r="A198" s="96" t="s">
        <v>147</v>
      </c>
      <c r="B198" s="87" t="s">
        <v>156</v>
      </c>
      <c r="C198" s="78" t="s">
        <v>47</v>
      </c>
      <c r="D198" s="78" t="s">
        <v>149</v>
      </c>
      <c r="E198" s="79">
        <v>34</v>
      </c>
      <c r="F198" s="80">
        <v>2.2999999999999998</v>
      </c>
      <c r="G198" s="78" t="s">
        <v>51</v>
      </c>
      <c r="H198" s="78"/>
      <c r="I198" s="81"/>
      <c r="J198" s="81">
        <v>170</v>
      </c>
      <c r="K198" s="81">
        <v>170</v>
      </c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2"/>
      <c r="AB198" s="97"/>
      <c r="AC198" s="97"/>
      <c r="AD198" s="97"/>
      <c r="AE198" s="97"/>
      <c r="AF198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98" s="85">
        <f>Programacion[[#This Row],[ENERO]]+Programacion[[#This Row],[FEBRERO]]+Programacion[[#This Row],[MARZO]]</f>
        <v>170</v>
      </c>
      <c r="AH198" s="85">
        <f>Programacion[[#This Row],[DEVENGADO ENERO]]+Programacion[[#This Row],[DEVENGADO FEBRERO]]+Programacion[[#This Row],[DEVENGADO MARZO]]</f>
        <v>170</v>
      </c>
      <c r="AI198" s="85">
        <f>Programacion[[#This Row],[ABRIL]]+Programacion[[#This Row],[MAYO]]+Programacion[[#This Row],[JUNIO]]</f>
        <v>0</v>
      </c>
      <c r="AJ198" s="85">
        <f>Programacion[[#This Row],[DEVENGADO ABRIL]]+Programacion[[#This Row],[DEVENGADO MAYO]]+Programacion[[#This Row],[DEVENGADO JUNIO]]</f>
        <v>0</v>
      </c>
      <c r="AK198" s="85">
        <f>Programacion[[#This Row],[JULIO]]+Programacion[[#This Row],[AGOSTO]]+Programacion[[#This Row],[SEPTIEMBRE]]</f>
        <v>0</v>
      </c>
      <c r="AL198" s="85">
        <f>Programacion[[#This Row],[DEVENGADO JULIO]]+Programacion[[#This Row],[DEVENGADO AGOSTO]]+Programacion[[#This Row],[DEVENGADO SEPTIEMBRE]]</f>
        <v>0</v>
      </c>
      <c r="AM198" s="85">
        <f>Programacion[[#This Row],[OCTUBRE]]+Programacion[[#This Row],[NOVIEMBRE]]+Programacion[[#This Row],[DICIEMBRE]]</f>
        <v>0</v>
      </c>
      <c r="AN198" s="86">
        <f>Programacion[[#This Row],[DEVENGADO OCTUBRE]]+Programacion[[#This Row],[DEVENGADO NOVIEMBRE]]+Programacion[[#This Row],[DEVENGADO DICIEMBRE]]</f>
        <v>0</v>
      </c>
      <c r="AO198" s="86">
        <f>Programacion[[#This Row],[ENERO]]+Programacion[[#This Row],[FEBRERO]]+Programacion[[#This Row],[MARZO]]+Programacion[[#This Row],[ABRIL]]+Programacion[[#This Row],[MAYO]]+Programacion[[#This Row],[JUNIO]]</f>
        <v>170</v>
      </c>
      <c r="AP198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98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8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98" s="113"/>
    </row>
    <row r="199" spans="1:46" x14ac:dyDescent="0.25">
      <c r="A199" s="96" t="s">
        <v>147</v>
      </c>
      <c r="B199" s="87" t="s">
        <v>157</v>
      </c>
      <c r="C199" s="78" t="s">
        <v>47</v>
      </c>
      <c r="D199" s="78" t="s">
        <v>149</v>
      </c>
      <c r="E199" s="79">
        <v>34</v>
      </c>
      <c r="F199" s="80">
        <v>2.2999999999999998</v>
      </c>
      <c r="G199" s="78" t="s">
        <v>49</v>
      </c>
      <c r="H199" s="78"/>
      <c r="I199" s="81"/>
      <c r="J199" s="81">
        <v>165</v>
      </c>
      <c r="K199" s="81">
        <v>165</v>
      </c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2"/>
      <c r="AB199" s="97"/>
      <c r="AC199" s="97"/>
      <c r="AD199" s="97"/>
      <c r="AE199" s="97"/>
      <c r="AF199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99" s="85">
        <f>Programacion[[#This Row],[ENERO]]+Programacion[[#This Row],[FEBRERO]]+Programacion[[#This Row],[MARZO]]</f>
        <v>165</v>
      </c>
      <c r="AH199" s="85">
        <f>Programacion[[#This Row],[DEVENGADO ENERO]]+Programacion[[#This Row],[DEVENGADO FEBRERO]]+Programacion[[#This Row],[DEVENGADO MARZO]]</f>
        <v>165</v>
      </c>
      <c r="AI199" s="85">
        <f>Programacion[[#This Row],[ABRIL]]+Programacion[[#This Row],[MAYO]]+Programacion[[#This Row],[JUNIO]]</f>
        <v>0</v>
      </c>
      <c r="AJ199" s="85">
        <f>Programacion[[#This Row],[DEVENGADO ABRIL]]+Programacion[[#This Row],[DEVENGADO MAYO]]+Programacion[[#This Row],[DEVENGADO JUNIO]]</f>
        <v>0</v>
      </c>
      <c r="AK199" s="85">
        <f>Programacion[[#This Row],[JULIO]]+Programacion[[#This Row],[AGOSTO]]+Programacion[[#This Row],[SEPTIEMBRE]]</f>
        <v>0</v>
      </c>
      <c r="AL199" s="85">
        <f>Programacion[[#This Row],[DEVENGADO JULIO]]+Programacion[[#This Row],[DEVENGADO AGOSTO]]+Programacion[[#This Row],[DEVENGADO SEPTIEMBRE]]</f>
        <v>0</v>
      </c>
      <c r="AM199" s="85">
        <f>Programacion[[#This Row],[OCTUBRE]]+Programacion[[#This Row],[NOVIEMBRE]]+Programacion[[#This Row],[DICIEMBRE]]</f>
        <v>0</v>
      </c>
      <c r="AN199" s="86">
        <f>Programacion[[#This Row],[DEVENGADO OCTUBRE]]+Programacion[[#This Row],[DEVENGADO NOVIEMBRE]]+Programacion[[#This Row],[DEVENGADO DICIEMBRE]]</f>
        <v>0</v>
      </c>
      <c r="AO199" s="86">
        <f>Programacion[[#This Row],[ENERO]]+Programacion[[#This Row],[FEBRERO]]+Programacion[[#This Row],[MARZO]]+Programacion[[#This Row],[ABRIL]]+Programacion[[#This Row],[MAYO]]+Programacion[[#This Row],[JUNIO]]</f>
        <v>165</v>
      </c>
      <c r="AP199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99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9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99" s="113"/>
    </row>
    <row r="200" spans="1:46" ht="30" x14ac:dyDescent="0.25">
      <c r="A200" s="96" t="s">
        <v>147</v>
      </c>
      <c r="B200" s="87" t="s">
        <v>158</v>
      </c>
      <c r="C200" s="78" t="s">
        <v>56</v>
      </c>
      <c r="D200" s="78" t="s">
        <v>149</v>
      </c>
      <c r="E200" s="79">
        <v>34</v>
      </c>
      <c r="F200" s="80">
        <v>2.2999999999999998</v>
      </c>
      <c r="G200" s="78" t="s">
        <v>57</v>
      </c>
      <c r="H200" s="78"/>
      <c r="I200" s="81"/>
      <c r="J200" s="81"/>
      <c r="K200" s="81"/>
      <c r="L200" s="81"/>
      <c r="M200" s="81"/>
      <c r="N200" s="81">
        <v>5848</v>
      </c>
      <c r="O200" s="81">
        <v>5848</v>
      </c>
      <c r="P200" s="81">
        <v>5848</v>
      </c>
      <c r="Q200" s="81">
        <v>5848</v>
      </c>
      <c r="R200" s="81">
        <v>2924</v>
      </c>
      <c r="S200" s="81">
        <v>2924</v>
      </c>
      <c r="T200" s="81"/>
      <c r="U200" s="81"/>
      <c r="V200" s="81"/>
      <c r="W200" s="81"/>
      <c r="X200" s="81"/>
      <c r="Y200" s="81"/>
      <c r="Z200" s="81">
        <v>0.39</v>
      </c>
      <c r="AA200" s="82"/>
      <c r="AB200" s="97"/>
      <c r="AC200" s="97"/>
      <c r="AD200" s="97"/>
      <c r="AE200" s="97"/>
      <c r="AF200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200" s="85">
        <f>Programacion[[#This Row],[ENERO]]+Programacion[[#This Row],[FEBRERO]]+Programacion[[#This Row],[MARZO]]</f>
        <v>0</v>
      </c>
      <c r="AH200" s="85">
        <f>Programacion[[#This Row],[DEVENGADO ENERO]]+Programacion[[#This Row],[DEVENGADO FEBRERO]]+Programacion[[#This Row],[DEVENGADO MARZO]]</f>
        <v>0</v>
      </c>
      <c r="AI200" s="85">
        <f>Programacion[[#This Row],[ABRIL]]+Programacion[[#This Row],[MAYO]]+Programacion[[#This Row],[JUNIO]]</f>
        <v>14620</v>
      </c>
      <c r="AJ200" s="85">
        <f>Programacion[[#This Row],[DEVENGADO ABRIL]]+Programacion[[#This Row],[DEVENGADO MAYO]]+Programacion[[#This Row],[DEVENGADO JUNIO]]</f>
        <v>14620</v>
      </c>
      <c r="AK200" s="85">
        <f>Programacion[[#This Row],[JULIO]]+Programacion[[#This Row],[AGOSTO]]+Programacion[[#This Row],[SEPTIEMBRE]]</f>
        <v>0</v>
      </c>
      <c r="AL200" s="85">
        <f>Programacion[[#This Row],[DEVENGADO JULIO]]+Programacion[[#This Row],[DEVENGADO AGOSTO]]+Programacion[[#This Row],[DEVENGADO SEPTIEMBRE]]</f>
        <v>0</v>
      </c>
      <c r="AM200" s="85">
        <f>Programacion[[#This Row],[OCTUBRE]]+Programacion[[#This Row],[NOVIEMBRE]]+Programacion[[#This Row],[DICIEMBRE]]</f>
        <v>0.39</v>
      </c>
      <c r="AN200" s="86">
        <f>Programacion[[#This Row],[DEVENGADO OCTUBRE]]+Programacion[[#This Row],[DEVENGADO NOVIEMBRE]]+Programacion[[#This Row],[DEVENGADO DICIEMBRE]]</f>
        <v>0</v>
      </c>
      <c r="AO200" s="86">
        <f>Programacion[[#This Row],[ENERO]]+Programacion[[#This Row],[FEBRERO]]+Programacion[[#This Row],[MARZO]]+Programacion[[#This Row],[ABRIL]]+Programacion[[#This Row],[MAYO]]+Programacion[[#This Row],[JUNIO]]</f>
        <v>14620</v>
      </c>
      <c r="AP200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00" s="86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200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00" s="113"/>
    </row>
    <row r="201" spans="1:46" ht="30" x14ac:dyDescent="0.25">
      <c r="A201" s="92" t="s">
        <v>147</v>
      </c>
      <c r="B201" s="87" t="s">
        <v>159</v>
      </c>
      <c r="C201" s="88" t="s">
        <v>56</v>
      </c>
      <c r="D201" s="91" t="s">
        <v>149</v>
      </c>
      <c r="E201" s="89">
        <v>34</v>
      </c>
      <c r="F201" s="90">
        <v>2.2999999999999998</v>
      </c>
      <c r="G201" s="91" t="s">
        <v>57</v>
      </c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>
        <v>6000</v>
      </c>
      <c r="U201" s="85">
        <v>6000</v>
      </c>
      <c r="V201" s="85">
        <v>6000</v>
      </c>
      <c r="W201" s="85">
        <v>6000</v>
      </c>
      <c r="X201" s="85">
        <v>6000</v>
      </c>
      <c r="Y201" s="85">
        <v>6000</v>
      </c>
      <c r="Z201" s="85">
        <v>12000</v>
      </c>
      <c r="AA201" s="85"/>
      <c r="AB201" s="85"/>
      <c r="AC201" s="85"/>
      <c r="AD201" s="85"/>
      <c r="AE201" s="85"/>
      <c r="AF20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01" s="85">
        <f>Programacion[[#This Row],[ENERO]]+Programacion[[#This Row],[FEBRERO]]+Programacion[[#This Row],[MARZO]]</f>
        <v>0</v>
      </c>
      <c r="AH201" s="85">
        <f>Programacion[[#This Row],[DEVENGADO ENERO]]+Programacion[[#This Row],[DEVENGADO FEBRERO]]+Programacion[[#This Row],[DEVENGADO MARZO]]</f>
        <v>0</v>
      </c>
      <c r="AI201" s="85">
        <f>Programacion[[#This Row],[ABRIL]]+Programacion[[#This Row],[MAYO]]+Programacion[[#This Row],[JUNIO]]</f>
        <v>0</v>
      </c>
      <c r="AJ201" s="85">
        <f>Programacion[[#This Row],[DEVENGADO ABRIL]]+Programacion[[#This Row],[DEVENGADO MAYO]]+Programacion[[#This Row],[DEVENGADO JUNIO]]</f>
        <v>0</v>
      </c>
      <c r="AK201" s="85">
        <f>Programacion[[#This Row],[JULIO]]+Programacion[[#This Row],[AGOSTO]]+Programacion[[#This Row],[SEPTIEMBRE]]</f>
        <v>18000</v>
      </c>
      <c r="AL201" s="85">
        <f>Programacion[[#This Row],[DEVENGADO JULIO]]+Programacion[[#This Row],[DEVENGADO AGOSTO]]+Programacion[[#This Row],[DEVENGADO SEPTIEMBRE]]</f>
        <v>18000</v>
      </c>
      <c r="AM201" s="85">
        <f>Programacion[[#This Row],[OCTUBRE]]+Programacion[[#This Row],[NOVIEMBRE]]+Programacion[[#This Row],[DICIEMBRE]]</f>
        <v>12000</v>
      </c>
      <c r="AN201" s="94">
        <f>Programacion[[#This Row],[DEVENGADO OCTUBRE]]+Programacion[[#This Row],[DEVENGADO NOVIEMBRE]]+Programacion[[#This Row],[DEVENGADO DICIEMBRE]]</f>
        <v>0</v>
      </c>
      <c r="AO201" s="94">
        <f>Programacion[[#This Row],[ENERO]]+Programacion[[#This Row],[FEBRERO]]+Programacion[[#This Row],[MARZO]]+Programacion[[#This Row],[ABRIL]]+Programacion[[#This Row],[MAYO]]+Programacion[[#This Row],[JUNIO]]</f>
        <v>0</v>
      </c>
      <c r="AP201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9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1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201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201" s="113"/>
    </row>
    <row r="202" spans="1:46" x14ac:dyDescent="0.25">
      <c r="A202" s="92" t="s">
        <v>147</v>
      </c>
      <c r="B202" s="87" t="s">
        <v>160</v>
      </c>
      <c r="C202" s="88" t="s">
        <v>47</v>
      </c>
      <c r="D202" s="91" t="s">
        <v>149</v>
      </c>
      <c r="E202" s="89">
        <v>95</v>
      </c>
      <c r="F202" s="90">
        <v>2.2999999999999998</v>
      </c>
      <c r="G202" s="91" t="s">
        <v>49</v>
      </c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>
        <v>4368.07</v>
      </c>
      <c r="W202" s="85">
        <v>4368.07</v>
      </c>
      <c r="X202" s="85"/>
      <c r="Y202" s="85"/>
      <c r="Z202" s="85"/>
      <c r="AA202" s="85"/>
      <c r="AB202" s="85"/>
      <c r="AC202" s="85"/>
      <c r="AD202" s="85"/>
      <c r="AE202" s="85"/>
      <c r="AF20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202" s="85">
        <f>Programacion[[#This Row],[ENERO]]+Programacion[[#This Row],[FEBRERO]]+Programacion[[#This Row],[MARZO]]</f>
        <v>0</v>
      </c>
      <c r="AH202" s="85">
        <f>Programacion[[#This Row],[DEVENGADO ENERO]]+Programacion[[#This Row],[DEVENGADO FEBRERO]]+Programacion[[#This Row],[DEVENGADO MARZO]]</f>
        <v>0</v>
      </c>
      <c r="AI202" s="85">
        <f>Programacion[[#This Row],[ABRIL]]+Programacion[[#This Row],[MAYO]]+Programacion[[#This Row],[JUNIO]]</f>
        <v>0</v>
      </c>
      <c r="AJ202" s="85">
        <f>Programacion[[#This Row],[DEVENGADO ABRIL]]+Programacion[[#This Row],[DEVENGADO MAYO]]+Programacion[[#This Row],[DEVENGADO JUNIO]]</f>
        <v>0</v>
      </c>
      <c r="AK202" s="85">
        <f>Programacion[[#This Row],[JULIO]]+Programacion[[#This Row],[AGOSTO]]+Programacion[[#This Row],[SEPTIEMBRE]]</f>
        <v>4368.07</v>
      </c>
      <c r="AL202" s="85">
        <f>Programacion[[#This Row],[DEVENGADO JULIO]]+Programacion[[#This Row],[DEVENGADO AGOSTO]]+Programacion[[#This Row],[DEVENGADO SEPTIEMBRE]]</f>
        <v>4368.07</v>
      </c>
      <c r="AM202" s="85">
        <f>Programacion[[#This Row],[OCTUBRE]]+Programacion[[#This Row],[NOVIEMBRE]]+Programacion[[#This Row],[DICIEMBRE]]</f>
        <v>0</v>
      </c>
      <c r="AN202" s="94">
        <f>Programacion[[#This Row],[DEVENGADO OCTUBRE]]+Programacion[[#This Row],[DEVENGADO NOVIEMBRE]]+Programacion[[#This Row],[DEVENGADO DICIEMBRE]]</f>
        <v>0</v>
      </c>
      <c r="AO202" s="94">
        <f>Programacion[[#This Row],[ENERO]]+Programacion[[#This Row],[FEBRERO]]+Programacion[[#This Row],[MARZO]]+Programacion[[#This Row],[ABRIL]]+Programacion[[#This Row],[MAYO]]+Programacion[[#This Row],[JUNIO]]</f>
        <v>0</v>
      </c>
      <c r="AP202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94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202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02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02" s="113"/>
    </row>
    <row r="203" spans="1:46" x14ac:dyDescent="0.25">
      <c r="A203" s="92" t="s">
        <v>147</v>
      </c>
      <c r="B203" s="87" t="s">
        <v>161</v>
      </c>
      <c r="C203" s="88" t="s">
        <v>47</v>
      </c>
      <c r="D203" s="91" t="s">
        <v>149</v>
      </c>
      <c r="E203" s="89">
        <v>95</v>
      </c>
      <c r="F203" s="90">
        <v>2.2999999999999998</v>
      </c>
      <c r="G203" s="91" t="s">
        <v>51</v>
      </c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>
        <v>1656</v>
      </c>
      <c r="W203" s="85">
        <v>1656</v>
      </c>
      <c r="X203" s="85"/>
      <c r="Y203" s="85"/>
      <c r="Z203" s="85"/>
      <c r="AA203" s="85"/>
      <c r="AB203" s="85"/>
      <c r="AC203" s="85"/>
      <c r="AD203" s="85"/>
      <c r="AE203" s="85"/>
      <c r="AF203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03" s="85">
        <f>Programacion[[#This Row],[ENERO]]+Programacion[[#This Row],[FEBRERO]]+Programacion[[#This Row],[MARZO]]</f>
        <v>0</v>
      </c>
      <c r="AH203" s="85">
        <f>Programacion[[#This Row],[DEVENGADO ENERO]]+Programacion[[#This Row],[DEVENGADO FEBRERO]]+Programacion[[#This Row],[DEVENGADO MARZO]]</f>
        <v>0</v>
      </c>
      <c r="AI203" s="85">
        <f>Programacion[[#This Row],[ABRIL]]+Programacion[[#This Row],[MAYO]]+Programacion[[#This Row],[JUNIO]]</f>
        <v>0</v>
      </c>
      <c r="AJ203" s="85">
        <f>Programacion[[#This Row],[DEVENGADO ABRIL]]+Programacion[[#This Row],[DEVENGADO MAYO]]+Programacion[[#This Row],[DEVENGADO JUNIO]]</f>
        <v>0</v>
      </c>
      <c r="AK203" s="85">
        <f>Programacion[[#This Row],[JULIO]]+Programacion[[#This Row],[AGOSTO]]+Programacion[[#This Row],[SEPTIEMBRE]]</f>
        <v>1656</v>
      </c>
      <c r="AL203" s="85">
        <f>Programacion[[#This Row],[DEVENGADO JULIO]]+Programacion[[#This Row],[DEVENGADO AGOSTO]]+Programacion[[#This Row],[DEVENGADO SEPTIEMBRE]]</f>
        <v>1656</v>
      </c>
      <c r="AM203" s="85">
        <f>Programacion[[#This Row],[OCTUBRE]]+Programacion[[#This Row],[NOVIEMBRE]]+Programacion[[#This Row],[DICIEMBRE]]</f>
        <v>0</v>
      </c>
      <c r="AN203" s="85">
        <f>Programacion[[#This Row],[DEVENGADO OCTUBRE]]+Programacion[[#This Row],[DEVENGADO NOVIEMBRE]]+Programacion[[#This Row],[DEVENGADO DICIEMBRE]]</f>
        <v>0</v>
      </c>
      <c r="AO203" s="85">
        <f>Programacion[[#This Row],[ENERO]]+Programacion[[#This Row],[FEBRERO]]+Programacion[[#This Row],[MARZO]]+Programacion[[#This Row],[ABRIL]]+Programacion[[#This Row],[MAYO]]+Programacion[[#This Row],[JUNIO]]</f>
        <v>0</v>
      </c>
      <c r="AP203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5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03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03" s="113"/>
    </row>
    <row r="204" spans="1:46" x14ac:dyDescent="0.25">
      <c r="A204" s="92" t="s">
        <v>147</v>
      </c>
      <c r="B204" s="87" t="s">
        <v>162</v>
      </c>
      <c r="C204" s="88" t="s">
        <v>73</v>
      </c>
      <c r="D204" s="91" t="s">
        <v>149</v>
      </c>
      <c r="E204" s="89">
        <v>95</v>
      </c>
      <c r="F204" s="90">
        <v>2.2999999999999998</v>
      </c>
      <c r="G204" s="91" t="s">
        <v>74</v>
      </c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>
        <v>600</v>
      </c>
      <c r="W204" s="85">
        <v>600</v>
      </c>
      <c r="X204" s="85"/>
      <c r="Y204" s="85"/>
      <c r="Z204" s="85"/>
      <c r="AA204" s="85"/>
      <c r="AB204" s="85"/>
      <c r="AC204" s="85"/>
      <c r="AD204" s="85"/>
      <c r="AE204" s="85"/>
      <c r="AF204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04" s="85">
        <f>Programacion[[#This Row],[ENERO]]+Programacion[[#This Row],[FEBRERO]]+Programacion[[#This Row],[MARZO]]</f>
        <v>0</v>
      </c>
      <c r="AH204" s="85">
        <f>Programacion[[#This Row],[DEVENGADO ENERO]]+Programacion[[#This Row],[DEVENGADO FEBRERO]]+Programacion[[#This Row],[DEVENGADO MARZO]]</f>
        <v>0</v>
      </c>
      <c r="AI204" s="85">
        <f>Programacion[[#This Row],[ABRIL]]+Programacion[[#This Row],[MAYO]]+Programacion[[#This Row],[JUNIO]]</f>
        <v>0</v>
      </c>
      <c r="AJ204" s="85">
        <f>Programacion[[#This Row],[DEVENGADO ABRIL]]+Programacion[[#This Row],[DEVENGADO MAYO]]+Programacion[[#This Row],[DEVENGADO JUNIO]]</f>
        <v>0</v>
      </c>
      <c r="AK204" s="85">
        <f>Programacion[[#This Row],[JULIO]]+Programacion[[#This Row],[AGOSTO]]+Programacion[[#This Row],[SEPTIEMBRE]]</f>
        <v>600</v>
      </c>
      <c r="AL204" s="85">
        <f>Programacion[[#This Row],[DEVENGADO JULIO]]+Programacion[[#This Row],[DEVENGADO AGOSTO]]+Programacion[[#This Row],[DEVENGADO SEPTIEMBRE]]</f>
        <v>600</v>
      </c>
      <c r="AM204" s="85">
        <f>Programacion[[#This Row],[OCTUBRE]]+Programacion[[#This Row],[NOVIEMBRE]]+Programacion[[#This Row],[DICIEMBRE]]</f>
        <v>0</v>
      </c>
      <c r="AN204" s="94">
        <f>Programacion[[#This Row],[DEVENGADO OCTUBRE]]+Programacion[[#This Row],[DEVENGADO NOVIEMBRE]]+Programacion[[#This Row],[DEVENGADO DICIEMBRE]]</f>
        <v>0</v>
      </c>
      <c r="AO204" s="94">
        <f>Programacion[[#This Row],[ENERO]]+Programacion[[#This Row],[FEBRERO]]+Programacion[[#This Row],[MARZO]]+Programacion[[#This Row],[ABRIL]]+Programacion[[#This Row],[MAYO]]+Programacion[[#This Row],[JUNIO]]</f>
        <v>0</v>
      </c>
      <c r="AP204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94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04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04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04" s="113"/>
    </row>
    <row r="205" spans="1:46" ht="30" x14ac:dyDescent="0.25">
      <c r="A205" s="96" t="s">
        <v>147</v>
      </c>
      <c r="B205" s="87" t="s">
        <v>163</v>
      </c>
      <c r="C205" s="78" t="s">
        <v>56</v>
      </c>
      <c r="D205" s="78" t="s">
        <v>149</v>
      </c>
      <c r="E205" s="79">
        <v>95</v>
      </c>
      <c r="F205" s="80">
        <v>2.2999999999999998</v>
      </c>
      <c r="G205" s="78" t="s">
        <v>57</v>
      </c>
      <c r="H205" s="78"/>
      <c r="I205" s="81"/>
      <c r="J205" s="81"/>
      <c r="K205" s="81"/>
      <c r="L205" s="81">
        <v>12000</v>
      </c>
      <c r="M205" s="81">
        <v>12000</v>
      </c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2"/>
      <c r="AB205" s="97"/>
      <c r="AC205" s="97"/>
      <c r="AD205" s="97"/>
      <c r="AE205" s="97"/>
      <c r="AF205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05" s="85">
        <f>Programacion[[#This Row],[ENERO]]+Programacion[[#This Row],[FEBRERO]]+Programacion[[#This Row],[MARZO]]</f>
        <v>12000</v>
      </c>
      <c r="AH205" s="85">
        <f>Programacion[[#This Row],[DEVENGADO ENERO]]+Programacion[[#This Row],[DEVENGADO FEBRERO]]+Programacion[[#This Row],[DEVENGADO MARZO]]</f>
        <v>12000</v>
      </c>
      <c r="AI205" s="85">
        <f>Programacion[[#This Row],[ABRIL]]+Programacion[[#This Row],[MAYO]]+Programacion[[#This Row],[JUNIO]]</f>
        <v>0</v>
      </c>
      <c r="AJ205" s="85">
        <f>Programacion[[#This Row],[DEVENGADO ABRIL]]+Programacion[[#This Row],[DEVENGADO MAYO]]+Programacion[[#This Row],[DEVENGADO JUNIO]]</f>
        <v>0</v>
      </c>
      <c r="AK205" s="85">
        <f>Programacion[[#This Row],[JULIO]]+Programacion[[#This Row],[AGOSTO]]+Programacion[[#This Row],[SEPTIEMBRE]]</f>
        <v>0</v>
      </c>
      <c r="AL205" s="85">
        <f>Programacion[[#This Row],[DEVENGADO JULIO]]+Programacion[[#This Row],[DEVENGADO AGOSTO]]+Programacion[[#This Row],[DEVENGADO SEPTIEMBRE]]</f>
        <v>0</v>
      </c>
      <c r="AM205" s="85">
        <f>Programacion[[#This Row],[OCTUBRE]]+Programacion[[#This Row],[NOVIEMBRE]]+Programacion[[#This Row],[DICIEMBRE]]</f>
        <v>0</v>
      </c>
      <c r="AN205" s="86">
        <f>Programacion[[#This Row],[DEVENGADO OCTUBRE]]+Programacion[[#This Row],[DEVENGADO NOVIEMBRE]]+Programacion[[#This Row],[DEVENGADO DICIEMBRE]]</f>
        <v>0</v>
      </c>
      <c r="AO205" s="86">
        <f>Programacion[[#This Row],[ENERO]]+Programacion[[#This Row],[FEBRERO]]+Programacion[[#This Row],[MARZO]]+Programacion[[#This Row],[ABRIL]]+Programacion[[#This Row],[MAYO]]+Programacion[[#This Row],[JUNIO]]</f>
        <v>12000</v>
      </c>
      <c r="AP205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05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5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05" s="113"/>
    </row>
    <row r="206" spans="1:46" ht="30" x14ac:dyDescent="0.25">
      <c r="A206" s="96" t="s">
        <v>147</v>
      </c>
      <c r="B206" s="87" t="s">
        <v>164</v>
      </c>
      <c r="C206" s="88" t="s">
        <v>56</v>
      </c>
      <c r="D206" s="91" t="s">
        <v>149</v>
      </c>
      <c r="E206" s="89">
        <v>95</v>
      </c>
      <c r="F206" s="90">
        <v>2.2999999999999998</v>
      </c>
      <c r="G206" s="91" t="s">
        <v>57</v>
      </c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>
        <v>2000</v>
      </c>
      <c r="U206" s="85">
        <v>2000</v>
      </c>
      <c r="V206" s="85">
        <v>2000</v>
      </c>
      <c r="W206" s="85">
        <v>2000</v>
      </c>
      <c r="X206" s="85"/>
      <c r="Y206" s="85"/>
      <c r="Z206" s="85"/>
      <c r="AA206" s="85"/>
      <c r="AB206" s="85"/>
      <c r="AC206" s="85"/>
      <c r="AD206" s="85"/>
      <c r="AE206" s="85"/>
      <c r="AF206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06" s="85">
        <f>Programacion[[#This Row],[ENERO]]+Programacion[[#This Row],[FEBRERO]]+Programacion[[#This Row],[MARZO]]</f>
        <v>0</v>
      </c>
      <c r="AH206" s="85">
        <f>Programacion[[#This Row],[DEVENGADO ENERO]]+Programacion[[#This Row],[DEVENGADO FEBRERO]]+Programacion[[#This Row],[DEVENGADO MARZO]]</f>
        <v>0</v>
      </c>
      <c r="AI206" s="85">
        <f>Programacion[[#This Row],[ABRIL]]+Programacion[[#This Row],[MAYO]]+Programacion[[#This Row],[JUNIO]]</f>
        <v>0</v>
      </c>
      <c r="AJ206" s="85">
        <f>Programacion[[#This Row],[DEVENGADO ABRIL]]+Programacion[[#This Row],[DEVENGADO MAYO]]+Programacion[[#This Row],[DEVENGADO JUNIO]]</f>
        <v>0</v>
      </c>
      <c r="AK206" s="85">
        <f>Programacion[[#This Row],[JULIO]]+Programacion[[#This Row],[AGOSTO]]+Programacion[[#This Row],[SEPTIEMBRE]]</f>
        <v>4000</v>
      </c>
      <c r="AL206" s="85">
        <f>Programacion[[#This Row],[DEVENGADO JULIO]]+Programacion[[#This Row],[DEVENGADO AGOSTO]]+Programacion[[#This Row],[DEVENGADO SEPTIEMBRE]]</f>
        <v>4000</v>
      </c>
      <c r="AM206" s="85">
        <f>Programacion[[#This Row],[OCTUBRE]]+Programacion[[#This Row],[NOVIEMBRE]]+Programacion[[#This Row],[DICIEMBRE]]</f>
        <v>0</v>
      </c>
      <c r="AN206" s="85">
        <f>Programacion[[#This Row],[DEVENGADO OCTUBRE]]+Programacion[[#This Row],[DEVENGADO NOVIEMBRE]]+Programacion[[#This Row],[DEVENGADO DICIEMBRE]]</f>
        <v>0</v>
      </c>
      <c r="AO206" s="85">
        <f>Programacion[[#This Row],[ENERO]]+Programacion[[#This Row],[FEBRERO]]+Programacion[[#This Row],[MARZO]]+Programacion[[#This Row],[ABRIL]]+Programacion[[#This Row],[MAYO]]+Programacion[[#This Row],[JUNIO]]</f>
        <v>0</v>
      </c>
      <c r="AP206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85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06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06" s="113"/>
    </row>
    <row r="207" spans="1:46" x14ac:dyDescent="0.25">
      <c r="A207" s="96" t="s">
        <v>147</v>
      </c>
      <c r="B207" s="87" t="s">
        <v>165</v>
      </c>
      <c r="C207" s="78" t="s">
        <v>166</v>
      </c>
      <c r="D207" s="78" t="s">
        <v>149</v>
      </c>
      <c r="E207" s="79">
        <v>95</v>
      </c>
      <c r="F207" s="80">
        <v>2.2999999999999998</v>
      </c>
      <c r="G207" s="78" t="s">
        <v>167</v>
      </c>
      <c r="H207" s="78"/>
      <c r="I207" s="81"/>
      <c r="J207" s="81"/>
      <c r="K207" s="81"/>
      <c r="L207" s="81"/>
      <c r="M207" s="81"/>
      <c r="N207" s="81"/>
      <c r="O207" s="81"/>
      <c r="P207" s="81"/>
      <c r="Q207" s="81"/>
      <c r="R207" s="81">
        <v>600</v>
      </c>
      <c r="S207" s="81">
        <v>600</v>
      </c>
      <c r="T207" s="81"/>
      <c r="U207" s="81"/>
      <c r="V207" s="81"/>
      <c r="W207" s="81"/>
      <c r="X207" s="81"/>
      <c r="Y207" s="81"/>
      <c r="Z207" s="81"/>
      <c r="AA207" s="82"/>
      <c r="AB207" s="97"/>
      <c r="AC207" s="97"/>
      <c r="AD207" s="97"/>
      <c r="AE207" s="97"/>
      <c r="AF207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07" s="85">
        <f>Programacion[[#This Row],[ENERO]]+Programacion[[#This Row],[FEBRERO]]+Programacion[[#This Row],[MARZO]]</f>
        <v>0</v>
      </c>
      <c r="AH207" s="85">
        <f>Programacion[[#This Row],[DEVENGADO ENERO]]+Programacion[[#This Row],[DEVENGADO FEBRERO]]+Programacion[[#This Row],[DEVENGADO MARZO]]</f>
        <v>0</v>
      </c>
      <c r="AI207" s="85">
        <f>Programacion[[#This Row],[ABRIL]]+Programacion[[#This Row],[MAYO]]+Programacion[[#This Row],[JUNIO]]</f>
        <v>600</v>
      </c>
      <c r="AJ207" s="85">
        <f>Programacion[[#This Row],[DEVENGADO ABRIL]]+Programacion[[#This Row],[DEVENGADO MAYO]]+Programacion[[#This Row],[DEVENGADO JUNIO]]</f>
        <v>600</v>
      </c>
      <c r="AK207" s="85">
        <f>Programacion[[#This Row],[JULIO]]+Programacion[[#This Row],[AGOSTO]]+Programacion[[#This Row],[SEPTIEMBRE]]</f>
        <v>0</v>
      </c>
      <c r="AL207" s="85">
        <f>Programacion[[#This Row],[DEVENGADO JULIO]]+Programacion[[#This Row],[DEVENGADO AGOSTO]]+Programacion[[#This Row],[DEVENGADO SEPTIEMBRE]]</f>
        <v>0</v>
      </c>
      <c r="AM207" s="85">
        <f>Programacion[[#This Row],[OCTUBRE]]+Programacion[[#This Row],[NOVIEMBRE]]+Programacion[[#This Row],[DICIEMBRE]]</f>
        <v>0</v>
      </c>
      <c r="AN207" s="86">
        <f>Programacion[[#This Row],[DEVENGADO OCTUBRE]]+Programacion[[#This Row],[DEVENGADO NOVIEMBRE]]+Programacion[[#This Row],[DEVENGADO DICIEMBRE]]</f>
        <v>0</v>
      </c>
      <c r="AO207" s="86">
        <f>Programacion[[#This Row],[ENERO]]+Programacion[[#This Row],[FEBRERO]]+Programacion[[#This Row],[MARZO]]+Programacion[[#This Row],[ABRIL]]+Programacion[[#This Row],[MAYO]]+Programacion[[#This Row],[JUNIO]]</f>
        <v>600</v>
      </c>
      <c r="AP207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07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7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07" s="113"/>
    </row>
    <row r="208" spans="1:46" x14ac:dyDescent="0.25">
      <c r="A208" s="96" t="s">
        <v>147</v>
      </c>
      <c r="B208" s="87" t="s">
        <v>168</v>
      </c>
      <c r="C208" s="78" t="s">
        <v>73</v>
      </c>
      <c r="D208" s="78" t="s">
        <v>149</v>
      </c>
      <c r="E208" s="79">
        <v>95</v>
      </c>
      <c r="F208" s="80">
        <v>2.2999999999999998</v>
      </c>
      <c r="G208" s="78" t="s">
        <v>74</v>
      </c>
      <c r="H208" s="78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>
        <v>900</v>
      </c>
      <c r="U208" s="81">
        <v>900</v>
      </c>
      <c r="V208" s="81"/>
      <c r="W208" s="81"/>
      <c r="X208" s="81"/>
      <c r="Y208" s="81"/>
      <c r="Z208" s="81"/>
      <c r="AA208" s="82"/>
      <c r="AB208" s="97"/>
      <c r="AC208" s="97"/>
      <c r="AD208" s="97"/>
      <c r="AE208" s="97"/>
      <c r="AF208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08" s="85">
        <f>Programacion[[#This Row],[ENERO]]+Programacion[[#This Row],[FEBRERO]]+Programacion[[#This Row],[MARZO]]</f>
        <v>0</v>
      </c>
      <c r="AH208" s="85">
        <f>Programacion[[#This Row],[DEVENGADO ENERO]]+Programacion[[#This Row],[DEVENGADO FEBRERO]]+Programacion[[#This Row],[DEVENGADO MARZO]]</f>
        <v>0</v>
      </c>
      <c r="AI208" s="85">
        <f>Programacion[[#This Row],[ABRIL]]+Programacion[[#This Row],[MAYO]]+Programacion[[#This Row],[JUNIO]]</f>
        <v>0</v>
      </c>
      <c r="AJ208" s="85">
        <f>Programacion[[#This Row],[DEVENGADO ABRIL]]+Programacion[[#This Row],[DEVENGADO MAYO]]+Programacion[[#This Row],[DEVENGADO JUNIO]]</f>
        <v>0</v>
      </c>
      <c r="AK208" s="85">
        <f>Programacion[[#This Row],[JULIO]]+Programacion[[#This Row],[AGOSTO]]+Programacion[[#This Row],[SEPTIEMBRE]]</f>
        <v>900</v>
      </c>
      <c r="AL208" s="85">
        <f>Programacion[[#This Row],[DEVENGADO JULIO]]+Programacion[[#This Row],[DEVENGADO AGOSTO]]+Programacion[[#This Row],[DEVENGADO SEPTIEMBRE]]</f>
        <v>900</v>
      </c>
      <c r="AM208" s="85">
        <f>Programacion[[#This Row],[OCTUBRE]]+Programacion[[#This Row],[NOVIEMBRE]]+Programacion[[#This Row],[DICIEMBRE]]</f>
        <v>0</v>
      </c>
      <c r="AN208" s="86">
        <f>Programacion[[#This Row],[DEVENGADO OCTUBRE]]+Programacion[[#This Row],[DEVENGADO NOVIEMBRE]]+Programacion[[#This Row],[DEVENGADO DICIEMBRE]]</f>
        <v>0</v>
      </c>
      <c r="AO208" s="86">
        <f>Programacion[[#This Row],[ENERO]]+Programacion[[#This Row],[FEBRERO]]+Programacion[[#This Row],[MARZO]]+Programacion[[#This Row],[ABRIL]]+Programacion[[#This Row],[MAYO]]+Programacion[[#This Row],[JUNIO]]</f>
        <v>0</v>
      </c>
      <c r="AP208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86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08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08" s="113"/>
    </row>
    <row r="209" spans="1:46" ht="30" x14ac:dyDescent="0.25">
      <c r="A209" s="96" t="s">
        <v>147</v>
      </c>
      <c r="B209" s="87" t="s">
        <v>169</v>
      </c>
      <c r="C209" s="78" t="s">
        <v>56</v>
      </c>
      <c r="D209" s="78" t="s">
        <v>149</v>
      </c>
      <c r="E209" s="79">
        <v>95</v>
      </c>
      <c r="F209" s="80">
        <v>2.2999999999999998</v>
      </c>
      <c r="G209" s="78" t="s">
        <v>57</v>
      </c>
      <c r="H209" s="78"/>
      <c r="I209" s="81"/>
      <c r="J209" s="81"/>
      <c r="K209" s="81"/>
      <c r="L209" s="81"/>
      <c r="M209" s="81"/>
      <c r="N209" s="81">
        <v>5000</v>
      </c>
      <c r="O209" s="81">
        <v>5000</v>
      </c>
      <c r="P209" s="81">
        <v>5000</v>
      </c>
      <c r="Q209" s="81">
        <v>5000</v>
      </c>
      <c r="R209" s="81"/>
      <c r="S209" s="81"/>
      <c r="T209" s="81"/>
      <c r="U209" s="81"/>
      <c r="V209" s="81"/>
      <c r="W209" s="81"/>
      <c r="X209" s="81"/>
      <c r="Y209" s="81"/>
      <c r="Z209" s="81"/>
      <c r="AA209" s="82"/>
      <c r="AB209" s="97"/>
      <c r="AC209" s="97"/>
      <c r="AD209" s="97"/>
      <c r="AE209" s="97"/>
      <c r="AF209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09" s="85">
        <f>Programacion[[#This Row],[ENERO]]+Programacion[[#This Row],[FEBRERO]]+Programacion[[#This Row],[MARZO]]</f>
        <v>0</v>
      </c>
      <c r="AH209" s="85">
        <f>Programacion[[#This Row],[DEVENGADO ENERO]]+Programacion[[#This Row],[DEVENGADO FEBRERO]]+Programacion[[#This Row],[DEVENGADO MARZO]]</f>
        <v>0</v>
      </c>
      <c r="AI209" s="85">
        <f>Programacion[[#This Row],[ABRIL]]+Programacion[[#This Row],[MAYO]]+Programacion[[#This Row],[JUNIO]]</f>
        <v>10000</v>
      </c>
      <c r="AJ209" s="85">
        <f>Programacion[[#This Row],[DEVENGADO ABRIL]]+Programacion[[#This Row],[DEVENGADO MAYO]]+Programacion[[#This Row],[DEVENGADO JUNIO]]</f>
        <v>10000</v>
      </c>
      <c r="AK209" s="85">
        <f>Programacion[[#This Row],[JULIO]]+Programacion[[#This Row],[AGOSTO]]+Programacion[[#This Row],[SEPTIEMBRE]]</f>
        <v>0</v>
      </c>
      <c r="AL209" s="85">
        <f>Programacion[[#This Row],[DEVENGADO JULIO]]+Programacion[[#This Row],[DEVENGADO AGOSTO]]+Programacion[[#This Row],[DEVENGADO SEPTIEMBRE]]</f>
        <v>0</v>
      </c>
      <c r="AM209" s="85">
        <f>Programacion[[#This Row],[OCTUBRE]]+Programacion[[#This Row],[NOVIEMBRE]]+Programacion[[#This Row],[DICIEMBRE]]</f>
        <v>0</v>
      </c>
      <c r="AN209" s="86">
        <f>Programacion[[#This Row],[DEVENGADO OCTUBRE]]+Programacion[[#This Row],[DEVENGADO NOVIEMBRE]]+Programacion[[#This Row],[DEVENGADO DICIEMBRE]]</f>
        <v>0</v>
      </c>
      <c r="AO209" s="86">
        <f>Programacion[[#This Row],[ENERO]]+Programacion[[#This Row],[FEBRERO]]+Programacion[[#This Row],[MARZO]]+Programacion[[#This Row],[ABRIL]]+Programacion[[#This Row],[MAYO]]+Programacion[[#This Row],[JUNIO]]</f>
        <v>10000</v>
      </c>
      <c r="AP209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09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09" s="113"/>
    </row>
    <row r="210" spans="1:46" ht="45" x14ac:dyDescent="0.25">
      <c r="A210" s="96" t="s">
        <v>147</v>
      </c>
      <c r="B210" s="87" t="s">
        <v>170</v>
      </c>
      <c r="C210" s="88" t="s">
        <v>56</v>
      </c>
      <c r="D210" s="78" t="s">
        <v>149</v>
      </c>
      <c r="E210" s="89">
        <v>95</v>
      </c>
      <c r="F210" s="90">
        <v>2.2999999999999998</v>
      </c>
      <c r="G210" s="91" t="s">
        <v>57</v>
      </c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>
        <v>7200</v>
      </c>
      <c r="Y210" s="85"/>
      <c r="Z210" s="85">
        <v>7200</v>
      </c>
      <c r="AA210" s="85"/>
      <c r="AB210" s="85"/>
      <c r="AC210" s="85"/>
      <c r="AD210" s="85"/>
      <c r="AE210" s="85"/>
      <c r="AF21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14400</v>
      </c>
      <c r="AG210" s="85">
        <f>Programacion[[#This Row],[ENERO]]+Programacion[[#This Row],[FEBRERO]]+Programacion[[#This Row],[MARZO]]</f>
        <v>0</v>
      </c>
      <c r="AH210" s="85">
        <f>Programacion[[#This Row],[DEVENGADO ENERO]]+Programacion[[#This Row],[DEVENGADO FEBRERO]]+Programacion[[#This Row],[DEVENGADO MARZO]]</f>
        <v>0</v>
      </c>
      <c r="AI210" s="85">
        <f>Programacion[[#This Row],[ABRIL]]+Programacion[[#This Row],[MAYO]]+Programacion[[#This Row],[JUNIO]]</f>
        <v>0</v>
      </c>
      <c r="AJ210" s="85">
        <f>Programacion[[#This Row],[DEVENGADO ABRIL]]+Programacion[[#This Row],[DEVENGADO MAYO]]+Programacion[[#This Row],[DEVENGADO JUNIO]]</f>
        <v>0</v>
      </c>
      <c r="AK210" s="85">
        <f>Programacion[[#This Row],[JULIO]]+Programacion[[#This Row],[AGOSTO]]+Programacion[[#This Row],[SEPTIEMBRE]]</f>
        <v>7200</v>
      </c>
      <c r="AL210" s="85">
        <f>Programacion[[#This Row],[DEVENGADO JULIO]]+Programacion[[#This Row],[DEVENGADO AGOSTO]]+Programacion[[#This Row],[DEVENGADO SEPTIEMBRE]]</f>
        <v>0</v>
      </c>
      <c r="AM210" s="85">
        <f>Programacion[[#This Row],[OCTUBRE]]+Programacion[[#This Row],[NOVIEMBRE]]+Programacion[[#This Row],[DICIEMBRE]]</f>
        <v>7200</v>
      </c>
      <c r="AN210" s="94">
        <f>Programacion[[#This Row],[DEVENGADO OCTUBRE]]+Programacion[[#This Row],[DEVENGADO NOVIEMBRE]]+Programacion[[#This Row],[DEVENGADO DICIEMBRE]]</f>
        <v>0</v>
      </c>
      <c r="AO210" s="94">
        <f>Programacion[[#This Row],[ENERO]]+Programacion[[#This Row],[FEBRERO]]+Programacion[[#This Row],[MARZO]]+Programacion[[#This Row],[ABRIL]]+Programacion[[#This Row],[MAYO]]+Programacion[[#This Row],[JUNIO]]</f>
        <v>0</v>
      </c>
      <c r="AP210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94">
        <f>Programacion[[#This Row],[JULIO]]+Programacion[[#This Row],[AGOSTO]]+Programacion[[#This Row],[SEPTIEMBRE]]+Programacion[[#This Row],[OCTUBRE]]+Programacion[[#This Row],[NOVIEMBRE]]+Programacion[[#This Row],[DICIEMBRE]]</f>
        <v>14400</v>
      </c>
      <c r="AR210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3"/>
    </row>
    <row r="211" spans="1:46" x14ac:dyDescent="0.25">
      <c r="A211" s="96" t="s">
        <v>147</v>
      </c>
      <c r="B211" s="87" t="s">
        <v>171</v>
      </c>
      <c r="C211" s="78" t="s">
        <v>172</v>
      </c>
      <c r="D211" s="78" t="s">
        <v>149</v>
      </c>
      <c r="E211" s="79">
        <v>95</v>
      </c>
      <c r="F211" s="80">
        <v>2.2999999999999998</v>
      </c>
      <c r="G211" s="78" t="s">
        <v>173</v>
      </c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>
        <v>35</v>
      </c>
      <c r="S211" s="85">
        <v>35</v>
      </c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11" s="85">
        <f>Programacion[[#This Row],[ENERO]]+Programacion[[#This Row],[FEBRERO]]+Programacion[[#This Row],[MARZO]]</f>
        <v>0</v>
      </c>
      <c r="AH211" s="85">
        <f>Programacion[[#This Row],[DEVENGADO ENERO]]+Programacion[[#This Row],[DEVENGADO FEBRERO]]+Programacion[[#This Row],[DEVENGADO MARZO]]</f>
        <v>0</v>
      </c>
      <c r="AI211" s="85">
        <f>Programacion[[#This Row],[ABRIL]]+Programacion[[#This Row],[MAYO]]+Programacion[[#This Row],[JUNIO]]</f>
        <v>35</v>
      </c>
      <c r="AJ211" s="85">
        <f>Programacion[[#This Row],[DEVENGADO ABRIL]]+Programacion[[#This Row],[DEVENGADO MAYO]]+Programacion[[#This Row],[DEVENGADO JUNIO]]</f>
        <v>35</v>
      </c>
      <c r="AK211" s="85">
        <f>Programacion[[#This Row],[JULIO]]+Programacion[[#This Row],[AGOSTO]]+Programacion[[#This Row],[SEPTIEMBRE]]</f>
        <v>0</v>
      </c>
      <c r="AL211" s="85">
        <f>Programacion[[#This Row],[DEVENGADO JULIO]]+Programacion[[#This Row],[DEVENGADO AGOSTO]]+Programacion[[#This Row],[DEVENGADO SEPTIEMBRE]]</f>
        <v>0</v>
      </c>
      <c r="AM211" s="85">
        <f>Programacion[[#This Row],[OCTUBRE]]+Programacion[[#This Row],[NOVIEMBRE]]+Programacion[[#This Row],[DICIEMBRE]]</f>
        <v>0</v>
      </c>
      <c r="AN211" s="86">
        <f>Programacion[[#This Row],[DEVENGADO OCTUBRE]]+Programacion[[#This Row],[DEVENGADO NOVIEMBRE]]+Programacion[[#This Row],[DEVENGADO DICIEMBRE]]</f>
        <v>0</v>
      </c>
      <c r="AO211" s="86">
        <f>Programacion[[#This Row],[ENERO]]+Programacion[[#This Row],[FEBRERO]]+Programacion[[#This Row],[MARZO]]+Programacion[[#This Row],[ABRIL]]+Programacion[[#This Row],[MAYO]]+Programacion[[#This Row],[JUNIO]]</f>
        <v>35</v>
      </c>
      <c r="AP211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11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1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11" s="113"/>
    </row>
    <row r="212" spans="1:46" x14ac:dyDescent="0.25">
      <c r="A212" s="96" t="s">
        <v>147</v>
      </c>
      <c r="B212" s="87" t="s">
        <v>174</v>
      </c>
      <c r="C212" s="78" t="s">
        <v>56</v>
      </c>
      <c r="D212" s="78" t="s">
        <v>149</v>
      </c>
      <c r="E212" s="79">
        <v>95</v>
      </c>
      <c r="F212" s="80">
        <v>2.2999999999999998</v>
      </c>
      <c r="G212" s="78" t="s">
        <v>57</v>
      </c>
      <c r="H212" s="78"/>
      <c r="I212" s="81"/>
      <c r="J212" s="81"/>
      <c r="K212" s="81"/>
      <c r="L212" s="81">
        <v>2800</v>
      </c>
      <c r="M212" s="81">
        <v>2800</v>
      </c>
      <c r="N212" s="81"/>
      <c r="O212" s="81"/>
      <c r="P212" s="81">
        <v>4200</v>
      </c>
      <c r="Q212" s="81">
        <v>4200</v>
      </c>
      <c r="R212" s="81"/>
      <c r="S212" s="81"/>
      <c r="T212" s="81"/>
      <c r="U212" s="81"/>
      <c r="V212" s="81"/>
      <c r="W212" s="81"/>
      <c r="X212" s="81"/>
      <c r="Y212" s="81"/>
      <c r="Z212" s="81"/>
      <c r="AA212" s="82"/>
      <c r="AB212" s="97"/>
      <c r="AC212" s="97"/>
      <c r="AD212" s="97"/>
      <c r="AE212" s="97"/>
      <c r="AF212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12" s="85">
        <f>Programacion[[#This Row],[ENERO]]+Programacion[[#This Row],[FEBRERO]]+Programacion[[#This Row],[MARZO]]</f>
        <v>2800</v>
      </c>
      <c r="AH212" s="85">
        <f>Programacion[[#This Row],[DEVENGADO ENERO]]+Programacion[[#This Row],[DEVENGADO FEBRERO]]+Programacion[[#This Row],[DEVENGADO MARZO]]</f>
        <v>2800</v>
      </c>
      <c r="AI212" s="85">
        <f>Programacion[[#This Row],[ABRIL]]+Programacion[[#This Row],[MAYO]]+Programacion[[#This Row],[JUNIO]]</f>
        <v>4200</v>
      </c>
      <c r="AJ212" s="85">
        <f>Programacion[[#This Row],[DEVENGADO ABRIL]]+Programacion[[#This Row],[DEVENGADO MAYO]]+Programacion[[#This Row],[DEVENGADO JUNIO]]</f>
        <v>4200</v>
      </c>
      <c r="AK212" s="85">
        <f>Programacion[[#This Row],[JULIO]]+Programacion[[#This Row],[AGOSTO]]+Programacion[[#This Row],[SEPTIEMBRE]]</f>
        <v>0</v>
      </c>
      <c r="AL212" s="85">
        <f>Programacion[[#This Row],[DEVENGADO JULIO]]+Programacion[[#This Row],[DEVENGADO AGOSTO]]+Programacion[[#This Row],[DEVENGADO SEPTIEMBRE]]</f>
        <v>0</v>
      </c>
      <c r="AM212" s="85">
        <f>Programacion[[#This Row],[OCTUBRE]]+Programacion[[#This Row],[NOVIEMBRE]]+Programacion[[#This Row],[DICIEMBRE]]</f>
        <v>0</v>
      </c>
      <c r="AN212" s="86">
        <f>Programacion[[#This Row],[DEVENGADO OCTUBRE]]+Programacion[[#This Row],[DEVENGADO NOVIEMBRE]]+Programacion[[#This Row],[DEVENGADO DICIEMBRE]]</f>
        <v>0</v>
      </c>
      <c r="AO212" s="86">
        <f>Programacion[[#This Row],[ENERO]]+Programacion[[#This Row],[FEBRERO]]+Programacion[[#This Row],[MARZO]]+Programacion[[#This Row],[ABRIL]]+Programacion[[#This Row],[MAYO]]+Programacion[[#This Row],[JUNIO]]</f>
        <v>7000</v>
      </c>
      <c r="AP212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12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2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12" s="113"/>
    </row>
    <row r="213" spans="1:46" ht="30" x14ac:dyDescent="0.25">
      <c r="A213" s="96" t="s">
        <v>147</v>
      </c>
      <c r="B213" s="87" t="s">
        <v>175</v>
      </c>
      <c r="C213" s="78" t="s">
        <v>56</v>
      </c>
      <c r="D213" s="78" t="s">
        <v>149</v>
      </c>
      <c r="E213" s="79">
        <v>96</v>
      </c>
      <c r="F213" s="80">
        <v>2.2999999999999998</v>
      </c>
      <c r="G213" s="78" t="s">
        <v>57</v>
      </c>
      <c r="H213" s="78">
        <v>10500</v>
      </c>
      <c r="I213" s="81">
        <v>10500</v>
      </c>
      <c r="J213" s="81"/>
      <c r="K213" s="81"/>
      <c r="L213" s="81">
        <v>10500</v>
      </c>
      <c r="M213" s="81">
        <v>10500</v>
      </c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2"/>
      <c r="AB213" s="97"/>
      <c r="AC213" s="97"/>
      <c r="AD213" s="97"/>
      <c r="AE213" s="97"/>
      <c r="AF213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13" s="85">
        <f>Programacion[[#This Row],[ENERO]]+Programacion[[#This Row],[FEBRERO]]+Programacion[[#This Row],[MARZO]]</f>
        <v>21000</v>
      </c>
      <c r="AH213" s="85">
        <f>Programacion[[#This Row],[DEVENGADO ENERO]]+Programacion[[#This Row],[DEVENGADO FEBRERO]]+Programacion[[#This Row],[DEVENGADO MARZO]]</f>
        <v>21000</v>
      </c>
      <c r="AI213" s="85">
        <f>Programacion[[#This Row],[ABRIL]]+Programacion[[#This Row],[MAYO]]+Programacion[[#This Row],[JUNIO]]</f>
        <v>0</v>
      </c>
      <c r="AJ213" s="85">
        <f>Programacion[[#This Row],[DEVENGADO ABRIL]]+Programacion[[#This Row],[DEVENGADO MAYO]]+Programacion[[#This Row],[DEVENGADO JUNIO]]</f>
        <v>0</v>
      </c>
      <c r="AK213" s="85">
        <f>Programacion[[#This Row],[JULIO]]+Programacion[[#This Row],[AGOSTO]]+Programacion[[#This Row],[SEPTIEMBRE]]</f>
        <v>0</v>
      </c>
      <c r="AL213" s="85">
        <f>Programacion[[#This Row],[DEVENGADO JULIO]]+Programacion[[#This Row],[DEVENGADO AGOSTO]]+Programacion[[#This Row],[DEVENGADO SEPTIEMBRE]]</f>
        <v>0</v>
      </c>
      <c r="AM213" s="85">
        <f>Programacion[[#This Row],[OCTUBRE]]+Programacion[[#This Row],[NOVIEMBRE]]+Programacion[[#This Row],[DICIEMBRE]]</f>
        <v>0</v>
      </c>
      <c r="AN213" s="86">
        <f>Programacion[[#This Row],[DEVENGADO OCTUBRE]]+Programacion[[#This Row],[DEVENGADO NOVIEMBRE]]+Programacion[[#This Row],[DEVENGADO DICIEMBRE]]</f>
        <v>0</v>
      </c>
      <c r="AO213" s="86">
        <f>Programacion[[#This Row],[ENERO]]+Programacion[[#This Row],[FEBRERO]]+Programacion[[#This Row],[MARZO]]+Programacion[[#This Row],[ABRIL]]+Programacion[[#This Row],[MAYO]]+Programacion[[#This Row],[JUNIO]]</f>
        <v>21000</v>
      </c>
      <c r="AP213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13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3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13" s="113"/>
    </row>
    <row r="214" spans="1:46" ht="30" x14ac:dyDescent="0.25">
      <c r="A214" s="96" t="s">
        <v>147</v>
      </c>
      <c r="B214" s="87" t="s">
        <v>176</v>
      </c>
      <c r="C214" s="78" t="s">
        <v>56</v>
      </c>
      <c r="D214" s="78" t="s">
        <v>149</v>
      </c>
      <c r="E214" s="79">
        <v>96</v>
      </c>
      <c r="F214" s="80">
        <v>2.2999999999999998</v>
      </c>
      <c r="G214" s="78" t="s">
        <v>57</v>
      </c>
      <c r="H214" s="78"/>
      <c r="I214" s="81"/>
      <c r="J214" s="81"/>
      <c r="K214" s="81"/>
      <c r="L214" s="81">
        <v>10800</v>
      </c>
      <c r="M214" s="81">
        <v>10800</v>
      </c>
      <c r="N214" s="81">
        <v>10800</v>
      </c>
      <c r="O214" s="81">
        <v>10800</v>
      </c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2"/>
      <c r="AB214" s="97"/>
      <c r="AC214" s="97"/>
      <c r="AD214" s="97"/>
      <c r="AE214" s="97"/>
      <c r="AF214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14" s="85">
        <f>Programacion[[#This Row],[ENERO]]+Programacion[[#This Row],[FEBRERO]]+Programacion[[#This Row],[MARZO]]</f>
        <v>10800</v>
      </c>
      <c r="AH214" s="85">
        <f>Programacion[[#This Row],[DEVENGADO ENERO]]+Programacion[[#This Row],[DEVENGADO FEBRERO]]+Programacion[[#This Row],[DEVENGADO MARZO]]</f>
        <v>10800</v>
      </c>
      <c r="AI214" s="85">
        <f>Programacion[[#This Row],[ABRIL]]+Programacion[[#This Row],[MAYO]]+Programacion[[#This Row],[JUNIO]]</f>
        <v>10800</v>
      </c>
      <c r="AJ214" s="85">
        <f>Programacion[[#This Row],[DEVENGADO ABRIL]]+Programacion[[#This Row],[DEVENGADO MAYO]]+Programacion[[#This Row],[DEVENGADO JUNIO]]</f>
        <v>10800</v>
      </c>
      <c r="AK214" s="85">
        <f>Programacion[[#This Row],[JULIO]]+Programacion[[#This Row],[AGOSTO]]+Programacion[[#This Row],[SEPTIEMBRE]]</f>
        <v>0</v>
      </c>
      <c r="AL214" s="85">
        <f>Programacion[[#This Row],[DEVENGADO JULIO]]+Programacion[[#This Row],[DEVENGADO AGOSTO]]+Programacion[[#This Row],[DEVENGADO SEPTIEMBRE]]</f>
        <v>0</v>
      </c>
      <c r="AM214" s="85">
        <f>Programacion[[#This Row],[OCTUBRE]]+Programacion[[#This Row],[NOVIEMBRE]]+Programacion[[#This Row],[DICIEMBRE]]</f>
        <v>0</v>
      </c>
      <c r="AN214" s="86">
        <f>Programacion[[#This Row],[DEVENGADO OCTUBRE]]+Programacion[[#This Row],[DEVENGADO NOVIEMBRE]]+Programacion[[#This Row],[DEVENGADO DICIEMBRE]]</f>
        <v>0</v>
      </c>
      <c r="AO214" s="86">
        <f>Programacion[[#This Row],[ENERO]]+Programacion[[#This Row],[FEBRERO]]+Programacion[[#This Row],[MARZO]]+Programacion[[#This Row],[ABRIL]]+Programacion[[#This Row],[MAYO]]+Programacion[[#This Row],[JUNIO]]</f>
        <v>21600</v>
      </c>
      <c r="AP214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14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14" s="113"/>
    </row>
    <row r="215" spans="1:46" ht="30" x14ac:dyDescent="0.25">
      <c r="A215" s="92" t="s">
        <v>147</v>
      </c>
      <c r="B215" s="87" t="s">
        <v>175</v>
      </c>
      <c r="C215" s="88" t="s">
        <v>56</v>
      </c>
      <c r="D215" s="91" t="s">
        <v>149</v>
      </c>
      <c r="E215" s="89">
        <v>96</v>
      </c>
      <c r="F215" s="90">
        <v>2.2999999999999998</v>
      </c>
      <c r="G215" s="78" t="s">
        <v>57</v>
      </c>
      <c r="H215" s="85"/>
      <c r="I215" s="85"/>
      <c r="J215" s="85"/>
      <c r="K215" s="85"/>
      <c r="L215" s="85"/>
      <c r="M215" s="85"/>
      <c r="N215" s="85"/>
      <c r="O215" s="85"/>
      <c r="P215" s="85">
        <v>10800</v>
      </c>
      <c r="Q215" s="85">
        <v>10800</v>
      </c>
      <c r="R215" s="85">
        <v>10800</v>
      </c>
      <c r="S215" s="85">
        <v>10800</v>
      </c>
      <c r="T215" s="85">
        <v>10800</v>
      </c>
      <c r="U215" s="85">
        <v>10800</v>
      </c>
      <c r="V215" s="85">
        <v>10800</v>
      </c>
      <c r="W215" s="85">
        <v>10800</v>
      </c>
      <c r="X215" s="85"/>
      <c r="Y215" s="85"/>
      <c r="Z215" s="85"/>
      <c r="AA215" s="85"/>
      <c r="AB215" s="85"/>
      <c r="AC215" s="85"/>
      <c r="AD215" s="85"/>
      <c r="AE215" s="85"/>
      <c r="AF21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15" s="85">
        <f>Programacion[[#This Row],[ENERO]]+Programacion[[#This Row],[FEBRERO]]+Programacion[[#This Row],[MARZO]]</f>
        <v>0</v>
      </c>
      <c r="AH215" s="85">
        <f>Programacion[[#This Row],[DEVENGADO ENERO]]+Programacion[[#This Row],[DEVENGADO FEBRERO]]+Programacion[[#This Row],[DEVENGADO MARZO]]</f>
        <v>0</v>
      </c>
      <c r="AI215" s="85">
        <f>Programacion[[#This Row],[ABRIL]]+Programacion[[#This Row],[MAYO]]+Programacion[[#This Row],[JUNIO]]</f>
        <v>21600</v>
      </c>
      <c r="AJ215" s="85">
        <f>Programacion[[#This Row],[DEVENGADO ABRIL]]+Programacion[[#This Row],[DEVENGADO MAYO]]+Programacion[[#This Row],[DEVENGADO JUNIO]]</f>
        <v>21600</v>
      </c>
      <c r="AK215" s="85">
        <f>Programacion[[#This Row],[JULIO]]+Programacion[[#This Row],[AGOSTO]]+Programacion[[#This Row],[SEPTIEMBRE]]</f>
        <v>21600</v>
      </c>
      <c r="AL215" s="85">
        <f>Programacion[[#This Row],[DEVENGADO JULIO]]+Programacion[[#This Row],[DEVENGADO AGOSTO]]+Programacion[[#This Row],[DEVENGADO SEPTIEMBRE]]</f>
        <v>21600</v>
      </c>
      <c r="AM215" s="85">
        <f>Programacion[[#This Row],[OCTUBRE]]+Programacion[[#This Row],[NOVIEMBRE]]+Programacion[[#This Row],[DICIEMBRE]]</f>
        <v>0</v>
      </c>
      <c r="AN215" s="94">
        <f>Programacion[[#This Row],[DEVENGADO OCTUBRE]]+Programacion[[#This Row],[DEVENGADO NOVIEMBRE]]+Programacion[[#This Row],[DEVENGADO DICIEMBRE]]</f>
        <v>0</v>
      </c>
      <c r="AO215" s="94">
        <f>Programacion[[#This Row],[ENERO]]+Programacion[[#This Row],[FEBRERO]]+Programacion[[#This Row],[MARZO]]+Programacion[[#This Row],[ABRIL]]+Programacion[[#This Row],[MAYO]]+Programacion[[#This Row],[JUNIO]]</f>
        <v>21600</v>
      </c>
      <c r="AP21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15" s="94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1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15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15" s="113"/>
    </row>
    <row r="216" spans="1:46" ht="30" x14ac:dyDescent="0.25">
      <c r="A216" s="92" t="s">
        <v>147</v>
      </c>
      <c r="B216" s="87" t="s">
        <v>177</v>
      </c>
      <c r="C216" s="88" t="s">
        <v>56</v>
      </c>
      <c r="D216" s="91" t="s">
        <v>149</v>
      </c>
      <c r="E216" s="89">
        <v>96</v>
      </c>
      <c r="F216" s="90">
        <v>2.2999999999999998</v>
      </c>
      <c r="G216" s="78" t="s">
        <v>57</v>
      </c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>
        <v>21600</v>
      </c>
      <c r="AA216" s="85"/>
      <c r="AB216" s="85"/>
      <c r="AC216" s="85"/>
      <c r="AD216" s="85"/>
      <c r="AE216" s="85"/>
      <c r="AF21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16" s="85">
        <f>Programacion[[#This Row],[ENERO]]+Programacion[[#This Row],[FEBRERO]]+Programacion[[#This Row],[MARZO]]</f>
        <v>0</v>
      </c>
      <c r="AH216" s="85">
        <f>Programacion[[#This Row],[DEVENGADO ENERO]]+Programacion[[#This Row],[DEVENGADO FEBRERO]]+Programacion[[#This Row],[DEVENGADO MARZO]]</f>
        <v>0</v>
      </c>
      <c r="AI216" s="85">
        <f>Programacion[[#This Row],[ABRIL]]+Programacion[[#This Row],[MAYO]]+Programacion[[#This Row],[JUNIO]]</f>
        <v>0</v>
      </c>
      <c r="AJ216" s="85">
        <f>Programacion[[#This Row],[DEVENGADO ABRIL]]+Programacion[[#This Row],[DEVENGADO MAYO]]+Programacion[[#This Row],[DEVENGADO JUNIO]]</f>
        <v>0</v>
      </c>
      <c r="AK216" s="85">
        <f>Programacion[[#This Row],[JULIO]]+Programacion[[#This Row],[AGOSTO]]+Programacion[[#This Row],[SEPTIEMBRE]]</f>
        <v>0</v>
      </c>
      <c r="AL216" s="85">
        <f>Programacion[[#This Row],[DEVENGADO JULIO]]+Programacion[[#This Row],[DEVENGADO AGOSTO]]+Programacion[[#This Row],[DEVENGADO SEPTIEMBRE]]</f>
        <v>0</v>
      </c>
      <c r="AM216" s="85">
        <f>Programacion[[#This Row],[OCTUBRE]]+Programacion[[#This Row],[NOVIEMBRE]]+Programacion[[#This Row],[DICIEMBRE]]</f>
        <v>21600</v>
      </c>
      <c r="AN216" s="94">
        <f>Programacion[[#This Row],[DEVENGADO OCTUBRE]]+Programacion[[#This Row],[DEVENGADO NOVIEMBRE]]+Programacion[[#This Row],[DEVENGADO DICIEMBRE]]</f>
        <v>0</v>
      </c>
      <c r="AO216" s="94">
        <f>Programacion[[#This Row],[ENERO]]+Programacion[[#This Row],[FEBRERO]]+Programacion[[#This Row],[MARZO]]+Programacion[[#This Row],[ABRIL]]+Programacion[[#This Row],[MAYO]]+Programacion[[#This Row],[JUNIO]]</f>
        <v>0</v>
      </c>
      <c r="AP21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4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1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3"/>
    </row>
    <row r="217" spans="1:46" ht="30" x14ac:dyDescent="0.25">
      <c r="A217" s="135" t="str">
        <f>A210</f>
        <v>ENANDES+</v>
      </c>
      <c r="B217" s="136" t="s">
        <v>316</v>
      </c>
      <c r="C217" s="137" t="str">
        <f>C218</f>
        <v>LOCACION</v>
      </c>
      <c r="D217" s="137" t="s">
        <v>149</v>
      </c>
      <c r="E217" s="135">
        <v>96</v>
      </c>
      <c r="F217" s="138">
        <v>23</v>
      </c>
      <c r="G217" s="137" t="str">
        <f>G210</f>
        <v>23.27.14 98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>
        <v>8700</v>
      </c>
      <c r="Y217" s="33"/>
      <c r="Z217" s="33">
        <v>13050</v>
      </c>
      <c r="AA217" s="33"/>
      <c r="AB217" s="33"/>
      <c r="AC217" s="33"/>
      <c r="AD217" s="33"/>
      <c r="AE217" s="33"/>
      <c r="AF2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17" s="33">
        <f>Programacion[[#This Row],[ENERO]]+Programacion[[#This Row],[FEBRERO]]+Programacion[[#This Row],[MARZO]]</f>
        <v>0</v>
      </c>
      <c r="AH217" s="33">
        <f>Programacion[[#This Row],[DEVENGADO ENERO]]+Programacion[[#This Row],[DEVENGADO FEBRERO]]+Programacion[[#This Row],[DEVENGADO MARZO]]</f>
        <v>0</v>
      </c>
      <c r="AI217" s="33">
        <f>Programacion[[#This Row],[ABRIL]]+Programacion[[#This Row],[MAYO]]+Programacion[[#This Row],[JUNIO]]</f>
        <v>0</v>
      </c>
      <c r="AJ217" s="33">
        <f>Programacion[[#This Row],[DEVENGADO ABRIL]]+Programacion[[#This Row],[DEVENGADO MAYO]]+Programacion[[#This Row],[DEVENGADO JUNIO]]</f>
        <v>0</v>
      </c>
      <c r="AK217" s="33">
        <f>Programacion[[#This Row],[JULIO]]+Programacion[[#This Row],[AGOSTO]]+Programacion[[#This Row],[SEPTIEMBRE]]</f>
        <v>8700</v>
      </c>
      <c r="AL217" s="33">
        <f>Programacion[[#This Row],[DEVENGADO JULIO]]+Programacion[[#This Row],[DEVENGADO AGOSTO]]+Programacion[[#This Row],[DEVENGADO SEPTIEMBRE]]</f>
        <v>0</v>
      </c>
      <c r="AM217" s="33">
        <f>Programacion[[#This Row],[OCTUBRE]]+Programacion[[#This Row],[NOVIEMBRE]]+Programacion[[#This Row],[DICIEMBRE]]</f>
        <v>13050</v>
      </c>
      <c r="AN217" s="21">
        <f>Programacion[[#This Row],[DEVENGADO OCTUBRE]]+Programacion[[#This Row],[DEVENGADO NOVIEMBRE]]+Programacion[[#This Row],[DEVENGADO DICIEMBRE]]</f>
        <v>0</v>
      </c>
      <c r="AO217" s="21">
        <f>Programacion[[#This Row],[ENERO]]+Programacion[[#This Row],[FEBRERO]]+Programacion[[#This Row],[MARZO]]+Programacion[[#This Row],[ABRIL]]+Programacion[[#This Row],[MAYO]]+Programacion[[#This Row],[JUNIO]]</f>
        <v>0</v>
      </c>
      <c r="AP2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21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3"/>
    </row>
    <row r="218" spans="1:46" ht="30" x14ac:dyDescent="0.25">
      <c r="A218" s="92" t="s">
        <v>147</v>
      </c>
      <c r="B218" s="87" t="s">
        <v>178</v>
      </c>
      <c r="C218" s="88" t="s">
        <v>56</v>
      </c>
      <c r="D218" s="91" t="s">
        <v>149</v>
      </c>
      <c r="E218" s="89">
        <v>96</v>
      </c>
      <c r="F218" s="90">
        <v>2.2999999999999998</v>
      </c>
      <c r="G218" s="78" t="s">
        <v>57</v>
      </c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>
        <v>5000</v>
      </c>
      <c r="S218" s="85">
        <v>5000</v>
      </c>
      <c r="T218" s="85">
        <v>5000</v>
      </c>
      <c r="U218" s="85">
        <v>5000</v>
      </c>
      <c r="V218" s="85"/>
      <c r="W218" s="85"/>
      <c r="X218" s="85">
        <v>5000</v>
      </c>
      <c r="Y218" s="85">
        <v>5000</v>
      </c>
      <c r="Z218" s="85"/>
      <c r="AA218" s="85"/>
      <c r="AB218" s="85"/>
      <c r="AC218" s="85"/>
      <c r="AD218" s="85"/>
      <c r="AE218" s="85"/>
      <c r="AF21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18" s="85">
        <f>Programacion[[#This Row],[ENERO]]+Programacion[[#This Row],[FEBRERO]]+Programacion[[#This Row],[MARZO]]</f>
        <v>0</v>
      </c>
      <c r="AH218" s="85">
        <f>Programacion[[#This Row],[DEVENGADO ENERO]]+Programacion[[#This Row],[DEVENGADO FEBRERO]]+Programacion[[#This Row],[DEVENGADO MARZO]]</f>
        <v>0</v>
      </c>
      <c r="AI218" s="85">
        <f>Programacion[[#This Row],[ABRIL]]+Programacion[[#This Row],[MAYO]]+Programacion[[#This Row],[JUNIO]]</f>
        <v>5000</v>
      </c>
      <c r="AJ218" s="85">
        <f>Programacion[[#This Row],[DEVENGADO ABRIL]]+Programacion[[#This Row],[DEVENGADO MAYO]]+Programacion[[#This Row],[DEVENGADO JUNIO]]</f>
        <v>5000</v>
      </c>
      <c r="AK218" s="85">
        <f>Programacion[[#This Row],[JULIO]]+Programacion[[#This Row],[AGOSTO]]+Programacion[[#This Row],[SEPTIEMBRE]]</f>
        <v>10000</v>
      </c>
      <c r="AL218" s="85">
        <f>Programacion[[#This Row],[DEVENGADO JULIO]]+Programacion[[#This Row],[DEVENGADO AGOSTO]]+Programacion[[#This Row],[DEVENGADO SEPTIEMBRE]]</f>
        <v>10000</v>
      </c>
      <c r="AM218" s="85">
        <f>Programacion[[#This Row],[OCTUBRE]]+Programacion[[#This Row],[NOVIEMBRE]]+Programacion[[#This Row],[DICIEMBRE]]</f>
        <v>0</v>
      </c>
      <c r="AN218" s="94">
        <f>Programacion[[#This Row],[DEVENGADO OCTUBRE]]+Programacion[[#This Row],[DEVENGADO NOVIEMBRE]]+Programacion[[#This Row],[DEVENGADO DICIEMBRE]]</f>
        <v>0</v>
      </c>
      <c r="AO218" s="94">
        <f>Programacion[[#This Row],[ENERO]]+Programacion[[#This Row],[FEBRERO]]+Programacion[[#This Row],[MARZO]]+Programacion[[#This Row],[ABRIL]]+Programacion[[#This Row],[MAYO]]+Programacion[[#This Row],[JUNIO]]</f>
        <v>5000</v>
      </c>
      <c r="AP21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18" s="9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1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18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18" s="113"/>
    </row>
    <row r="219" spans="1:46" ht="30" x14ac:dyDescent="0.25">
      <c r="A219" s="135" t="s">
        <v>147</v>
      </c>
      <c r="B219" s="136" t="s">
        <v>264</v>
      </c>
      <c r="C219" s="137" t="s">
        <v>261</v>
      </c>
      <c r="D219" s="137" t="s">
        <v>149</v>
      </c>
      <c r="E219" s="135">
        <v>96</v>
      </c>
      <c r="F219" s="138">
        <v>23</v>
      </c>
      <c r="G219" s="137" t="s">
        <v>57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>
        <v>10000</v>
      </c>
      <c r="AA219" s="33"/>
      <c r="AB219" s="33"/>
      <c r="AC219" s="33"/>
      <c r="AD219" s="33"/>
      <c r="AE219" s="33"/>
      <c r="AF2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19" s="33">
        <f>Programacion[[#This Row],[ENERO]]+Programacion[[#This Row],[FEBRERO]]+Programacion[[#This Row],[MARZO]]</f>
        <v>0</v>
      </c>
      <c r="AH219" s="33">
        <f>Programacion[[#This Row],[DEVENGADO ENERO]]+Programacion[[#This Row],[DEVENGADO FEBRERO]]+Programacion[[#This Row],[DEVENGADO MARZO]]</f>
        <v>0</v>
      </c>
      <c r="AI219" s="33">
        <f>Programacion[[#This Row],[ABRIL]]+Programacion[[#This Row],[MAYO]]+Programacion[[#This Row],[JUNIO]]</f>
        <v>0</v>
      </c>
      <c r="AJ219" s="33">
        <f>Programacion[[#This Row],[DEVENGADO ABRIL]]+Programacion[[#This Row],[DEVENGADO MAYO]]+Programacion[[#This Row],[DEVENGADO JUNIO]]</f>
        <v>0</v>
      </c>
      <c r="AK219" s="33">
        <f>Programacion[[#This Row],[JULIO]]+Programacion[[#This Row],[AGOSTO]]+Programacion[[#This Row],[SEPTIEMBRE]]</f>
        <v>0</v>
      </c>
      <c r="AL219" s="33">
        <f>Programacion[[#This Row],[DEVENGADO JULIO]]+Programacion[[#This Row],[DEVENGADO AGOSTO]]+Programacion[[#This Row],[DEVENGADO SEPTIEMBRE]]</f>
        <v>0</v>
      </c>
      <c r="AM219" s="33">
        <f>Programacion[[#This Row],[OCTUBRE]]+Programacion[[#This Row],[NOVIEMBRE]]+Programacion[[#This Row],[DICIEMBRE]]</f>
        <v>10000</v>
      </c>
      <c r="AN219" s="21">
        <f>Programacion[[#This Row],[DEVENGADO OCTUBRE]]+Programacion[[#This Row],[DEVENGADO NOVIEMBRE]]+Programacion[[#This Row],[DEVENGADO DICIEMBRE]]</f>
        <v>0</v>
      </c>
      <c r="AO219" s="21">
        <f>Programacion[[#This Row],[ENERO]]+Programacion[[#This Row],[FEBRERO]]+Programacion[[#This Row],[MARZO]]+Programacion[[#This Row],[ABRIL]]+Programacion[[#This Row],[MAYO]]+Programacion[[#This Row],[JUNIO]]</f>
        <v>0</v>
      </c>
      <c r="AP2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3"/>
    </row>
    <row r="220" spans="1:46" ht="30" x14ac:dyDescent="0.25">
      <c r="A220" s="96" t="s">
        <v>147</v>
      </c>
      <c r="B220" s="87" t="s">
        <v>179</v>
      </c>
      <c r="C220" s="78" t="s">
        <v>56</v>
      </c>
      <c r="D220" s="78" t="s">
        <v>149</v>
      </c>
      <c r="E220" s="79">
        <v>96</v>
      </c>
      <c r="F220" s="80">
        <v>2.2999999999999998</v>
      </c>
      <c r="G220" s="78" t="s">
        <v>57</v>
      </c>
      <c r="H220" s="78">
        <v>8774</v>
      </c>
      <c r="I220" s="81">
        <v>8774</v>
      </c>
      <c r="J220" s="81"/>
      <c r="K220" s="81"/>
      <c r="L220" s="81">
        <v>8774</v>
      </c>
      <c r="M220" s="81">
        <v>8774</v>
      </c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2"/>
      <c r="AB220" s="97"/>
      <c r="AC220" s="97"/>
      <c r="AD220" s="97"/>
      <c r="AE220" s="97"/>
      <c r="AF220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20" s="85">
        <f>Programacion[[#This Row],[ENERO]]+Programacion[[#This Row],[FEBRERO]]+Programacion[[#This Row],[MARZO]]</f>
        <v>17548</v>
      </c>
      <c r="AH220" s="85">
        <f>Programacion[[#This Row],[DEVENGADO ENERO]]+Programacion[[#This Row],[DEVENGADO FEBRERO]]+Programacion[[#This Row],[DEVENGADO MARZO]]</f>
        <v>17548</v>
      </c>
      <c r="AI220" s="85">
        <f>Programacion[[#This Row],[ABRIL]]+Programacion[[#This Row],[MAYO]]+Programacion[[#This Row],[JUNIO]]</f>
        <v>0</v>
      </c>
      <c r="AJ220" s="85">
        <f>Programacion[[#This Row],[DEVENGADO ABRIL]]+Programacion[[#This Row],[DEVENGADO MAYO]]+Programacion[[#This Row],[DEVENGADO JUNIO]]</f>
        <v>0</v>
      </c>
      <c r="AK220" s="85">
        <f>Programacion[[#This Row],[JULIO]]+Programacion[[#This Row],[AGOSTO]]+Programacion[[#This Row],[SEPTIEMBRE]]</f>
        <v>0</v>
      </c>
      <c r="AL220" s="85">
        <f>Programacion[[#This Row],[DEVENGADO JULIO]]+Programacion[[#This Row],[DEVENGADO AGOSTO]]+Programacion[[#This Row],[DEVENGADO SEPTIEMBRE]]</f>
        <v>0</v>
      </c>
      <c r="AM220" s="85">
        <f>Programacion[[#This Row],[OCTUBRE]]+Programacion[[#This Row],[NOVIEMBRE]]+Programacion[[#This Row],[DICIEMBRE]]</f>
        <v>0</v>
      </c>
      <c r="AN220" s="86">
        <f>Programacion[[#This Row],[DEVENGADO OCTUBRE]]+Programacion[[#This Row],[DEVENGADO NOVIEMBRE]]+Programacion[[#This Row],[DEVENGADO DICIEMBRE]]</f>
        <v>0</v>
      </c>
      <c r="AO220" s="86">
        <f>Programacion[[#This Row],[ENERO]]+Programacion[[#This Row],[FEBRERO]]+Programacion[[#This Row],[MARZO]]+Programacion[[#This Row],[ABRIL]]+Programacion[[#This Row],[MAYO]]+Programacion[[#This Row],[JUNIO]]</f>
        <v>17548</v>
      </c>
      <c r="AP220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20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0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20" s="113"/>
    </row>
    <row r="221" spans="1:46" ht="30" x14ac:dyDescent="0.25">
      <c r="A221" s="96" t="s">
        <v>147</v>
      </c>
      <c r="B221" s="87" t="s">
        <v>180</v>
      </c>
      <c r="C221" s="78" t="s">
        <v>56</v>
      </c>
      <c r="D221" s="78" t="s">
        <v>149</v>
      </c>
      <c r="E221" s="79">
        <v>96</v>
      </c>
      <c r="F221" s="80">
        <v>2.2999999999999998</v>
      </c>
      <c r="G221" s="78" t="s">
        <v>57</v>
      </c>
      <c r="H221" s="78"/>
      <c r="I221" s="81"/>
      <c r="J221" s="81"/>
      <c r="K221" s="81"/>
      <c r="L221" s="81">
        <v>8520</v>
      </c>
      <c r="M221" s="81">
        <v>8520</v>
      </c>
      <c r="N221" s="81">
        <v>5680</v>
      </c>
      <c r="O221" s="81">
        <v>5680</v>
      </c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2"/>
      <c r="AB221" s="97"/>
      <c r="AC221" s="97"/>
      <c r="AD221" s="97"/>
      <c r="AE221" s="97"/>
      <c r="AF221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21" s="85">
        <f>Programacion[[#This Row],[ENERO]]+Programacion[[#This Row],[FEBRERO]]+Programacion[[#This Row],[MARZO]]</f>
        <v>8520</v>
      </c>
      <c r="AH221" s="85">
        <f>Programacion[[#This Row],[DEVENGADO ENERO]]+Programacion[[#This Row],[DEVENGADO FEBRERO]]+Programacion[[#This Row],[DEVENGADO MARZO]]</f>
        <v>8520</v>
      </c>
      <c r="AI221" s="85">
        <f>Programacion[[#This Row],[ABRIL]]+Programacion[[#This Row],[MAYO]]+Programacion[[#This Row],[JUNIO]]</f>
        <v>5680</v>
      </c>
      <c r="AJ221" s="85">
        <f>Programacion[[#This Row],[DEVENGADO ABRIL]]+Programacion[[#This Row],[DEVENGADO MAYO]]+Programacion[[#This Row],[DEVENGADO JUNIO]]</f>
        <v>5680</v>
      </c>
      <c r="AK221" s="85">
        <f>Programacion[[#This Row],[JULIO]]+Programacion[[#This Row],[AGOSTO]]+Programacion[[#This Row],[SEPTIEMBRE]]</f>
        <v>0</v>
      </c>
      <c r="AL221" s="85">
        <f>Programacion[[#This Row],[DEVENGADO JULIO]]+Programacion[[#This Row],[DEVENGADO AGOSTO]]+Programacion[[#This Row],[DEVENGADO SEPTIEMBRE]]</f>
        <v>0</v>
      </c>
      <c r="AM221" s="85">
        <f>Programacion[[#This Row],[OCTUBRE]]+Programacion[[#This Row],[NOVIEMBRE]]+Programacion[[#This Row],[DICIEMBRE]]</f>
        <v>0</v>
      </c>
      <c r="AN221" s="86">
        <f>Programacion[[#This Row],[DEVENGADO OCTUBRE]]+Programacion[[#This Row],[DEVENGADO NOVIEMBRE]]+Programacion[[#This Row],[DEVENGADO DICIEMBRE]]</f>
        <v>0</v>
      </c>
      <c r="AO221" s="86">
        <f>Programacion[[#This Row],[ENERO]]+Programacion[[#This Row],[FEBRERO]]+Programacion[[#This Row],[MARZO]]+Programacion[[#This Row],[ABRIL]]+Programacion[[#This Row],[MAYO]]+Programacion[[#This Row],[JUNIO]]</f>
        <v>14200</v>
      </c>
      <c r="AP221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21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21" s="113"/>
    </row>
    <row r="222" spans="1:46" ht="45" x14ac:dyDescent="0.25">
      <c r="A222" s="92" t="s">
        <v>147</v>
      </c>
      <c r="B222" s="87" t="s">
        <v>181</v>
      </c>
      <c r="C222" s="88" t="s">
        <v>56</v>
      </c>
      <c r="D222" s="91" t="s">
        <v>149</v>
      </c>
      <c r="E222" s="89">
        <v>96</v>
      </c>
      <c r="F222" s="90">
        <v>2.2999999999999998</v>
      </c>
      <c r="G222" s="78" t="s">
        <v>57</v>
      </c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>
        <v>15000</v>
      </c>
      <c r="S222" s="85">
        <v>15000</v>
      </c>
      <c r="T222" s="85">
        <v>7500</v>
      </c>
      <c r="U222" s="85">
        <v>7500</v>
      </c>
      <c r="V222" s="85">
        <v>7500</v>
      </c>
      <c r="W222" s="85">
        <v>7500</v>
      </c>
      <c r="X222" s="85">
        <v>7500</v>
      </c>
      <c r="Y222" s="85"/>
      <c r="Z222" s="85"/>
      <c r="AA222" s="85"/>
      <c r="AB222" s="85"/>
      <c r="AC222" s="85"/>
      <c r="AD222" s="85"/>
      <c r="AE222" s="85"/>
      <c r="AF22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22" s="85">
        <f>Programacion[[#This Row],[ENERO]]+Programacion[[#This Row],[FEBRERO]]+Programacion[[#This Row],[MARZO]]</f>
        <v>0</v>
      </c>
      <c r="AH222" s="85">
        <f>Programacion[[#This Row],[DEVENGADO ENERO]]+Programacion[[#This Row],[DEVENGADO FEBRERO]]+Programacion[[#This Row],[DEVENGADO MARZO]]</f>
        <v>0</v>
      </c>
      <c r="AI222" s="85">
        <f>Programacion[[#This Row],[ABRIL]]+Programacion[[#This Row],[MAYO]]+Programacion[[#This Row],[JUNIO]]</f>
        <v>15000</v>
      </c>
      <c r="AJ222" s="85">
        <f>Programacion[[#This Row],[DEVENGADO ABRIL]]+Programacion[[#This Row],[DEVENGADO MAYO]]+Programacion[[#This Row],[DEVENGADO JUNIO]]</f>
        <v>15000</v>
      </c>
      <c r="AK222" s="85">
        <f>Programacion[[#This Row],[JULIO]]+Programacion[[#This Row],[AGOSTO]]+Programacion[[#This Row],[SEPTIEMBRE]]</f>
        <v>22500</v>
      </c>
      <c r="AL222" s="85">
        <f>Programacion[[#This Row],[DEVENGADO JULIO]]+Programacion[[#This Row],[DEVENGADO AGOSTO]]+Programacion[[#This Row],[DEVENGADO SEPTIEMBRE]]</f>
        <v>15000</v>
      </c>
      <c r="AM222" s="85">
        <f>Programacion[[#This Row],[OCTUBRE]]+Programacion[[#This Row],[NOVIEMBRE]]+Programacion[[#This Row],[DICIEMBRE]]</f>
        <v>0</v>
      </c>
      <c r="AN222" s="94">
        <f>Programacion[[#This Row],[DEVENGADO OCTUBRE]]+Programacion[[#This Row],[DEVENGADO NOVIEMBRE]]+Programacion[[#This Row],[DEVENGADO DICIEMBRE]]</f>
        <v>0</v>
      </c>
      <c r="AO222" s="94">
        <f>Programacion[[#This Row],[ENERO]]+Programacion[[#This Row],[FEBRERO]]+Programacion[[#This Row],[MARZO]]+Programacion[[#This Row],[ABRIL]]+Programacion[[#This Row],[MAYO]]+Programacion[[#This Row],[JUNIO]]</f>
        <v>15000</v>
      </c>
      <c r="AP222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2" s="94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22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22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22" s="113"/>
    </row>
    <row r="223" spans="1:46" ht="45" x14ac:dyDescent="0.25">
      <c r="A223" s="92" t="s">
        <v>147</v>
      </c>
      <c r="B223" s="87" t="s">
        <v>182</v>
      </c>
      <c r="C223" s="88" t="s">
        <v>56</v>
      </c>
      <c r="D223" s="91" t="s">
        <v>149</v>
      </c>
      <c r="E223" s="89">
        <v>96</v>
      </c>
      <c r="F223" s="90">
        <v>2.2999999999999998</v>
      </c>
      <c r="G223" s="78" t="s">
        <v>57</v>
      </c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>
        <v>9444.0300000000007</v>
      </c>
      <c r="AA223" s="85"/>
      <c r="AB223" s="85"/>
      <c r="AC223" s="85"/>
      <c r="AD223" s="85"/>
      <c r="AE223" s="85"/>
      <c r="AF22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223" s="85">
        <f>Programacion[[#This Row],[ENERO]]+Programacion[[#This Row],[FEBRERO]]+Programacion[[#This Row],[MARZO]]</f>
        <v>0</v>
      </c>
      <c r="AH223" s="85">
        <f>Programacion[[#This Row],[DEVENGADO ENERO]]+Programacion[[#This Row],[DEVENGADO FEBRERO]]+Programacion[[#This Row],[DEVENGADO MARZO]]</f>
        <v>0</v>
      </c>
      <c r="AI223" s="85">
        <f>Programacion[[#This Row],[ABRIL]]+Programacion[[#This Row],[MAYO]]+Programacion[[#This Row],[JUNIO]]</f>
        <v>0</v>
      </c>
      <c r="AJ223" s="85">
        <f>Programacion[[#This Row],[DEVENGADO ABRIL]]+Programacion[[#This Row],[DEVENGADO MAYO]]+Programacion[[#This Row],[DEVENGADO JUNIO]]</f>
        <v>0</v>
      </c>
      <c r="AK223" s="85">
        <f>Programacion[[#This Row],[JULIO]]+Programacion[[#This Row],[AGOSTO]]+Programacion[[#This Row],[SEPTIEMBRE]]</f>
        <v>0</v>
      </c>
      <c r="AL223" s="85">
        <f>Programacion[[#This Row],[DEVENGADO JULIO]]+Programacion[[#This Row],[DEVENGADO AGOSTO]]+Programacion[[#This Row],[DEVENGADO SEPTIEMBRE]]</f>
        <v>0</v>
      </c>
      <c r="AM223" s="85">
        <f>Programacion[[#This Row],[OCTUBRE]]+Programacion[[#This Row],[NOVIEMBRE]]+Programacion[[#This Row],[DICIEMBRE]]</f>
        <v>9444.0300000000007</v>
      </c>
      <c r="AN223" s="94">
        <f>Programacion[[#This Row],[DEVENGADO OCTUBRE]]+Programacion[[#This Row],[DEVENGADO NOVIEMBRE]]+Programacion[[#This Row],[DEVENGADO DICIEMBRE]]</f>
        <v>0</v>
      </c>
      <c r="AO223" s="94">
        <f>Programacion[[#This Row],[ENERO]]+Programacion[[#This Row],[FEBRERO]]+Programacion[[#This Row],[MARZO]]+Programacion[[#This Row],[ABRIL]]+Programacion[[#This Row],[MAYO]]+Programacion[[#This Row],[JUNIO]]</f>
        <v>0</v>
      </c>
      <c r="AP223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3" s="94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223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3" s="113"/>
    </row>
    <row r="224" spans="1:46" ht="45" x14ac:dyDescent="0.25">
      <c r="A224" s="96" t="s">
        <v>147</v>
      </c>
      <c r="B224" s="87" t="s">
        <v>183</v>
      </c>
      <c r="C224" s="78" t="s">
        <v>56</v>
      </c>
      <c r="D224" s="78" t="s">
        <v>149</v>
      </c>
      <c r="E224" s="79">
        <v>96</v>
      </c>
      <c r="F224" s="80">
        <v>2.2999999999999998</v>
      </c>
      <c r="G224" s="78" t="s">
        <v>70</v>
      </c>
      <c r="H224" s="78"/>
      <c r="I224" s="81"/>
      <c r="J224" s="81"/>
      <c r="K224" s="81"/>
      <c r="L224" s="81">
        <v>6000</v>
      </c>
      <c r="M224" s="81">
        <v>6000</v>
      </c>
      <c r="N224" s="81"/>
      <c r="O224" s="81"/>
      <c r="P224" s="81">
        <v>14000</v>
      </c>
      <c r="Q224" s="81">
        <v>14000</v>
      </c>
      <c r="R224" s="81"/>
      <c r="S224" s="81"/>
      <c r="T224" s="81"/>
      <c r="U224" s="81"/>
      <c r="V224" s="81"/>
      <c r="W224" s="81"/>
      <c r="X224" s="81"/>
      <c r="Y224" s="81"/>
      <c r="Z224" s="81"/>
      <c r="AA224" s="82"/>
      <c r="AB224" s="97"/>
      <c r="AC224" s="97"/>
      <c r="AD224" s="97"/>
      <c r="AE224" s="97"/>
      <c r="AF224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24" s="85">
        <f>Programacion[[#This Row],[ENERO]]+Programacion[[#This Row],[FEBRERO]]+Programacion[[#This Row],[MARZO]]</f>
        <v>6000</v>
      </c>
      <c r="AH224" s="85">
        <f>Programacion[[#This Row],[DEVENGADO ENERO]]+Programacion[[#This Row],[DEVENGADO FEBRERO]]+Programacion[[#This Row],[DEVENGADO MARZO]]</f>
        <v>6000</v>
      </c>
      <c r="AI224" s="85">
        <f>Programacion[[#This Row],[ABRIL]]+Programacion[[#This Row],[MAYO]]+Programacion[[#This Row],[JUNIO]]</f>
        <v>14000</v>
      </c>
      <c r="AJ224" s="85">
        <f>Programacion[[#This Row],[DEVENGADO ABRIL]]+Programacion[[#This Row],[DEVENGADO MAYO]]+Programacion[[#This Row],[DEVENGADO JUNIO]]</f>
        <v>14000</v>
      </c>
      <c r="AK224" s="85">
        <f>Programacion[[#This Row],[JULIO]]+Programacion[[#This Row],[AGOSTO]]+Programacion[[#This Row],[SEPTIEMBRE]]</f>
        <v>0</v>
      </c>
      <c r="AL224" s="85">
        <f>Programacion[[#This Row],[DEVENGADO JULIO]]+Programacion[[#This Row],[DEVENGADO AGOSTO]]+Programacion[[#This Row],[DEVENGADO SEPTIEMBRE]]</f>
        <v>0</v>
      </c>
      <c r="AM224" s="85">
        <f>Programacion[[#This Row],[OCTUBRE]]+Programacion[[#This Row],[NOVIEMBRE]]+Programacion[[#This Row],[DICIEMBRE]]</f>
        <v>0</v>
      </c>
      <c r="AN224" s="86">
        <f>Programacion[[#This Row],[DEVENGADO OCTUBRE]]+Programacion[[#This Row],[DEVENGADO NOVIEMBRE]]+Programacion[[#This Row],[DEVENGADO DICIEMBRE]]</f>
        <v>0</v>
      </c>
      <c r="AO224" s="86">
        <f>Programacion[[#This Row],[ENERO]]+Programacion[[#This Row],[FEBRERO]]+Programacion[[#This Row],[MARZO]]+Programacion[[#This Row],[ABRIL]]+Programacion[[#This Row],[MAYO]]+Programacion[[#This Row],[JUNIO]]</f>
        <v>20000</v>
      </c>
      <c r="AP224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24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24" s="113"/>
    </row>
    <row r="225" spans="1:46" x14ac:dyDescent="0.25">
      <c r="A225" s="92" t="s">
        <v>147</v>
      </c>
      <c r="B225" s="87" t="s">
        <v>317</v>
      </c>
      <c r="C225" s="88" t="s">
        <v>56</v>
      </c>
      <c r="D225" s="91" t="s">
        <v>149</v>
      </c>
      <c r="E225" s="89">
        <v>96</v>
      </c>
      <c r="F225" s="90">
        <v>2.2999999999999998</v>
      </c>
      <c r="G225" s="91" t="s">
        <v>57</v>
      </c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>
        <v>6000</v>
      </c>
      <c r="W225" s="85">
        <v>6000</v>
      </c>
      <c r="X225" s="85">
        <v>6000</v>
      </c>
      <c r="Y225" s="85">
        <v>6000</v>
      </c>
      <c r="Z225" s="85"/>
      <c r="AA225" s="85"/>
      <c r="AB225" s="85"/>
      <c r="AC225" s="85"/>
      <c r="AD225" s="85"/>
      <c r="AE225" s="85"/>
      <c r="AF22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25" s="85">
        <f>Programacion[[#This Row],[ENERO]]+Programacion[[#This Row],[FEBRERO]]+Programacion[[#This Row],[MARZO]]</f>
        <v>0</v>
      </c>
      <c r="AH225" s="85">
        <f>Programacion[[#This Row],[DEVENGADO ENERO]]+Programacion[[#This Row],[DEVENGADO FEBRERO]]+Programacion[[#This Row],[DEVENGADO MARZO]]</f>
        <v>0</v>
      </c>
      <c r="AI225" s="85">
        <f>Programacion[[#This Row],[ABRIL]]+Programacion[[#This Row],[MAYO]]+Programacion[[#This Row],[JUNIO]]</f>
        <v>0</v>
      </c>
      <c r="AJ225" s="85">
        <f>Programacion[[#This Row],[DEVENGADO ABRIL]]+Programacion[[#This Row],[DEVENGADO MAYO]]+Programacion[[#This Row],[DEVENGADO JUNIO]]</f>
        <v>0</v>
      </c>
      <c r="AK225" s="85">
        <f>Programacion[[#This Row],[JULIO]]+Programacion[[#This Row],[AGOSTO]]+Programacion[[#This Row],[SEPTIEMBRE]]</f>
        <v>12000</v>
      </c>
      <c r="AL225" s="85">
        <f>Programacion[[#This Row],[DEVENGADO JULIO]]+Programacion[[#This Row],[DEVENGADO AGOSTO]]+Programacion[[#This Row],[DEVENGADO SEPTIEMBRE]]</f>
        <v>12000</v>
      </c>
      <c r="AM225" s="85">
        <f>Programacion[[#This Row],[OCTUBRE]]+Programacion[[#This Row],[NOVIEMBRE]]+Programacion[[#This Row],[DICIEMBRE]]</f>
        <v>0</v>
      </c>
      <c r="AN225" s="94">
        <f>Programacion[[#This Row],[DEVENGADO OCTUBRE]]+Programacion[[#This Row],[DEVENGADO NOVIEMBRE]]+Programacion[[#This Row],[DEVENGADO DICIEMBRE]]</f>
        <v>0</v>
      </c>
      <c r="AO225" s="94">
        <f>Programacion[[#This Row],[ENERO]]+Programacion[[#This Row],[FEBRERO]]+Programacion[[#This Row],[MARZO]]+Programacion[[#This Row],[ABRIL]]+Programacion[[#This Row],[MAYO]]+Programacion[[#This Row],[JUNIO]]</f>
        <v>0</v>
      </c>
      <c r="AP22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9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2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25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25" s="113"/>
    </row>
    <row r="226" spans="1:46" ht="30" x14ac:dyDescent="0.25">
      <c r="A226" s="96" t="s">
        <v>147</v>
      </c>
      <c r="B226" s="87" t="s">
        <v>184</v>
      </c>
      <c r="C226" s="78" t="s">
        <v>56</v>
      </c>
      <c r="D226" s="78" t="s">
        <v>149</v>
      </c>
      <c r="E226" s="79">
        <v>96</v>
      </c>
      <c r="F226" s="80">
        <v>2.2999999999999998</v>
      </c>
      <c r="G226" s="78" t="s">
        <v>57</v>
      </c>
      <c r="H226" s="78"/>
      <c r="I226" s="81"/>
      <c r="J226" s="81"/>
      <c r="K226" s="81"/>
      <c r="L226" s="81">
        <v>6480</v>
      </c>
      <c r="M226" s="81">
        <v>6480</v>
      </c>
      <c r="N226" s="81">
        <v>15120</v>
      </c>
      <c r="O226" s="81">
        <v>15120</v>
      </c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2"/>
      <c r="AB226" s="97"/>
      <c r="AC226" s="97"/>
      <c r="AD226" s="97"/>
      <c r="AE226" s="97"/>
      <c r="AF226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26" s="85">
        <f>Programacion[[#This Row],[ENERO]]+Programacion[[#This Row],[FEBRERO]]+Programacion[[#This Row],[MARZO]]</f>
        <v>6480</v>
      </c>
      <c r="AH226" s="85">
        <f>Programacion[[#This Row],[DEVENGADO ENERO]]+Programacion[[#This Row],[DEVENGADO FEBRERO]]+Programacion[[#This Row],[DEVENGADO MARZO]]</f>
        <v>6480</v>
      </c>
      <c r="AI226" s="85">
        <f>Programacion[[#This Row],[ABRIL]]+Programacion[[#This Row],[MAYO]]+Programacion[[#This Row],[JUNIO]]</f>
        <v>15120</v>
      </c>
      <c r="AJ226" s="85">
        <f>Programacion[[#This Row],[DEVENGADO ABRIL]]+Programacion[[#This Row],[DEVENGADO MAYO]]+Programacion[[#This Row],[DEVENGADO JUNIO]]</f>
        <v>15120</v>
      </c>
      <c r="AK226" s="85">
        <f>Programacion[[#This Row],[JULIO]]+Programacion[[#This Row],[AGOSTO]]+Programacion[[#This Row],[SEPTIEMBRE]]</f>
        <v>0</v>
      </c>
      <c r="AL226" s="85">
        <f>Programacion[[#This Row],[DEVENGADO JULIO]]+Programacion[[#This Row],[DEVENGADO AGOSTO]]+Programacion[[#This Row],[DEVENGADO SEPTIEMBRE]]</f>
        <v>0</v>
      </c>
      <c r="AM226" s="85">
        <f>Programacion[[#This Row],[OCTUBRE]]+Programacion[[#This Row],[NOVIEMBRE]]+Programacion[[#This Row],[DICIEMBRE]]</f>
        <v>0</v>
      </c>
      <c r="AN226" s="86">
        <f>Programacion[[#This Row],[DEVENGADO OCTUBRE]]+Programacion[[#This Row],[DEVENGADO NOVIEMBRE]]+Programacion[[#This Row],[DEVENGADO DICIEMBRE]]</f>
        <v>0</v>
      </c>
      <c r="AO226" s="86">
        <f>Programacion[[#This Row],[ENERO]]+Programacion[[#This Row],[FEBRERO]]+Programacion[[#This Row],[MARZO]]+Programacion[[#This Row],[ABRIL]]+Programacion[[#This Row],[MAYO]]+Programacion[[#This Row],[JUNIO]]</f>
        <v>21600</v>
      </c>
      <c r="AP226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26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6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26" s="113"/>
    </row>
    <row r="227" spans="1:46" x14ac:dyDescent="0.25">
      <c r="A227" s="96" t="s">
        <v>147</v>
      </c>
      <c r="B227" s="87" t="s">
        <v>185</v>
      </c>
      <c r="C227" s="88" t="s">
        <v>186</v>
      </c>
      <c r="D227" s="91" t="s">
        <v>149</v>
      </c>
      <c r="E227" s="89">
        <v>96</v>
      </c>
      <c r="F227" s="90">
        <v>2.2999999999999998</v>
      </c>
      <c r="G227" s="91" t="s">
        <v>187</v>
      </c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>
        <v>228.6</v>
      </c>
      <c r="U227" s="85">
        <v>228.6</v>
      </c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27" s="85">
        <f>Programacion[[#This Row],[ENERO]]+Programacion[[#This Row],[FEBRERO]]+Programacion[[#This Row],[MARZO]]</f>
        <v>0</v>
      </c>
      <c r="AH227" s="85">
        <f>Programacion[[#This Row],[DEVENGADO ENERO]]+Programacion[[#This Row],[DEVENGADO FEBRERO]]+Programacion[[#This Row],[DEVENGADO MARZO]]</f>
        <v>0</v>
      </c>
      <c r="AI227" s="85">
        <f>Programacion[[#This Row],[ABRIL]]+Programacion[[#This Row],[MAYO]]+Programacion[[#This Row],[JUNIO]]</f>
        <v>0</v>
      </c>
      <c r="AJ227" s="85">
        <f>Programacion[[#This Row],[DEVENGADO ABRIL]]+Programacion[[#This Row],[DEVENGADO MAYO]]+Programacion[[#This Row],[DEVENGADO JUNIO]]</f>
        <v>0</v>
      </c>
      <c r="AK227" s="85">
        <f>Programacion[[#This Row],[JULIO]]+Programacion[[#This Row],[AGOSTO]]+Programacion[[#This Row],[SEPTIEMBRE]]</f>
        <v>228.6</v>
      </c>
      <c r="AL227" s="85">
        <f>Programacion[[#This Row],[DEVENGADO JULIO]]+Programacion[[#This Row],[DEVENGADO AGOSTO]]+Programacion[[#This Row],[DEVENGADO SEPTIEMBRE]]</f>
        <v>228.6</v>
      </c>
      <c r="AM227" s="85">
        <f>Programacion[[#This Row],[OCTUBRE]]+Programacion[[#This Row],[NOVIEMBRE]]+Programacion[[#This Row],[DICIEMBRE]]</f>
        <v>0</v>
      </c>
      <c r="AN227" s="85">
        <f>Programacion[[#This Row],[DEVENGADO OCTUBRE]]+Programacion[[#This Row],[DEVENGADO NOVIEMBRE]]+Programacion[[#This Row],[DEVENGADO DICIEMBRE]]</f>
        <v>0</v>
      </c>
      <c r="AO227" s="85">
        <f>Programacion[[#This Row],[ENERO]]+Programacion[[#This Row],[FEBRERO]]+Programacion[[#This Row],[MARZO]]+Programacion[[#This Row],[ABRIL]]+Programacion[[#This Row],[MAYO]]+Programacion[[#This Row],[JUNIO]]</f>
        <v>0</v>
      </c>
      <c r="AP227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85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27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27" s="113"/>
    </row>
    <row r="228" spans="1:46" x14ac:dyDescent="0.25">
      <c r="A228" s="96" t="s">
        <v>147</v>
      </c>
      <c r="B228" s="87" t="s">
        <v>188</v>
      </c>
      <c r="C228" s="78" t="s">
        <v>186</v>
      </c>
      <c r="D228" s="78" t="s">
        <v>149</v>
      </c>
      <c r="E228" s="79">
        <v>96</v>
      </c>
      <c r="F228" s="80">
        <v>2.2999999999999998</v>
      </c>
      <c r="G228" s="78" t="s">
        <v>187</v>
      </c>
      <c r="H228" s="78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>
        <v>30671.4</v>
      </c>
      <c r="U228" s="81">
        <v>30671.4</v>
      </c>
      <c r="V228" s="81"/>
      <c r="W228" s="81"/>
      <c r="X228" s="81"/>
      <c r="Y228" s="81"/>
      <c r="Z228" s="81"/>
      <c r="AA228" s="82"/>
      <c r="AB228" s="97"/>
      <c r="AC228" s="97"/>
      <c r="AD228" s="97"/>
      <c r="AE228" s="97"/>
      <c r="AF228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28" s="85">
        <f>Programacion[[#This Row],[ENERO]]+Programacion[[#This Row],[FEBRERO]]+Programacion[[#This Row],[MARZO]]</f>
        <v>0</v>
      </c>
      <c r="AH228" s="85">
        <f>Programacion[[#This Row],[DEVENGADO ENERO]]+Programacion[[#This Row],[DEVENGADO FEBRERO]]+Programacion[[#This Row],[DEVENGADO MARZO]]</f>
        <v>0</v>
      </c>
      <c r="AI228" s="85">
        <f>Programacion[[#This Row],[ABRIL]]+Programacion[[#This Row],[MAYO]]+Programacion[[#This Row],[JUNIO]]</f>
        <v>0</v>
      </c>
      <c r="AJ228" s="85">
        <f>Programacion[[#This Row],[DEVENGADO ABRIL]]+Programacion[[#This Row],[DEVENGADO MAYO]]+Programacion[[#This Row],[DEVENGADO JUNIO]]</f>
        <v>0</v>
      </c>
      <c r="AK228" s="85">
        <f>Programacion[[#This Row],[JULIO]]+Programacion[[#This Row],[AGOSTO]]+Programacion[[#This Row],[SEPTIEMBRE]]</f>
        <v>30671.4</v>
      </c>
      <c r="AL228" s="85">
        <f>Programacion[[#This Row],[DEVENGADO JULIO]]+Programacion[[#This Row],[DEVENGADO AGOSTO]]+Programacion[[#This Row],[DEVENGADO SEPTIEMBRE]]</f>
        <v>30671.4</v>
      </c>
      <c r="AM228" s="85">
        <f>Programacion[[#This Row],[OCTUBRE]]+Programacion[[#This Row],[NOVIEMBRE]]+Programacion[[#This Row],[DICIEMBRE]]</f>
        <v>0</v>
      </c>
      <c r="AN228" s="86">
        <f>Programacion[[#This Row],[DEVENGADO OCTUBRE]]+Programacion[[#This Row],[DEVENGADO NOVIEMBRE]]+Programacion[[#This Row],[DEVENGADO DICIEMBRE]]</f>
        <v>0</v>
      </c>
      <c r="AO228" s="86">
        <f>Programacion[[#This Row],[ENERO]]+Programacion[[#This Row],[FEBRERO]]+Programacion[[#This Row],[MARZO]]+Programacion[[#This Row],[ABRIL]]+Programacion[[#This Row],[MAYO]]+Programacion[[#This Row],[JUNIO]]</f>
        <v>0</v>
      </c>
      <c r="AP228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86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28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28" s="113"/>
    </row>
    <row r="229" spans="1:46" x14ac:dyDescent="0.25">
      <c r="A229" s="96" t="s">
        <v>147</v>
      </c>
      <c r="B229" s="87" t="s">
        <v>63</v>
      </c>
      <c r="C229" s="78" t="s">
        <v>56</v>
      </c>
      <c r="D229" s="78" t="s">
        <v>149</v>
      </c>
      <c r="E229" s="79">
        <v>96</v>
      </c>
      <c r="F229" s="80">
        <v>2.2999999999999998</v>
      </c>
      <c r="G229" s="78" t="s">
        <v>57</v>
      </c>
      <c r="H229" s="78">
        <v>7380</v>
      </c>
      <c r="I229" s="81">
        <v>7380</v>
      </c>
      <c r="J229" s="81">
        <v>7380</v>
      </c>
      <c r="K229" s="81">
        <v>7380</v>
      </c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2"/>
      <c r="AB229" s="97"/>
      <c r="AC229" s="97"/>
      <c r="AD229" s="97"/>
      <c r="AE229" s="97"/>
      <c r="AF229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29" s="85">
        <f>Programacion[[#This Row],[ENERO]]+Programacion[[#This Row],[FEBRERO]]+Programacion[[#This Row],[MARZO]]</f>
        <v>14760</v>
      </c>
      <c r="AH229" s="85">
        <f>Programacion[[#This Row],[DEVENGADO ENERO]]+Programacion[[#This Row],[DEVENGADO FEBRERO]]+Programacion[[#This Row],[DEVENGADO MARZO]]</f>
        <v>14760</v>
      </c>
      <c r="AI229" s="85">
        <f>Programacion[[#This Row],[ABRIL]]+Programacion[[#This Row],[MAYO]]+Programacion[[#This Row],[JUNIO]]</f>
        <v>0</v>
      </c>
      <c r="AJ229" s="85">
        <f>Programacion[[#This Row],[DEVENGADO ABRIL]]+Programacion[[#This Row],[DEVENGADO MAYO]]+Programacion[[#This Row],[DEVENGADO JUNIO]]</f>
        <v>0</v>
      </c>
      <c r="AK229" s="85">
        <f>Programacion[[#This Row],[JULIO]]+Programacion[[#This Row],[AGOSTO]]+Programacion[[#This Row],[SEPTIEMBRE]]</f>
        <v>0</v>
      </c>
      <c r="AL229" s="85">
        <f>Programacion[[#This Row],[DEVENGADO JULIO]]+Programacion[[#This Row],[DEVENGADO AGOSTO]]+Programacion[[#This Row],[DEVENGADO SEPTIEMBRE]]</f>
        <v>0</v>
      </c>
      <c r="AM229" s="85">
        <f>Programacion[[#This Row],[OCTUBRE]]+Programacion[[#This Row],[NOVIEMBRE]]+Programacion[[#This Row],[DICIEMBRE]]</f>
        <v>0</v>
      </c>
      <c r="AN229" s="86">
        <f>Programacion[[#This Row],[DEVENGADO OCTUBRE]]+Programacion[[#This Row],[DEVENGADO NOVIEMBRE]]+Programacion[[#This Row],[DEVENGADO DICIEMBRE]]</f>
        <v>0</v>
      </c>
      <c r="AO229" s="86">
        <f>Programacion[[#This Row],[ENERO]]+Programacion[[#This Row],[FEBRERO]]+Programacion[[#This Row],[MARZO]]+Programacion[[#This Row],[ABRIL]]+Programacion[[#This Row],[MAYO]]+Programacion[[#This Row],[JUNIO]]</f>
        <v>14760</v>
      </c>
      <c r="AP229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29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9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29" s="113"/>
    </row>
    <row r="230" spans="1:46" x14ac:dyDescent="0.25">
      <c r="A230" s="96" t="s">
        <v>147</v>
      </c>
      <c r="B230" s="87" t="s">
        <v>189</v>
      </c>
      <c r="C230" s="78" t="s">
        <v>56</v>
      </c>
      <c r="D230" s="78" t="s">
        <v>149</v>
      </c>
      <c r="E230" s="79">
        <v>96</v>
      </c>
      <c r="F230" s="80">
        <v>2.2999999999999998</v>
      </c>
      <c r="G230" s="78" t="s">
        <v>57</v>
      </c>
      <c r="H230" s="78"/>
      <c r="I230" s="81"/>
      <c r="J230" s="81">
        <v>6001.2</v>
      </c>
      <c r="K230" s="81">
        <v>6001.2</v>
      </c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2"/>
      <c r="AB230" s="97"/>
      <c r="AC230" s="97"/>
      <c r="AD230" s="97"/>
      <c r="AE230" s="97"/>
      <c r="AF230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30" s="85">
        <f>Programacion[[#This Row],[ENERO]]+Programacion[[#This Row],[FEBRERO]]+Programacion[[#This Row],[MARZO]]</f>
        <v>6001.2</v>
      </c>
      <c r="AH230" s="85">
        <f>Programacion[[#This Row],[DEVENGADO ENERO]]+Programacion[[#This Row],[DEVENGADO FEBRERO]]+Programacion[[#This Row],[DEVENGADO MARZO]]</f>
        <v>6001.2</v>
      </c>
      <c r="AI230" s="85">
        <f>Programacion[[#This Row],[ABRIL]]+Programacion[[#This Row],[MAYO]]+Programacion[[#This Row],[JUNIO]]</f>
        <v>0</v>
      </c>
      <c r="AJ230" s="85">
        <f>Programacion[[#This Row],[DEVENGADO ABRIL]]+Programacion[[#This Row],[DEVENGADO MAYO]]+Programacion[[#This Row],[DEVENGADO JUNIO]]</f>
        <v>0</v>
      </c>
      <c r="AK230" s="85">
        <f>Programacion[[#This Row],[JULIO]]+Programacion[[#This Row],[AGOSTO]]+Programacion[[#This Row],[SEPTIEMBRE]]</f>
        <v>0</v>
      </c>
      <c r="AL230" s="85">
        <f>Programacion[[#This Row],[DEVENGADO JULIO]]+Programacion[[#This Row],[DEVENGADO AGOSTO]]+Programacion[[#This Row],[DEVENGADO SEPTIEMBRE]]</f>
        <v>0</v>
      </c>
      <c r="AM230" s="85">
        <f>Programacion[[#This Row],[OCTUBRE]]+Programacion[[#This Row],[NOVIEMBRE]]+Programacion[[#This Row],[DICIEMBRE]]</f>
        <v>0</v>
      </c>
      <c r="AN230" s="86">
        <f>Programacion[[#This Row],[DEVENGADO OCTUBRE]]+Programacion[[#This Row],[DEVENGADO NOVIEMBRE]]+Programacion[[#This Row],[DEVENGADO DICIEMBRE]]</f>
        <v>0</v>
      </c>
      <c r="AO230" s="86">
        <f>Programacion[[#This Row],[ENERO]]+Programacion[[#This Row],[FEBRERO]]+Programacion[[#This Row],[MARZO]]+Programacion[[#This Row],[ABRIL]]+Programacion[[#This Row],[MAYO]]+Programacion[[#This Row],[JUNIO]]</f>
        <v>6001.2</v>
      </c>
      <c r="AP230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30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0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30" s="113"/>
    </row>
    <row r="231" spans="1:46" x14ac:dyDescent="0.25">
      <c r="A231" s="96" t="s">
        <v>147</v>
      </c>
      <c r="B231" s="87" t="s">
        <v>190</v>
      </c>
      <c r="C231" s="78" t="s">
        <v>56</v>
      </c>
      <c r="D231" s="78" t="s">
        <v>149</v>
      </c>
      <c r="E231" s="79">
        <v>96</v>
      </c>
      <c r="F231" s="80">
        <v>2.2999999999999998</v>
      </c>
      <c r="G231" s="78" t="s">
        <v>57</v>
      </c>
      <c r="H231" s="78"/>
      <c r="I231" s="81"/>
      <c r="J231" s="81"/>
      <c r="K231" s="81"/>
      <c r="L231" s="81">
        <v>6000</v>
      </c>
      <c r="M231" s="81">
        <v>6000</v>
      </c>
      <c r="N231" s="81">
        <v>6000</v>
      </c>
      <c r="O231" s="81">
        <v>6000</v>
      </c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2"/>
      <c r="AB231" s="97"/>
      <c r="AC231" s="97"/>
      <c r="AD231" s="97"/>
      <c r="AE231" s="97"/>
      <c r="AF231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1" s="85">
        <f>Programacion[[#This Row],[ENERO]]+Programacion[[#This Row],[FEBRERO]]+Programacion[[#This Row],[MARZO]]</f>
        <v>6000</v>
      </c>
      <c r="AH231" s="85">
        <f>Programacion[[#This Row],[DEVENGADO ENERO]]+Programacion[[#This Row],[DEVENGADO FEBRERO]]+Programacion[[#This Row],[DEVENGADO MARZO]]</f>
        <v>6000</v>
      </c>
      <c r="AI231" s="85">
        <f>Programacion[[#This Row],[ABRIL]]+Programacion[[#This Row],[MAYO]]+Programacion[[#This Row],[JUNIO]]</f>
        <v>6000</v>
      </c>
      <c r="AJ231" s="85">
        <f>Programacion[[#This Row],[DEVENGADO ABRIL]]+Programacion[[#This Row],[DEVENGADO MAYO]]+Programacion[[#This Row],[DEVENGADO JUNIO]]</f>
        <v>6000</v>
      </c>
      <c r="AK231" s="85">
        <f>Programacion[[#This Row],[JULIO]]+Programacion[[#This Row],[AGOSTO]]+Programacion[[#This Row],[SEPTIEMBRE]]</f>
        <v>0</v>
      </c>
      <c r="AL231" s="85">
        <f>Programacion[[#This Row],[DEVENGADO JULIO]]+Programacion[[#This Row],[DEVENGADO AGOSTO]]+Programacion[[#This Row],[DEVENGADO SEPTIEMBRE]]</f>
        <v>0</v>
      </c>
      <c r="AM231" s="85">
        <f>Programacion[[#This Row],[OCTUBRE]]+Programacion[[#This Row],[NOVIEMBRE]]+Programacion[[#This Row],[DICIEMBRE]]</f>
        <v>0</v>
      </c>
      <c r="AN231" s="86">
        <f>Programacion[[#This Row],[DEVENGADO OCTUBRE]]+Programacion[[#This Row],[DEVENGADO NOVIEMBRE]]+Programacion[[#This Row],[DEVENGADO DICIEMBRE]]</f>
        <v>0</v>
      </c>
      <c r="AO231" s="86">
        <f>Programacion[[#This Row],[ENERO]]+Programacion[[#This Row],[FEBRERO]]+Programacion[[#This Row],[MARZO]]+Programacion[[#This Row],[ABRIL]]+Programacion[[#This Row],[MAYO]]+Programacion[[#This Row],[JUNIO]]</f>
        <v>12000</v>
      </c>
      <c r="AP231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1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1" s="113"/>
    </row>
    <row r="232" spans="1:46" x14ac:dyDescent="0.25">
      <c r="A232" s="92" t="s">
        <v>147</v>
      </c>
      <c r="B232" s="87" t="s">
        <v>191</v>
      </c>
      <c r="C232" s="88" t="s">
        <v>56</v>
      </c>
      <c r="D232" s="91" t="s">
        <v>149</v>
      </c>
      <c r="E232" s="89">
        <v>96</v>
      </c>
      <c r="F232" s="90">
        <v>2.2999999999999998</v>
      </c>
      <c r="G232" s="91" t="s">
        <v>57</v>
      </c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>
        <v>12000</v>
      </c>
      <c r="S232" s="85">
        <v>12000</v>
      </c>
      <c r="T232" s="85">
        <v>6000</v>
      </c>
      <c r="U232" s="85">
        <v>6000</v>
      </c>
      <c r="V232" s="85">
        <v>6000</v>
      </c>
      <c r="W232" s="85">
        <v>6000</v>
      </c>
      <c r="X232" s="85"/>
      <c r="Y232" s="85"/>
      <c r="Z232" s="85"/>
      <c r="AA232" s="85"/>
      <c r="AB232" s="85"/>
      <c r="AC232" s="85"/>
      <c r="AD232" s="85"/>
      <c r="AE232" s="85"/>
      <c r="AF23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32" s="85">
        <f>Programacion[[#This Row],[ENERO]]+Programacion[[#This Row],[FEBRERO]]+Programacion[[#This Row],[MARZO]]</f>
        <v>0</v>
      </c>
      <c r="AH232" s="85">
        <f>Programacion[[#This Row],[DEVENGADO ENERO]]+Programacion[[#This Row],[DEVENGADO FEBRERO]]+Programacion[[#This Row],[DEVENGADO MARZO]]</f>
        <v>0</v>
      </c>
      <c r="AI232" s="85">
        <f>Programacion[[#This Row],[ABRIL]]+Programacion[[#This Row],[MAYO]]+Programacion[[#This Row],[JUNIO]]</f>
        <v>12000</v>
      </c>
      <c r="AJ232" s="85">
        <f>Programacion[[#This Row],[DEVENGADO ABRIL]]+Programacion[[#This Row],[DEVENGADO MAYO]]+Programacion[[#This Row],[DEVENGADO JUNIO]]</f>
        <v>12000</v>
      </c>
      <c r="AK232" s="85">
        <f>Programacion[[#This Row],[JULIO]]+Programacion[[#This Row],[AGOSTO]]+Programacion[[#This Row],[SEPTIEMBRE]]</f>
        <v>12000</v>
      </c>
      <c r="AL232" s="85">
        <f>Programacion[[#This Row],[DEVENGADO JULIO]]+Programacion[[#This Row],[DEVENGADO AGOSTO]]+Programacion[[#This Row],[DEVENGADO SEPTIEMBRE]]</f>
        <v>12000</v>
      </c>
      <c r="AM232" s="85">
        <f>Programacion[[#This Row],[OCTUBRE]]+Programacion[[#This Row],[NOVIEMBRE]]+Programacion[[#This Row],[DICIEMBRE]]</f>
        <v>0</v>
      </c>
      <c r="AN232" s="94">
        <f>Programacion[[#This Row],[DEVENGADO OCTUBRE]]+Programacion[[#This Row],[DEVENGADO NOVIEMBRE]]+Programacion[[#This Row],[DEVENGADO DICIEMBRE]]</f>
        <v>0</v>
      </c>
      <c r="AO232" s="94">
        <f>Programacion[[#This Row],[ENERO]]+Programacion[[#This Row],[FEBRERO]]+Programacion[[#This Row],[MARZO]]+Programacion[[#This Row],[ABRIL]]+Programacion[[#This Row],[MAYO]]+Programacion[[#This Row],[JUNIO]]</f>
        <v>12000</v>
      </c>
      <c r="AP232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2" s="9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2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32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32" s="113"/>
    </row>
    <row r="233" spans="1:46" x14ac:dyDescent="0.25">
      <c r="A233" s="135" t="s">
        <v>147</v>
      </c>
      <c r="B233" s="139" t="s">
        <v>265</v>
      </c>
      <c r="C233" s="137" t="s">
        <v>261</v>
      </c>
      <c r="D233" s="137" t="s">
        <v>149</v>
      </c>
      <c r="E233" s="140">
        <v>96</v>
      </c>
      <c r="F233" s="141">
        <v>23</v>
      </c>
      <c r="G233" s="137" t="s">
        <v>57</v>
      </c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>
        <v>6000</v>
      </c>
      <c r="Y233" s="33"/>
      <c r="Z233" s="33">
        <v>6000</v>
      </c>
      <c r="AA233" s="33"/>
      <c r="AB233" s="33"/>
      <c r="AC233" s="33"/>
      <c r="AD233" s="33"/>
      <c r="AE233" s="33"/>
      <c r="AF23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3" s="33">
        <f>Programacion[[#This Row],[ENERO]]+Programacion[[#This Row],[FEBRERO]]+Programacion[[#This Row],[MARZO]]</f>
        <v>0</v>
      </c>
      <c r="AH233" s="33">
        <f>Programacion[[#This Row],[DEVENGADO ENERO]]+Programacion[[#This Row],[DEVENGADO FEBRERO]]+Programacion[[#This Row],[DEVENGADO MARZO]]</f>
        <v>0</v>
      </c>
      <c r="AI233" s="33">
        <f>Programacion[[#This Row],[ABRIL]]+Programacion[[#This Row],[MAYO]]+Programacion[[#This Row],[JUNIO]]</f>
        <v>0</v>
      </c>
      <c r="AJ233" s="33">
        <f>Programacion[[#This Row],[DEVENGADO ABRIL]]+Programacion[[#This Row],[DEVENGADO MAYO]]+Programacion[[#This Row],[DEVENGADO JUNIO]]</f>
        <v>0</v>
      </c>
      <c r="AK233" s="33">
        <f>Programacion[[#This Row],[JULIO]]+Programacion[[#This Row],[AGOSTO]]+Programacion[[#This Row],[SEPTIEMBRE]]</f>
        <v>6000</v>
      </c>
      <c r="AL233" s="33">
        <f>Programacion[[#This Row],[DEVENGADO JULIO]]+Programacion[[#This Row],[DEVENGADO AGOSTO]]+Programacion[[#This Row],[DEVENGADO SEPTIEMBRE]]</f>
        <v>0</v>
      </c>
      <c r="AM233" s="33">
        <f>Programacion[[#This Row],[OCTUBRE]]+Programacion[[#This Row],[NOVIEMBRE]]+Programacion[[#This Row],[DICIEMBRE]]</f>
        <v>6000</v>
      </c>
      <c r="AN233" s="21">
        <f>Programacion[[#This Row],[DEVENGADO OCTUBRE]]+Programacion[[#This Row],[DEVENGADO NOVIEMBRE]]+Programacion[[#This Row],[DEVENGADO DICIEMBRE]]</f>
        <v>0</v>
      </c>
      <c r="AO233" s="21">
        <f>Programacion[[#This Row],[ENERO]]+Programacion[[#This Row],[FEBRERO]]+Programacion[[#This Row],[MARZO]]+Programacion[[#This Row],[ABRIL]]+Programacion[[#This Row],[MAYO]]+Programacion[[#This Row],[JUNIO]]</f>
        <v>0</v>
      </c>
      <c r="AP23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3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3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3" s="113"/>
    </row>
    <row r="234" spans="1:46" ht="30" x14ac:dyDescent="0.25">
      <c r="A234" s="96" t="s">
        <v>147</v>
      </c>
      <c r="B234" s="87" t="s">
        <v>192</v>
      </c>
      <c r="C234" s="78" t="s">
        <v>56</v>
      </c>
      <c r="D234" s="78" t="s">
        <v>149</v>
      </c>
      <c r="E234" s="79">
        <v>97</v>
      </c>
      <c r="F234" s="80">
        <v>2.2999999999999998</v>
      </c>
      <c r="G234" s="78" t="s">
        <v>57</v>
      </c>
      <c r="H234" s="78">
        <v>7892.5</v>
      </c>
      <c r="I234" s="81">
        <v>7892.5</v>
      </c>
      <c r="J234" s="81"/>
      <c r="K234" s="81"/>
      <c r="L234" s="81">
        <v>7892.5</v>
      </c>
      <c r="M234" s="81">
        <v>7892.5</v>
      </c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2"/>
      <c r="AB234" s="97"/>
      <c r="AC234" s="97"/>
      <c r="AD234" s="97"/>
      <c r="AE234" s="97"/>
      <c r="AF234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34" s="85">
        <f>Programacion[[#This Row],[ENERO]]+Programacion[[#This Row],[FEBRERO]]+Programacion[[#This Row],[MARZO]]</f>
        <v>15785</v>
      </c>
      <c r="AH234" s="85">
        <f>Programacion[[#This Row],[DEVENGADO ENERO]]+Programacion[[#This Row],[DEVENGADO FEBRERO]]+Programacion[[#This Row],[DEVENGADO MARZO]]</f>
        <v>15785</v>
      </c>
      <c r="AI234" s="85">
        <f>Programacion[[#This Row],[ABRIL]]+Programacion[[#This Row],[MAYO]]+Programacion[[#This Row],[JUNIO]]</f>
        <v>0</v>
      </c>
      <c r="AJ234" s="85">
        <f>Programacion[[#This Row],[DEVENGADO ABRIL]]+Programacion[[#This Row],[DEVENGADO MAYO]]+Programacion[[#This Row],[DEVENGADO JUNIO]]</f>
        <v>0</v>
      </c>
      <c r="AK234" s="85">
        <f>Programacion[[#This Row],[JULIO]]+Programacion[[#This Row],[AGOSTO]]+Programacion[[#This Row],[SEPTIEMBRE]]</f>
        <v>0</v>
      </c>
      <c r="AL234" s="85">
        <f>Programacion[[#This Row],[DEVENGADO JULIO]]+Programacion[[#This Row],[DEVENGADO AGOSTO]]+Programacion[[#This Row],[DEVENGADO SEPTIEMBRE]]</f>
        <v>0</v>
      </c>
      <c r="AM234" s="85">
        <f>Programacion[[#This Row],[OCTUBRE]]+Programacion[[#This Row],[NOVIEMBRE]]+Programacion[[#This Row],[DICIEMBRE]]</f>
        <v>0</v>
      </c>
      <c r="AN234" s="86">
        <f>Programacion[[#This Row],[DEVENGADO OCTUBRE]]+Programacion[[#This Row],[DEVENGADO NOVIEMBRE]]+Programacion[[#This Row],[DEVENGADO DICIEMBRE]]</f>
        <v>0</v>
      </c>
      <c r="AO234" s="86">
        <f>Programacion[[#This Row],[ENERO]]+Programacion[[#This Row],[FEBRERO]]+Programacion[[#This Row],[MARZO]]+Programacion[[#This Row],[ABRIL]]+Programacion[[#This Row],[MAYO]]+Programacion[[#This Row],[JUNIO]]</f>
        <v>15785</v>
      </c>
      <c r="AP234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34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4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34" s="113"/>
    </row>
    <row r="235" spans="1:46" x14ac:dyDescent="0.25">
      <c r="A235" s="96" t="s">
        <v>147</v>
      </c>
      <c r="B235" s="87" t="s">
        <v>193</v>
      </c>
      <c r="C235" s="78" t="s">
        <v>194</v>
      </c>
      <c r="D235" s="78" t="s">
        <v>149</v>
      </c>
      <c r="E235" s="79">
        <v>97</v>
      </c>
      <c r="F235" s="80">
        <v>2.2999999999999998</v>
      </c>
      <c r="G235" s="78" t="s">
        <v>167</v>
      </c>
      <c r="H235" s="78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>
        <v>1870.2</v>
      </c>
      <c r="AA235" s="82"/>
      <c r="AB235" s="97"/>
      <c r="AC235" s="97"/>
      <c r="AD235" s="97"/>
      <c r="AE235" s="97"/>
      <c r="AF235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35" s="85">
        <f>Programacion[[#This Row],[ENERO]]+Programacion[[#This Row],[FEBRERO]]+Programacion[[#This Row],[MARZO]]</f>
        <v>0</v>
      </c>
      <c r="AH235" s="85">
        <f>Programacion[[#This Row],[DEVENGADO ENERO]]+Programacion[[#This Row],[DEVENGADO FEBRERO]]+Programacion[[#This Row],[DEVENGADO MARZO]]</f>
        <v>0</v>
      </c>
      <c r="AI235" s="85">
        <f>Programacion[[#This Row],[ABRIL]]+Programacion[[#This Row],[MAYO]]+Programacion[[#This Row],[JUNIO]]</f>
        <v>0</v>
      </c>
      <c r="AJ235" s="85">
        <f>Programacion[[#This Row],[DEVENGADO ABRIL]]+Programacion[[#This Row],[DEVENGADO MAYO]]+Programacion[[#This Row],[DEVENGADO JUNIO]]</f>
        <v>0</v>
      </c>
      <c r="AK235" s="85">
        <f>Programacion[[#This Row],[JULIO]]+Programacion[[#This Row],[AGOSTO]]+Programacion[[#This Row],[SEPTIEMBRE]]</f>
        <v>0</v>
      </c>
      <c r="AL235" s="85">
        <f>Programacion[[#This Row],[DEVENGADO JULIO]]+Programacion[[#This Row],[DEVENGADO AGOSTO]]+Programacion[[#This Row],[DEVENGADO SEPTIEMBRE]]</f>
        <v>0</v>
      </c>
      <c r="AM235" s="85">
        <f>Programacion[[#This Row],[OCTUBRE]]+Programacion[[#This Row],[NOVIEMBRE]]+Programacion[[#This Row],[DICIEMBRE]]</f>
        <v>1870.2</v>
      </c>
      <c r="AN235" s="86">
        <f>Programacion[[#This Row],[DEVENGADO OCTUBRE]]+Programacion[[#This Row],[DEVENGADO NOVIEMBRE]]+Programacion[[#This Row],[DEVENGADO DICIEMBRE]]</f>
        <v>0</v>
      </c>
      <c r="AO235" s="86">
        <f>Programacion[[#This Row],[ENERO]]+Programacion[[#This Row],[FEBRERO]]+Programacion[[#This Row],[MARZO]]+Programacion[[#This Row],[ABRIL]]+Programacion[[#This Row],[MAYO]]+Programacion[[#This Row],[JUNIO]]</f>
        <v>0</v>
      </c>
      <c r="AP235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5" s="86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35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5" s="113"/>
    </row>
    <row r="236" spans="1:46" x14ac:dyDescent="0.25">
      <c r="A236" s="96" t="s">
        <v>147</v>
      </c>
      <c r="B236" s="87" t="s">
        <v>195</v>
      </c>
      <c r="C236" s="88" t="s">
        <v>47</v>
      </c>
      <c r="D236" s="78" t="s">
        <v>149</v>
      </c>
      <c r="E236" s="89">
        <v>97</v>
      </c>
      <c r="F236" s="90">
        <v>2.2999999999999998</v>
      </c>
      <c r="G236" s="91" t="s">
        <v>49</v>
      </c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>
        <v>1600</v>
      </c>
      <c r="AA236" s="85"/>
      <c r="AB236" s="85"/>
      <c r="AC236" s="85"/>
      <c r="AD236" s="85"/>
      <c r="AE236" s="85"/>
      <c r="AF236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6" s="85">
        <f>Programacion[[#This Row],[ENERO]]+Programacion[[#This Row],[FEBRERO]]+Programacion[[#This Row],[MARZO]]</f>
        <v>0</v>
      </c>
      <c r="AH236" s="85">
        <f>Programacion[[#This Row],[DEVENGADO ENERO]]+Programacion[[#This Row],[DEVENGADO FEBRERO]]+Programacion[[#This Row],[DEVENGADO MARZO]]</f>
        <v>0</v>
      </c>
      <c r="AI236" s="85">
        <f>Programacion[[#This Row],[ABRIL]]+Programacion[[#This Row],[MAYO]]+Programacion[[#This Row],[JUNIO]]</f>
        <v>0</v>
      </c>
      <c r="AJ236" s="85">
        <f>Programacion[[#This Row],[DEVENGADO ABRIL]]+Programacion[[#This Row],[DEVENGADO MAYO]]+Programacion[[#This Row],[DEVENGADO JUNIO]]</f>
        <v>0</v>
      </c>
      <c r="AK236" s="85">
        <f>Programacion[[#This Row],[JULIO]]+Programacion[[#This Row],[AGOSTO]]+Programacion[[#This Row],[SEPTIEMBRE]]</f>
        <v>0</v>
      </c>
      <c r="AL236" s="85">
        <f>Programacion[[#This Row],[DEVENGADO JULIO]]+Programacion[[#This Row],[DEVENGADO AGOSTO]]+Programacion[[#This Row],[DEVENGADO SEPTIEMBRE]]</f>
        <v>0</v>
      </c>
      <c r="AM236" s="85">
        <f>Programacion[[#This Row],[OCTUBRE]]+Programacion[[#This Row],[NOVIEMBRE]]+Programacion[[#This Row],[DICIEMBRE]]</f>
        <v>1600</v>
      </c>
      <c r="AN236" s="85">
        <f>Programacion[[#This Row],[DEVENGADO OCTUBRE]]+Programacion[[#This Row],[DEVENGADO NOVIEMBRE]]+Programacion[[#This Row],[DEVENGADO DICIEMBRE]]</f>
        <v>0</v>
      </c>
      <c r="AO236" s="85">
        <f>Programacion[[#This Row],[ENERO]]+Programacion[[#This Row],[FEBRERO]]+Programacion[[#This Row],[MARZO]]+Programacion[[#This Row],[ABRIL]]+Programacion[[#This Row],[MAYO]]+Programacion[[#This Row],[JUNIO]]</f>
        <v>0</v>
      </c>
      <c r="AP236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6" s="85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6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6" s="113"/>
    </row>
    <row r="237" spans="1:46" x14ac:dyDescent="0.25">
      <c r="A237" s="96" t="s">
        <v>147</v>
      </c>
      <c r="B237" s="87" t="s">
        <v>196</v>
      </c>
      <c r="C237" s="88" t="s">
        <v>47</v>
      </c>
      <c r="D237" s="78" t="s">
        <v>149</v>
      </c>
      <c r="E237" s="89">
        <v>97</v>
      </c>
      <c r="F237" s="90">
        <v>2.2999999999999998</v>
      </c>
      <c r="G237" s="91" t="s">
        <v>51</v>
      </c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>
        <v>1620</v>
      </c>
      <c r="AA237" s="85"/>
      <c r="AB237" s="85"/>
      <c r="AC237" s="85"/>
      <c r="AD237" s="85"/>
      <c r="AE237" s="85"/>
      <c r="AF237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37" s="85">
        <f>Programacion[[#This Row],[ENERO]]+Programacion[[#This Row],[FEBRERO]]+Programacion[[#This Row],[MARZO]]</f>
        <v>0</v>
      </c>
      <c r="AH237" s="85">
        <f>Programacion[[#This Row],[DEVENGADO ENERO]]+Programacion[[#This Row],[DEVENGADO FEBRERO]]+Programacion[[#This Row],[DEVENGADO MARZO]]</f>
        <v>0</v>
      </c>
      <c r="AI237" s="85">
        <f>Programacion[[#This Row],[ABRIL]]+Programacion[[#This Row],[MAYO]]+Programacion[[#This Row],[JUNIO]]</f>
        <v>0</v>
      </c>
      <c r="AJ237" s="85">
        <f>Programacion[[#This Row],[DEVENGADO ABRIL]]+Programacion[[#This Row],[DEVENGADO MAYO]]+Programacion[[#This Row],[DEVENGADO JUNIO]]</f>
        <v>0</v>
      </c>
      <c r="AK237" s="85">
        <f>Programacion[[#This Row],[JULIO]]+Programacion[[#This Row],[AGOSTO]]+Programacion[[#This Row],[SEPTIEMBRE]]</f>
        <v>0</v>
      </c>
      <c r="AL237" s="85">
        <f>Programacion[[#This Row],[DEVENGADO JULIO]]+Programacion[[#This Row],[DEVENGADO AGOSTO]]+Programacion[[#This Row],[DEVENGADO SEPTIEMBRE]]</f>
        <v>0</v>
      </c>
      <c r="AM237" s="85">
        <f>Programacion[[#This Row],[OCTUBRE]]+Programacion[[#This Row],[NOVIEMBRE]]+Programacion[[#This Row],[DICIEMBRE]]</f>
        <v>1620</v>
      </c>
      <c r="AN237" s="85">
        <f>Programacion[[#This Row],[DEVENGADO OCTUBRE]]+Programacion[[#This Row],[DEVENGADO NOVIEMBRE]]+Programacion[[#This Row],[DEVENGADO DICIEMBRE]]</f>
        <v>0</v>
      </c>
      <c r="AO237" s="85">
        <f>Programacion[[#This Row],[ENERO]]+Programacion[[#This Row],[FEBRERO]]+Programacion[[#This Row],[MARZO]]+Programacion[[#This Row],[ABRIL]]+Programacion[[#This Row],[MAYO]]+Programacion[[#This Row],[JUNIO]]</f>
        <v>0</v>
      </c>
      <c r="AP237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7" s="85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37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7" s="113"/>
    </row>
    <row r="238" spans="1:46" x14ac:dyDescent="0.25">
      <c r="A238" s="96" t="s">
        <v>147</v>
      </c>
      <c r="B238" s="87" t="s">
        <v>197</v>
      </c>
      <c r="C238" s="88" t="s">
        <v>47</v>
      </c>
      <c r="D238" s="78" t="s">
        <v>149</v>
      </c>
      <c r="E238" s="89">
        <v>97</v>
      </c>
      <c r="F238" s="90">
        <v>2.2999999999999998</v>
      </c>
      <c r="G238" s="91" t="s">
        <v>49</v>
      </c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>
        <v>344.7</v>
      </c>
      <c r="AA238" s="85"/>
      <c r="AB238" s="85"/>
      <c r="AC238" s="85"/>
      <c r="AD238" s="85"/>
      <c r="AE238" s="85"/>
      <c r="AF238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38" s="85">
        <f>Programacion[[#This Row],[ENERO]]+Programacion[[#This Row],[FEBRERO]]+Programacion[[#This Row],[MARZO]]</f>
        <v>0</v>
      </c>
      <c r="AH238" s="85">
        <f>Programacion[[#This Row],[DEVENGADO ENERO]]+Programacion[[#This Row],[DEVENGADO FEBRERO]]+Programacion[[#This Row],[DEVENGADO MARZO]]</f>
        <v>0</v>
      </c>
      <c r="AI238" s="85">
        <f>Programacion[[#This Row],[ABRIL]]+Programacion[[#This Row],[MAYO]]+Programacion[[#This Row],[JUNIO]]</f>
        <v>0</v>
      </c>
      <c r="AJ238" s="85">
        <f>Programacion[[#This Row],[DEVENGADO ABRIL]]+Programacion[[#This Row],[DEVENGADO MAYO]]+Programacion[[#This Row],[DEVENGADO JUNIO]]</f>
        <v>0</v>
      </c>
      <c r="AK238" s="85">
        <f>Programacion[[#This Row],[JULIO]]+Programacion[[#This Row],[AGOSTO]]+Programacion[[#This Row],[SEPTIEMBRE]]</f>
        <v>0</v>
      </c>
      <c r="AL238" s="85">
        <f>Programacion[[#This Row],[DEVENGADO JULIO]]+Programacion[[#This Row],[DEVENGADO AGOSTO]]+Programacion[[#This Row],[DEVENGADO SEPTIEMBRE]]</f>
        <v>0</v>
      </c>
      <c r="AM238" s="85">
        <f>Programacion[[#This Row],[OCTUBRE]]+Programacion[[#This Row],[NOVIEMBRE]]+Programacion[[#This Row],[DICIEMBRE]]</f>
        <v>344.7</v>
      </c>
      <c r="AN238" s="85">
        <f>Programacion[[#This Row],[DEVENGADO OCTUBRE]]+Programacion[[#This Row],[DEVENGADO NOVIEMBRE]]+Programacion[[#This Row],[DEVENGADO DICIEMBRE]]</f>
        <v>0</v>
      </c>
      <c r="AO238" s="85">
        <f>Programacion[[#This Row],[ENERO]]+Programacion[[#This Row],[FEBRERO]]+Programacion[[#This Row],[MARZO]]+Programacion[[#This Row],[ABRIL]]+Programacion[[#This Row],[MAYO]]+Programacion[[#This Row],[JUNIO]]</f>
        <v>0</v>
      </c>
      <c r="AP238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8" s="85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38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38" s="113"/>
    </row>
    <row r="239" spans="1:46" ht="45" x14ac:dyDescent="0.25">
      <c r="A239" s="96" t="s">
        <v>147</v>
      </c>
      <c r="B239" s="87" t="s">
        <v>198</v>
      </c>
      <c r="C239" s="88" t="s">
        <v>199</v>
      </c>
      <c r="D239" s="78" t="s">
        <v>149</v>
      </c>
      <c r="E239" s="89">
        <v>98</v>
      </c>
      <c r="F239" s="90">
        <v>2.2999999999999998</v>
      </c>
      <c r="G239" s="91" t="s">
        <v>200</v>
      </c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>
        <v>2020</v>
      </c>
      <c r="S239" s="85">
        <v>2020</v>
      </c>
      <c r="T239" s="85"/>
      <c r="U239" s="85"/>
      <c r="V239" s="85">
        <v>8080</v>
      </c>
      <c r="W239" s="85">
        <v>8080</v>
      </c>
      <c r="X239" s="85"/>
      <c r="Y239" s="85"/>
      <c r="Z239" s="85"/>
      <c r="AA239" s="85"/>
      <c r="AB239" s="85"/>
      <c r="AC239" s="85"/>
      <c r="AD239" s="85"/>
      <c r="AE239" s="85"/>
      <c r="AF239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39" s="85">
        <f>Programacion[[#This Row],[ENERO]]+Programacion[[#This Row],[FEBRERO]]+Programacion[[#This Row],[MARZO]]</f>
        <v>0</v>
      </c>
      <c r="AH239" s="85">
        <f>Programacion[[#This Row],[DEVENGADO ENERO]]+Programacion[[#This Row],[DEVENGADO FEBRERO]]+Programacion[[#This Row],[DEVENGADO MARZO]]</f>
        <v>0</v>
      </c>
      <c r="AI239" s="85">
        <f>Programacion[[#This Row],[ABRIL]]+Programacion[[#This Row],[MAYO]]+Programacion[[#This Row],[JUNIO]]</f>
        <v>2020</v>
      </c>
      <c r="AJ239" s="85">
        <f>Programacion[[#This Row],[DEVENGADO ABRIL]]+Programacion[[#This Row],[DEVENGADO MAYO]]+Programacion[[#This Row],[DEVENGADO JUNIO]]</f>
        <v>2020</v>
      </c>
      <c r="AK239" s="85">
        <f>Programacion[[#This Row],[JULIO]]+Programacion[[#This Row],[AGOSTO]]+Programacion[[#This Row],[SEPTIEMBRE]]</f>
        <v>8080</v>
      </c>
      <c r="AL239" s="85">
        <f>Programacion[[#This Row],[DEVENGADO JULIO]]+Programacion[[#This Row],[DEVENGADO AGOSTO]]+Programacion[[#This Row],[DEVENGADO SEPTIEMBRE]]</f>
        <v>8080</v>
      </c>
      <c r="AM239" s="85">
        <f>Programacion[[#This Row],[OCTUBRE]]+Programacion[[#This Row],[NOVIEMBRE]]+Programacion[[#This Row],[DICIEMBRE]]</f>
        <v>0</v>
      </c>
      <c r="AN239" s="85">
        <f>Programacion[[#This Row],[DEVENGADO OCTUBRE]]+Programacion[[#This Row],[DEVENGADO NOVIEMBRE]]+Programacion[[#This Row],[DEVENGADO DICIEMBRE]]</f>
        <v>0</v>
      </c>
      <c r="AO239" s="85">
        <f>Programacion[[#This Row],[ENERO]]+Programacion[[#This Row],[FEBRERO]]+Programacion[[#This Row],[MARZO]]+Programacion[[#This Row],[ABRIL]]+Programacion[[#This Row],[MAYO]]+Programacion[[#This Row],[JUNIO]]</f>
        <v>2020</v>
      </c>
      <c r="AP239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39" s="85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39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3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39" s="113"/>
    </row>
    <row r="240" spans="1:46" ht="60" x14ac:dyDescent="0.25">
      <c r="A240" s="96" t="s">
        <v>147</v>
      </c>
      <c r="B240" s="87" t="s">
        <v>201</v>
      </c>
      <c r="C240" s="78" t="s">
        <v>199</v>
      </c>
      <c r="D240" s="78" t="s">
        <v>149</v>
      </c>
      <c r="E240" s="79">
        <v>98</v>
      </c>
      <c r="F240" s="80">
        <v>2.2999999999999998</v>
      </c>
      <c r="G240" s="78" t="s">
        <v>200</v>
      </c>
      <c r="H240" s="78"/>
      <c r="I240" s="81"/>
      <c r="J240" s="81"/>
      <c r="K240" s="81"/>
      <c r="L240" s="81">
        <v>2870</v>
      </c>
      <c r="M240" s="81">
        <v>2870</v>
      </c>
      <c r="N240" s="81"/>
      <c r="O240" s="81"/>
      <c r="P240" s="81">
        <v>5330</v>
      </c>
      <c r="Q240" s="81">
        <v>5330</v>
      </c>
      <c r="R240" s="81"/>
      <c r="S240" s="81"/>
      <c r="T240" s="81"/>
      <c r="U240" s="81"/>
      <c r="V240" s="81"/>
      <c r="W240" s="81"/>
      <c r="X240" s="81"/>
      <c r="Y240" s="81"/>
      <c r="Z240" s="81"/>
      <c r="AA240" s="82"/>
      <c r="AB240" s="97"/>
      <c r="AC240" s="97"/>
      <c r="AD240" s="97"/>
      <c r="AE240" s="97"/>
      <c r="AF240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40" s="85">
        <f>Programacion[[#This Row],[ENERO]]+Programacion[[#This Row],[FEBRERO]]+Programacion[[#This Row],[MARZO]]</f>
        <v>2870</v>
      </c>
      <c r="AH240" s="85">
        <f>Programacion[[#This Row],[DEVENGADO ENERO]]+Programacion[[#This Row],[DEVENGADO FEBRERO]]+Programacion[[#This Row],[DEVENGADO MARZO]]</f>
        <v>2870</v>
      </c>
      <c r="AI240" s="85">
        <f>Programacion[[#This Row],[ABRIL]]+Programacion[[#This Row],[MAYO]]+Programacion[[#This Row],[JUNIO]]</f>
        <v>5330</v>
      </c>
      <c r="AJ240" s="85">
        <f>Programacion[[#This Row],[DEVENGADO ABRIL]]+Programacion[[#This Row],[DEVENGADO MAYO]]+Programacion[[#This Row],[DEVENGADO JUNIO]]</f>
        <v>5330</v>
      </c>
      <c r="AK240" s="85">
        <f>Programacion[[#This Row],[JULIO]]+Programacion[[#This Row],[AGOSTO]]+Programacion[[#This Row],[SEPTIEMBRE]]</f>
        <v>0</v>
      </c>
      <c r="AL240" s="85">
        <f>Programacion[[#This Row],[DEVENGADO JULIO]]+Programacion[[#This Row],[DEVENGADO AGOSTO]]+Programacion[[#This Row],[DEVENGADO SEPTIEMBRE]]</f>
        <v>0</v>
      </c>
      <c r="AM240" s="85">
        <f>Programacion[[#This Row],[OCTUBRE]]+Programacion[[#This Row],[NOVIEMBRE]]+Programacion[[#This Row],[DICIEMBRE]]</f>
        <v>0</v>
      </c>
      <c r="AN240" s="86">
        <f>Programacion[[#This Row],[DEVENGADO OCTUBRE]]+Programacion[[#This Row],[DEVENGADO NOVIEMBRE]]+Programacion[[#This Row],[DEVENGADO DICIEMBRE]]</f>
        <v>0</v>
      </c>
      <c r="AO240" s="86">
        <f>Programacion[[#This Row],[ENERO]]+Programacion[[#This Row],[FEBRERO]]+Programacion[[#This Row],[MARZO]]+Programacion[[#This Row],[ABRIL]]+Programacion[[#This Row],[MAYO]]+Programacion[[#This Row],[JUNIO]]</f>
        <v>8200</v>
      </c>
      <c r="AP240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40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0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40" s="113"/>
    </row>
    <row r="241" spans="1:46" ht="30" x14ac:dyDescent="0.25">
      <c r="A241" s="96" t="s">
        <v>147</v>
      </c>
      <c r="B241" s="87" t="s">
        <v>202</v>
      </c>
      <c r="C241" s="88" t="s">
        <v>73</v>
      </c>
      <c r="D241" s="91" t="s">
        <v>149</v>
      </c>
      <c r="E241" s="89">
        <v>98</v>
      </c>
      <c r="F241" s="90">
        <v>2.2999999999999998</v>
      </c>
      <c r="G241" s="91" t="s">
        <v>74</v>
      </c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>
        <v>147</v>
      </c>
      <c r="AA241" s="85"/>
      <c r="AB241" s="85"/>
      <c r="AC241" s="85"/>
      <c r="AD241" s="85"/>
      <c r="AE241" s="85"/>
      <c r="AF241" s="8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41" s="85">
        <f>Programacion[[#This Row],[ENERO]]+Programacion[[#This Row],[FEBRERO]]+Programacion[[#This Row],[MARZO]]</f>
        <v>0</v>
      </c>
      <c r="AH241" s="85">
        <f>Programacion[[#This Row],[DEVENGADO ENERO]]+Programacion[[#This Row],[DEVENGADO FEBRERO]]+Programacion[[#This Row],[DEVENGADO MARZO]]</f>
        <v>0</v>
      </c>
      <c r="AI241" s="85">
        <f>Programacion[[#This Row],[ABRIL]]+Programacion[[#This Row],[MAYO]]+Programacion[[#This Row],[JUNIO]]</f>
        <v>0</v>
      </c>
      <c r="AJ241" s="85">
        <f>Programacion[[#This Row],[DEVENGADO ABRIL]]+Programacion[[#This Row],[DEVENGADO MAYO]]+Programacion[[#This Row],[DEVENGADO JUNIO]]</f>
        <v>0</v>
      </c>
      <c r="AK241" s="85">
        <f>Programacion[[#This Row],[JULIO]]+Programacion[[#This Row],[AGOSTO]]+Programacion[[#This Row],[SEPTIEMBRE]]</f>
        <v>0</v>
      </c>
      <c r="AL241" s="85">
        <f>Programacion[[#This Row],[DEVENGADO JULIO]]+Programacion[[#This Row],[DEVENGADO AGOSTO]]+Programacion[[#This Row],[DEVENGADO SEPTIEMBRE]]</f>
        <v>0</v>
      </c>
      <c r="AM241" s="85">
        <f>Programacion[[#This Row],[OCTUBRE]]+Programacion[[#This Row],[NOVIEMBRE]]+Programacion[[#This Row],[DICIEMBRE]]</f>
        <v>147</v>
      </c>
      <c r="AN241" s="85">
        <f>Programacion[[#This Row],[DEVENGADO OCTUBRE]]+Programacion[[#This Row],[DEVENGADO NOVIEMBRE]]+Programacion[[#This Row],[DEVENGADO DICIEMBRE]]</f>
        <v>0</v>
      </c>
      <c r="AO241" s="85">
        <f>Programacion[[#This Row],[ENERO]]+Programacion[[#This Row],[FEBRERO]]+Programacion[[#This Row],[MARZO]]+Programacion[[#This Row],[ABRIL]]+Programacion[[#This Row],[MAYO]]+Programacion[[#This Row],[JUNIO]]</f>
        <v>0</v>
      </c>
      <c r="AP241" s="85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85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41" s="85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1" s="113"/>
    </row>
    <row r="242" spans="1:46" x14ac:dyDescent="0.25">
      <c r="A242" s="96" t="s">
        <v>147</v>
      </c>
      <c r="B242" s="87" t="s">
        <v>203</v>
      </c>
      <c r="C242" s="78" t="s">
        <v>194</v>
      </c>
      <c r="D242" s="78" t="s">
        <v>149</v>
      </c>
      <c r="E242" s="79">
        <v>98</v>
      </c>
      <c r="F242" s="80">
        <v>2.2999999999999998</v>
      </c>
      <c r="G242" s="78" t="s">
        <v>167</v>
      </c>
      <c r="H242" s="78"/>
      <c r="I242" s="81"/>
      <c r="J242" s="81"/>
      <c r="K242" s="81"/>
      <c r="L242" s="81"/>
      <c r="M242" s="81"/>
      <c r="N242" s="81"/>
      <c r="O242" s="81"/>
      <c r="P242" s="81"/>
      <c r="Q242" s="81"/>
      <c r="R242" s="81">
        <v>5450</v>
      </c>
      <c r="S242" s="81">
        <v>5450</v>
      </c>
      <c r="T242" s="81"/>
      <c r="U242" s="81"/>
      <c r="V242" s="81"/>
      <c r="W242" s="81"/>
      <c r="X242" s="81"/>
      <c r="Y242" s="81"/>
      <c r="Z242" s="81"/>
      <c r="AA242" s="82"/>
      <c r="AB242" s="97"/>
      <c r="AC242" s="97"/>
      <c r="AD242" s="97"/>
      <c r="AE242" s="97"/>
      <c r="AF242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42" s="85">
        <f>Programacion[[#This Row],[ENERO]]+Programacion[[#This Row],[FEBRERO]]+Programacion[[#This Row],[MARZO]]</f>
        <v>0</v>
      </c>
      <c r="AH242" s="85">
        <f>Programacion[[#This Row],[DEVENGADO ENERO]]+Programacion[[#This Row],[DEVENGADO FEBRERO]]+Programacion[[#This Row],[DEVENGADO MARZO]]</f>
        <v>0</v>
      </c>
      <c r="AI242" s="85">
        <f>Programacion[[#This Row],[ABRIL]]+Programacion[[#This Row],[MAYO]]+Programacion[[#This Row],[JUNIO]]</f>
        <v>5450</v>
      </c>
      <c r="AJ242" s="85">
        <f>Programacion[[#This Row],[DEVENGADO ABRIL]]+Programacion[[#This Row],[DEVENGADO MAYO]]+Programacion[[#This Row],[DEVENGADO JUNIO]]</f>
        <v>5450</v>
      </c>
      <c r="AK242" s="85">
        <f>Programacion[[#This Row],[JULIO]]+Programacion[[#This Row],[AGOSTO]]+Programacion[[#This Row],[SEPTIEMBRE]]</f>
        <v>0</v>
      </c>
      <c r="AL242" s="85">
        <f>Programacion[[#This Row],[DEVENGADO JULIO]]+Programacion[[#This Row],[DEVENGADO AGOSTO]]+Programacion[[#This Row],[DEVENGADO SEPTIEMBRE]]</f>
        <v>0</v>
      </c>
      <c r="AM242" s="85">
        <f>Programacion[[#This Row],[OCTUBRE]]+Programacion[[#This Row],[NOVIEMBRE]]+Programacion[[#This Row],[DICIEMBRE]]</f>
        <v>0</v>
      </c>
      <c r="AN242" s="86">
        <f>Programacion[[#This Row],[DEVENGADO OCTUBRE]]+Programacion[[#This Row],[DEVENGADO NOVIEMBRE]]+Programacion[[#This Row],[DEVENGADO DICIEMBRE]]</f>
        <v>0</v>
      </c>
      <c r="AO242" s="86">
        <f>Programacion[[#This Row],[ENERO]]+Programacion[[#This Row],[FEBRERO]]+Programacion[[#This Row],[MARZO]]+Programacion[[#This Row],[ABRIL]]+Programacion[[#This Row],[MAYO]]+Programacion[[#This Row],[JUNIO]]</f>
        <v>5450</v>
      </c>
      <c r="AP242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42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2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42" s="113"/>
    </row>
    <row r="243" spans="1:46" ht="30" x14ac:dyDescent="0.25">
      <c r="A243" s="96" t="s">
        <v>147</v>
      </c>
      <c r="B243" s="87" t="s">
        <v>192</v>
      </c>
      <c r="C243" s="78" t="s">
        <v>56</v>
      </c>
      <c r="D243" s="78" t="s">
        <v>149</v>
      </c>
      <c r="E243" s="79">
        <v>98</v>
      </c>
      <c r="F243" s="80">
        <v>2.2999999999999998</v>
      </c>
      <c r="G243" s="78" t="s">
        <v>57</v>
      </c>
      <c r="H243" s="78"/>
      <c r="I243" s="81"/>
      <c r="J243" s="81"/>
      <c r="K243" s="81"/>
      <c r="L243" s="81"/>
      <c r="M243" s="81"/>
      <c r="N243" s="81">
        <v>10500</v>
      </c>
      <c r="O243" s="81">
        <v>10500</v>
      </c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2"/>
      <c r="AB243" s="97"/>
      <c r="AC243" s="97"/>
      <c r="AD243" s="97"/>
      <c r="AE243" s="97"/>
      <c r="AF243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43" s="85">
        <f>Programacion[[#This Row],[ENERO]]+Programacion[[#This Row],[FEBRERO]]+Programacion[[#This Row],[MARZO]]</f>
        <v>0</v>
      </c>
      <c r="AH243" s="85">
        <f>Programacion[[#This Row],[DEVENGADO ENERO]]+Programacion[[#This Row],[DEVENGADO FEBRERO]]+Programacion[[#This Row],[DEVENGADO MARZO]]</f>
        <v>0</v>
      </c>
      <c r="AI243" s="85">
        <f>Programacion[[#This Row],[ABRIL]]+Programacion[[#This Row],[MAYO]]+Programacion[[#This Row],[JUNIO]]</f>
        <v>10500</v>
      </c>
      <c r="AJ243" s="85">
        <f>Programacion[[#This Row],[DEVENGADO ABRIL]]+Programacion[[#This Row],[DEVENGADO MAYO]]+Programacion[[#This Row],[DEVENGADO JUNIO]]</f>
        <v>10500</v>
      </c>
      <c r="AK243" s="85">
        <f>Programacion[[#This Row],[JULIO]]+Programacion[[#This Row],[AGOSTO]]+Programacion[[#This Row],[SEPTIEMBRE]]</f>
        <v>0</v>
      </c>
      <c r="AL243" s="85">
        <f>Programacion[[#This Row],[DEVENGADO JULIO]]+Programacion[[#This Row],[DEVENGADO AGOSTO]]+Programacion[[#This Row],[DEVENGADO SEPTIEMBRE]]</f>
        <v>0</v>
      </c>
      <c r="AM243" s="85">
        <f>Programacion[[#This Row],[OCTUBRE]]+Programacion[[#This Row],[NOVIEMBRE]]+Programacion[[#This Row],[DICIEMBRE]]</f>
        <v>0</v>
      </c>
      <c r="AN243" s="86">
        <f>Programacion[[#This Row],[DEVENGADO OCTUBRE]]+Programacion[[#This Row],[DEVENGADO NOVIEMBRE]]+Programacion[[#This Row],[DEVENGADO DICIEMBRE]]</f>
        <v>0</v>
      </c>
      <c r="AO243" s="86">
        <f>Programacion[[#This Row],[ENERO]]+Programacion[[#This Row],[FEBRERO]]+Programacion[[#This Row],[MARZO]]+Programacion[[#This Row],[ABRIL]]+Programacion[[#This Row],[MAYO]]+Programacion[[#This Row],[JUNIO]]</f>
        <v>10500</v>
      </c>
      <c r="AP243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43" s="86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3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43" s="113"/>
    </row>
    <row r="244" spans="1:46" x14ac:dyDescent="0.25">
      <c r="A244" s="96" t="s">
        <v>147</v>
      </c>
      <c r="B244" s="87" t="s">
        <v>204</v>
      </c>
      <c r="C244" s="78" t="s">
        <v>56</v>
      </c>
      <c r="D244" s="78" t="s">
        <v>149</v>
      </c>
      <c r="E244" s="79">
        <v>98</v>
      </c>
      <c r="F244" s="80">
        <v>2.2999999999999998</v>
      </c>
      <c r="G244" s="78" t="s">
        <v>57</v>
      </c>
      <c r="H244" s="78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>
        <v>9500</v>
      </c>
      <c r="AA244" s="82"/>
      <c r="AB244" s="97"/>
      <c r="AC244" s="97"/>
      <c r="AD244" s="97"/>
      <c r="AE244" s="97"/>
      <c r="AF244" s="84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44" s="85">
        <f>Programacion[[#This Row],[ENERO]]+Programacion[[#This Row],[FEBRERO]]+Programacion[[#This Row],[MARZO]]</f>
        <v>0</v>
      </c>
      <c r="AH244" s="85">
        <f>Programacion[[#This Row],[DEVENGADO ENERO]]+Programacion[[#This Row],[DEVENGADO FEBRERO]]+Programacion[[#This Row],[DEVENGADO MARZO]]</f>
        <v>0</v>
      </c>
      <c r="AI244" s="85">
        <f>Programacion[[#This Row],[ABRIL]]+Programacion[[#This Row],[MAYO]]+Programacion[[#This Row],[JUNIO]]</f>
        <v>0</v>
      </c>
      <c r="AJ244" s="85">
        <f>Programacion[[#This Row],[DEVENGADO ABRIL]]+Programacion[[#This Row],[DEVENGADO MAYO]]+Programacion[[#This Row],[DEVENGADO JUNIO]]</f>
        <v>0</v>
      </c>
      <c r="AK244" s="85">
        <f>Programacion[[#This Row],[JULIO]]+Programacion[[#This Row],[AGOSTO]]+Programacion[[#This Row],[SEPTIEMBRE]]</f>
        <v>0</v>
      </c>
      <c r="AL244" s="85">
        <f>Programacion[[#This Row],[DEVENGADO JULIO]]+Programacion[[#This Row],[DEVENGADO AGOSTO]]+Programacion[[#This Row],[DEVENGADO SEPTIEMBRE]]</f>
        <v>0</v>
      </c>
      <c r="AM244" s="85">
        <f>Programacion[[#This Row],[OCTUBRE]]+Programacion[[#This Row],[NOVIEMBRE]]+Programacion[[#This Row],[DICIEMBRE]]</f>
        <v>9500</v>
      </c>
      <c r="AN244" s="86">
        <f>Programacion[[#This Row],[DEVENGADO OCTUBRE]]+Programacion[[#This Row],[DEVENGADO NOVIEMBRE]]+Programacion[[#This Row],[DEVENGADO DICIEMBRE]]</f>
        <v>0</v>
      </c>
      <c r="AO244" s="86">
        <f>Programacion[[#This Row],[ENERO]]+Programacion[[#This Row],[FEBRERO]]+Programacion[[#This Row],[MARZO]]+Programacion[[#This Row],[ABRIL]]+Programacion[[#This Row],[MAYO]]+Programacion[[#This Row],[JUNIO]]</f>
        <v>0</v>
      </c>
      <c r="AP244" s="8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4" s="86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44" s="8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4" s="113"/>
    </row>
    <row r="245" spans="1:46" ht="30" x14ac:dyDescent="0.25">
      <c r="A245" s="96" t="s">
        <v>147</v>
      </c>
      <c r="B245" s="87" t="s">
        <v>205</v>
      </c>
      <c r="C245" s="88" t="s">
        <v>56</v>
      </c>
      <c r="D245" s="78" t="s">
        <v>149</v>
      </c>
      <c r="E245" s="89">
        <v>99</v>
      </c>
      <c r="F245" s="80">
        <v>2.2999999999999998</v>
      </c>
      <c r="G245" s="91" t="s">
        <v>57</v>
      </c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>
        <v>19500</v>
      </c>
      <c r="AA245" s="85"/>
      <c r="AB245" s="85"/>
      <c r="AC245" s="85"/>
      <c r="AD245" s="85"/>
      <c r="AE245" s="85"/>
      <c r="AF245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45" s="85">
        <f>Programacion[[#This Row],[ENERO]]+Programacion[[#This Row],[FEBRERO]]+Programacion[[#This Row],[MARZO]]</f>
        <v>0</v>
      </c>
      <c r="AH245" s="85">
        <f>Programacion[[#This Row],[DEVENGADO ENERO]]+Programacion[[#This Row],[DEVENGADO FEBRERO]]+Programacion[[#This Row],[DEVENGADO MARZO]]</f>
        <v>0</v>
      </c>
      <c r="AI245" s="85">
        <f>Programacion[[#This Row],[ABRIL]]+Programacion[[#This Row],[MAYO]]+Programacion[[#This Row],[JUNIO]]</f>
        <v>0</v>
      </c>
      <c r="AJ245" s="85">
        <f>Programacion[[#This Row],[DEVENGADO ABRIL]]+Programacion[[#This Row],[DEVENGADO MAYO]]+Programacion[[#This Row],[DEVENGADO JUNIO]]</f>
        <v>0</v>
      </c>
      <c r="AK245" s="85">
        <f>Programacion[[#This Row],[JULIO]]+Programacion[[#This Row],[AGOSTO]]+Programacion[[#This Row],[SEPTIEMBRE]]</f>
        <v>0</v>
      </c>
      <c r="AL245" s="85">
        <f>Programacion[[#This Row],[DEVENGADO JULIO]]+Programacion[[#This Row],[DEVENGADO AGOSTO]]+Programacion[[#This Row],[DEVENGADO SEPTIEMBRE]]</f>
        <v>0</v>
      </c>
      <c r="AM245" s="85">
        <f>Programacion[[#This Row],[OCTUBRE]]+Programacion[[#This Row],[NOVIEMBRE]]+Programacion[[#This Row],[DICIEMBRE]]</f>
        <v>19500</v>
      </c>
      <c r="AN245" s="94">
        <f>Programacion[[#This Row],[DEVENGADO OCTUBRE]]+Programacion[[#This Row],[DEVENGADO NOVIEMBRE]]+Programacion[[#This Row],[DEVENGADO DICIEMBRE]]</f>
        <v>0</v>
      </c>
      <c r="AO245" s="94">
        <f>Programacion[[#This Row],[ENERO]]+Programacion[[#This Row],[FEBRERO]]+Programacion[[#This Row],[MARZO]]+Programacion[[#This Row],[ABRIL]]+Programacion[[#This Row],[MAYO]]+Programacion[[#This Row],[JUNIO]]</f>
        <v>0</v>
      </c>
      <c r="AP245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94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45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5" s="113"/>
    </row>
    <row r="246" spans="1:46" ht="30" x14ac:dyDescent="0.25">
      <c r="A246" s="96" t="s">
        <v>147</v>
      </c>
      <c r="B246" s="87" t="s">
        <v>206</v>
      </c>
      <c r="C246" s="88" t="s">
        <v>56</v>
      </c>
      <c r="D246" s="78" t="s">
        <v>149</v>
      </c>
      <c r="E246" s="89">
        <v>99</v>
      </c>
      <c r="F246" s="80">
        <v>2.2999999999999998</v>
      </c>
      <c r="G246" s="91" t="s">
        <v>57</v>
      </c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>
        <v>16608.68</v>
      </c>
      <c r="AA246" s="85"/>
      <c r="AB246" s="85"/>
      <c r="AC246" s="85"/>
      <c r="AD246" s="85"/>
      <c r="AE246" s="85"/>
      <c r="AF246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46" s="85">
        <f>Programacion[[#This Row],[ENERO]]+Programacion[[#This Row],[FEBRERO]]+Programacion[[#This Row],[MARZO]]</f>
        <v>0</v>
      </c>
      <c r="AH246" s="85">
        <f>Programacion[[#This Row],[DEVENGADO ENERO]]+Programacion[[#This Row],[DEVENGADO FEBRERO]]+Programacion[[#This Row],[DEVENGADO MARZO]]</f>
        <v>0</v>
      </c>
      <c r="AI246" s="85">
        <f>Programacion[[#This Row],[ABRIL]]+Programacion[[#This Row],[MAYO]]+Programacion[[#This Row],[JUNIO]]</f>
        <v>0</v>
      </c>
      <c r="AJ246" s="85">
        <f>Programacion[[#This Row],[DEVENGADO ABRIL]]+Programacion[[#This Row],[DEVENGADO MAYO]]+Programacion[[#This Row],[DEVENGADO JUNIO]]</f>
        <v>0</v>
      </c>
      <c r="AK246" s="85">
        <f>Programacion[[#This Row],[JULIO]]+Programacion[[#This Row],[AGOSTO]]+Programacion[[#This Row],[SEPTIEMBRE]]</f>
        <v>0</v>
      </c>
      <c r="AL246" s="85">
        <f>Programacion[[#This Row],[DEVENGADO JULIO]]+Programacion[[#This Row],[DEVENGADO AGOSTO]]+Programacion[[#This Row],[DEVENGADO SEPTIEMBRE]]</f>
        <v>0</v>
      </c>
      <c r="AM246" s="85">
        <f>Programacion[[#This Row],[OCTUBRE]]+Programacion[[#This Row],[NOVIEMBRE]]+Programacion[[#This Row],[DICIEMBRE]]</f>
        <v>16608.68</v>
      </c>
      <c r="AN246" s="94">
        <f>Programacion[[#This Row],[DEVENGADO OCTUBRE]]+Programacion[[#This Row],[DEVENGADO NOVIEMBRE]]+Programacion[[#This Row],[DEVENGADO DICIEMBRE]]</f>
        <v>0</v>
      </c>
      <c r="AO246" s="94">
        <f>Programacion[[#This Row],[ENERO]]+Programacion[[#This Row],[FEBRERO]]+Programacion[[#This Row],[MARZO]]+Programacion[[#This Row],[ABRIL]]+Programacion[[#This Row],[MAYO]]+Programacion[[#This Row],[JUNIO]]</f>
        <v>0</v>
      </c>
      <c r="AP246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6" s="94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46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6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6" s="113"/>
    </row>
    <row r="247" spans="1:46" x14ac:dyDescent="0.25">
      <c r="A247" s="96" t="s">
        <v>147</v>
      </c>
      <c r="B247" s="87" t="s">
        <v>207</v>
      </c>
      <c r="C247" s="88" t="s">
        <v>73</v>
      </c>
      <c r="D247" s="78" t="s">
        <v>149</v>
      </c>
      <c r="E247" s="89">
        <v>99</v>
      </c>
      <c r="F247" s="80">
        <v>2.2999999999999998</v>
      </c>
      <c r="G247" s="91" t="s">
        <v>74</v>
      </c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>
        <v>2500</v>
      </c>
      <c r="AA247" s="85"/>
      <c r="AB247" s="85"/>
      <c r="AC247" s="85"/>
      <c r="AD247" s="85"/>
      <c r="AE247" s="85"/>
      <c r="AF247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47" s="85">
        <f>Programacion[[#This Row],[ENERO]]+Programacion[[#This Row],[FEBRERO]]+Programacion[[#This Row],[MARZO]]</f>
        <v>0</v>
      </c>
      <c r="AH247" s="85">
        <f>Programacion[[#This Row],[DEVENGADO ENERO]]+Programacion[[#This Row],[DEVENGADO FEBRERO]]+Programacion[[#This Row],[DEVENGADO MARZO]]</f>
        <v>0</v>
      </c>
      <c r="AI247" s="85">
        <f>Programacion[[#This Row],[ABRIL]]+Programacion[[#This Row],[MAYO]]+Programacion[[#This Row],[JUNIO]]</f>
        <v>0</v>
      </c>
      <c r="AJ247" s="85">
        <f>Programacion[[#This Row],[DEVENGADO ABRIL]]+Programacion[[#This Row],[DEVENGADO MAYO]]+Programacion[[#This Row],[DEVENGADO JUNIO]]</f>
        <v>0</v>
      </c>
      <c r="AK247" s="85">
        <f>Programacion[[#This Row],[JULIO]]+Programacion[[#This Row],[AGOSTO]]+Programacion[[#This Row],[SEPTIEMBRE]]</f>
        <v>0</v>
      </c>
      <c r="AL247" s="85">
        <f>Programacion[[#This Row],[DEVENGADO JULIO]]+Programacion[[#This Row],[DEVENGADO AGOSTO]]+Programacion[[#This Row],[DEVENGADO SEPTIEMBRE]]</f>
        <v>0</v>
      </c>
      <c r="AM247" s="85">
        <f>Programacion[[#This Row],[OCTUBRE]]+Programacion[[#This Row],[NOVIEMBRE]]+Programacion[[#This Row],[DICIEMBRE]]</f>
        <v>2500</v>
      </c>
      <c r="AN247" s="94">
        <f>Programacion[[#This Row],[DEVENGADO OCTUBRE]]+Programacion[[#This Row],[DEVENGADO NOVIEMBRE]]+Programacion[[#This Row],[DEVENGADO DICIEMBRE]]</f>
        <v>0</v>
      </c>
      <c r="AO247" s="94">
        <f>Programacion[[#This Row],[ENERO]]+Programacion[[#This Row],[FEBRERO]]+Programacion[[#This Row],[MARZO]]+Programacion[[#This Row],[ABRIL]]+Programacion[[#This Row],[MAYO]]+Programacion[[#This Row],[JUNIO]]</f>
        <v>0</v>
      </c>
      <c r="AP247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7" s="94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47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7" s="113"/>
    </row>
    <row r="248" spans="1:46" x14ac:dyDescent="0.25">
      <c r="A248" s="96" t="s">
        <v>147</v>
      </c>
      <c r="B248" s="87" t="s">
        <v>208</v>
      </c>
      <c r="C248" s="88" t="s">
        <v>47</v>
      </c>
      <c r="D248" s="78" t="s">
        <v>149</v>
      </c>
      <c r="E248" s="89">
        <v>99</v>
      </c>
      <c r="F248" s="80">
        <v>2.2999999999999998</v>
      </c>
      <c r="G248" s="91" t="s">
        <v>49</v>
      </c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>
        <v>2400</v>
      </c>
      <c r="AA248" s="85"/>
      <c r="AB248" s="85"/>
      <c r="AC248" s="85"/>
      <c r="AD248" s="85"/>
      <c r="AE248" s="85"/>
      <c r="AF248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48" s="85">
        <f>Programacion[[#This Row],[ENERO]]+Programacion[[#This Row],[FEBRERO]]+Programacion[[#This Row],[MARZO]]</f>
        <v>0</v>
      </c>
      <c r="AH248" s="85">
        <f>Programacion[[#This Row],[DEVENGADO ENERO]]+Programacion[[#This Row],[DEVENGADO FEBRERO]]+Programacion[[#This Row],[DEVENGADO MARZO]]</f>
        <v>0</v>
      </c>
      <c r="AI248" s="85">
        <f>Programacion[[#This Row],[ABRIL]]+Programacion[[#This Row],[MAYO]]+Programacion[[#This Row],[JUNIO]]</f>
        <v>0</v>
      </c>
      <c r="AJ248" s="85">
        <f>Programacion[[#This Row],[DEVENGADO ABRIL]]+Programacion[[#This Row],[DEVENGADO MAYO]]+Programacion[[#This Row],[DEVENGADO JUNIO]]</f>
        <v>0</v>
      </c>
      <c r="AK248" s="85">
        <f>Programacion[[#This Row],[JULIO]]+Programacion[[#This Row],[AGOSTO]]+Programacion[[#This Row],[SEPTIEMBRE]]</f>
        <v>0</v>
      </c>
      <c r="AL248" s="85">
        <f>Programacion[[#This Row],[DEVENGADO JULIO]]+Programacion[[#This Row],[DEVENGADO AGOSTO]]+Programacion[[#This Row],[DEVENGADO SEPTIEMBRE]]</f>
        <v>0</v>
      </c>
      <c r="AM248" s="85">
        <f>Programacion[[#This Row],[OCTUBRE]]+Programacion[[#This Row],[NOVIEMBRE]]+Programacion[[#This Row],[DICIEMBRE]]</f>
        <v>2400</v>
      </c>
      <c r="AN248" s="94">
        <f>Programacion[[#This Row],[DEVENGADO OCTUBRE]]+Programacion[[#This Row],[DEVENGADO NOVIEMBRE]]+Programacion[[#This Row],[DEVENGADO DICIEMBRE]]</f>
        <v>0</v>
      </c>
      <c r="AO248" s="94">
        <f>Programacion[[#This Row],[ENERO]]+Programacion[[#This Row],[FEBRERO]]+Programacion[[#This Row],[MARZO]]+Programacion[[#This Row],[ABRIL]]+Programacion[[#This Row],[MAYO]]+Programacion[[#This Row],[JUNIO]]</f>
        <v>0</v>
      </c>
      <c r="AP248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8" s="9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48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8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8" s="113"/>
    </row>
    <row r="249" spans="1:46" x14ac:dyDescent="0.25">
      <c r="A249" s="96" t="s">
        <v>147</v>
      </c>
      <c r="B249" s="87" t="s">
        <v>209</v>
      </c>
      <c r="C249" s="88" t="s">
        <v>47</v>
      </c>
      <c r="D249" s="78" t="s">
        <v>149</v>
      </c>
      <c r="E249" s="89">
        <v>99</v>
      </c>
      <c r="F249" s="80">
        <v>2.2999999999999998</v>
      </c>
      <c r="G249" s="91" t="s">
        <v>51</v>
      </c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>
        <v>1620</v>
      </c>
      <c r="AA249" s="85"/>
      <c r="AB249" s="85"/>
      <c r="AC249" s="85"/>
      <c r="AD249" s="85"/>
      <c r="AE249" s="85"/>
      <c r="AF249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49" s="85">
        <f>Programacion[[#This Row],[ENERO]]+Programacion[[#This Row],[FEBRERO]]+Programacion[[#This Row],[MARZO]]</f>
        <v>0</v>
      </c>
      <c r="AH249" s="85">
        <f>Programacion[[#This Row],[DEVENGADO ENERO]]+Programacion[[#This Row],[DEVENGADO FEBRERO]]+Programacion[[#This Row],[DEVENGADO MARZO]]</f>
        <v>0</v>
      </c>
      <c r="AI249" s="85">
        <f>Programacion[[#This Row],[ABRIL]]+Programacion[[#This Row],[MAYO]]+Programacion[[#This Row],[JUNIO]]</f>
        <v>0</v>
      </c>
      <c r="AJ249" s="85">
        <f>Programacion[[#This Row],[DEVENGADO ABRIL]]+Programacion[[#This Row],[DEVENGADO MAYO]]+Programacion[[#This Row],[DEVENGADO JUNIO]]</f>
        <v>0</v>
      </c>
      <c r="AK249" s="85">
        <f>Programacion[[#This Row],[JULIO]]+Programacion[[#This Row],[AGOSTO]]+Programacion[[#This Row],[SEPTIEMBRE]]</f>
        <v>0</v>
      </c>
      <c r="AL249" s="85">
        <f>Programacion[[#This Row],[DEVENGADO JULIO]]+Programacion[[#This Row],[DEVENGADO AGOSTO]]+Programacion[[#This Row],[DEVENGADO SEPTIEMBRE]]</f>
        <v>0</v>
      </c>
      <c r="AM249" s="85">
        <f>Programacion[[#This Row],[OCTUBRE]]+Programacion[[#This Row],[NOVIEMBRE]]+Programacion[[#This Row],[DICIEMBRE]]</f>
        <v>1620</v>
      </c>
      <c r="AN249" s="94">
        <f>Programacion[[#This Row],[DEVENGADO OCTUBRE]]+Programacion[[#This Row],[DEVENGADO NOVIEMBRE]]+Programacion[[#This Row],[DEVENGADO DICIEMBRE]]</f>
        <v>0</v>
      </c>
      <c r="AO249" s="94">
        <f>Programacion[[#This Row],[ENERO]]+Programacion[[#This Row],[FEBRERO]]+Programacion[[#This Row],[MARZO]]+Programacion[[#This Row],[ABRIL]]+Programacion[[#This Row],[MAYO]]+Programacion[[#This Row],[JUNIO]]</f>
        <v>0</v>
      </c>
      <c r="AP249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9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49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113"/>
    </row>
    <row r="250" spans="1:46" x14ac:dyDescent="0.25">
      <c r="A250" s="96" t="s">
        <v>147</v>
      </c>
      <c r="B250" s="87" t="s">
        <v>210</v>
      </c>
      <c r="C250" s="88" t="s">
        <v>73</v>
      </c>
      <c r="D250" s="78" t="s">
        <v>149</v>
      </c>
      <c r="E250" s="89">
        <v>99</v>
      </c>
      <c r="F250" s="80">
        <v>2.2999999999999998</v>
      </c>
      <c r="G250" s="91" t="s">
        <v>74</v>
      </c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>
        <v>176</v>
      </c>
      <c r="AA250" s="85"/>
      <c r="AB250" s="85"/>
      <c r="AC250" s="85"/>
      <c r="AD250" s="85"/>
      <c r="AE250" s="85"/>
      <c r="AF250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50" s="85">
        <f>Programacion[[#This Row],[ENERO]]+Programacion[[#This Row],[FEBRERO]]+Programacion[[#This Row],[MARZO]]</f>
        <v>0</v>
      </c>
      <c r="AH250" s="85">
        <f>Programacion[[#This Row],[DEVENGADO ENERO]]+Programacion[[#This Row],[DEVENGADO FEBRERO]]+Programacion[[#This Row],[DEVENGADO MARZO]]</f>
        <v>0</v>
      </c>
      <c r="AI250" s="85">
        <f>Programacion[[#This Row],[ABRIL]]+Programacion[[#This Row],[MAYO]]+Programacion[[#This Row],[JUNIO]]</f>
        <v>0</v>
      </c>
      <c r="AJ250" s="85">
        <f>Programacion[[#This Row],[DEVENGADO ABRIL]]+Programacion[[#This Row],[DEVENGADO MAYO]]+Programacion[[#This Row],[DEVENGADO JUNIO]]</f>
        <v>0</v>
      </c>
      <c r="AK250" s="85">
        <f>Programacion[[#This Row],[JULIO]]+Programacion[[#This Row],[AGOSTO]]+Programacion[[#This Row],[SEPTIEMBRE]]</f>
        <v>0</v>
      </c>
      <c r="AL250" s="85">
        <f>Programacion[[#This Row],[DEVENGADO JULIO]]+Programacion[[#This Row],[DEVENGADO AGOSTO]]+Programacion[[#This Row],[DEVENGADO SEPTIEMBRE]]</f>
        <v>0</v>
      </c>
      <c r="AM250" s="85">
        <f>Programacion[[#This Row],[OCTUBRE]]+Programacion[[#This Row],[NOVIEMBRE]]+Programacion[[#This Row],[DICIEMBRE]]</f>
        <v>176</v>
      </c>
      <c r="AN250" s="94">
        <f>Programacion[[#This Row],[DEVENGADO OCTUBRE]]+Programacion[[#This Row],[DEVENGADO NOVIEMBRE]]+Programacion[[#This Row],[DEVENGADO DICIEMBRE]]</f>
        <v>0</v>
      </c>
      <c r="AO250" s="94">
        <f>Programacion[[#This Row],[ENERO]]+Programacion[[#This Row],[FEBRERO]]+Programacion[[#This Row],[MARZO]]+Programacion[[#This Row],[ABRIL]]+Programacion[[#This Row],[MAYO]]+Programacion[[#This Row],[JUNIO]]</f>
        <v>0</v>
      </c>
      <c r="AP250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0" s="94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50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0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0" s="113"/>
    </row>
    <row r="251" spans="1:46" x14ac:dyDescent="0.25">
      <c r="A251" s="96" t="s">
        <v>147</v>
      </c>
      <c r="B251" s="87" t="s">
        <v>210</v>
      </c>
      <c r="C251" s="88" t="s">
        <v>73</v>
      </c>
      <c r="D251" s="78" t="s">
        <v>149</v>
      </c>
      <c r="E251" s="89">
        <v>99</v>
      </c>
      <c r="F251" s="80">
        <v>2.2999999999999998</v>
      </c>
      <c r="G251" s="91" t="s">
        <v>74</v>
      </c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>
        <v>3260</v>
      </c>
      <c r="AA251" s="85"/>
      <c r="AB251" s="85"/>
      <c r="AC251" s="85"/>
      <c r="AD251" s="85"/>
      <c r="AE251" s="85"/>
      <c r="AF251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51" s="85">
        <f>Programacion[[#This Row],[ENERO]]+Programacion[[#This Row],[FEBRERO]]+Programacion[[#This Row],[MARZO]]</f>
        <v>0</v>
      </c>
      <c r="AH251" s="85">
        <f>Programacion[[#This Row],[DEVENGADO ENERO]]+Programacion[[#This Row],[DEVENGADO FEBRERO]]+Programacion[[#This Row],[DEVENGADO MARZO]]</f>
        <v>0</v>
      </c>
      <c r="AI251" s="85">
        <f>Programacion[[#This Row],[ABRIL]]+Programacion[[#This Row],[MAYO]]+Programacion[[#This Row],[JUNIO]]</f>
        <v>0</v>
      </c>
      <c r="AJ251" s="85">
        <f>Programacion[[#This Row],[DEVENGADO ABRIL]]+Programacion[[#This Row],[DEVENGADO MAYO]]+Programacion[[#This Row],[DEVENGADO JUNIO]]</f>
        <v>0</v>
      </c>
      <c r="AK251" s="85">
        <f>Programacion[[#This Row],[JULIO]]+Programacion[[#This Row],[AGOSTO]]+Programacion[[#This Row],[SEPTIEMBRE]]</f>
        <v>0</v>
      </c>
      <c r="AL251" s="85">
        <f>Programacion[[#This Row],[DEVENGADO JULIO]]+Programacion[[#This Row],[DEVENGADO AGOSTO]]+Programacion[[#This Row],[DEVENGADO SEPTIEMBRE]]</f>
        <v>0</v>
      </c>
      <c r="AM251" s="85">
        <f>Programacion[[#This Row],[OCTUBRE]]+Programacion[[#This Row],[NOVIEMBRE]]+Programacion[[#This Row],[DICIEMBRE]]</f>
        <v>3260</v>
      </c>
      <c r="AN251" s="94">
        <f>Programacion[[#This Row],[DEVENGADO OCTUBRE]]+Programacion[[#This Row],[DEVENGADO NOVIEMBRE]]+Programacion[[#This Row],[DEVENGADO DICIEMBRE]]</f>
        <v>0</v>
      </c>
      <c r="AO251" s="94">
        <f>Programacion[[#This Row],[ENERO]]+Programacion[[#This Row],[FEBRERO]]+Programacion[[#This Row],[MARZO]]+Programacion[[#This Row],[ABRIL]]+Programacion[[#This Row],[MAYO]]+Programacion[[#This Row],[JUNIO]]</f>
        <v>0</v>
      </c>
      <c r="AP251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94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51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1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1" s="113"/>
    </row>
    <row r="252" spans="1:46" ht="30" x14ac:dyDescent="0.25">
      <c r="A252" s="96" t="s">
        <v>147</v>
      </c>
      <c r="B252" s="87" t="s">
        <v>211</v>
      </c>
      <c r="C252" s="88" t="s">
        <v>47</v>
      </c>
      <c r="D252" s="78" t="s">
        <v>149</v>
      </c>
      <c r="E252" s="89">
        <v>99</v>
      </c>
      <c r="F252" s="80">
        <v>2.2999999999999998</v>
      </c>
      <c r="G252" s="91" t="s">
        <v>49</v>
      </c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>
        <v>2400</v>
      </c>
      <c r="AA252" s="85"/>
      <c r="AB252" s="85"/>
      <c r="AC252" s="85"/>
      <c r="AD252" s="85"/>
      <c r="AE252" s="85"/>
      <c r="AF252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52" s="85">
        <f>Programacion[[#This Row],[ENERO]]+Programacion[[#This Row],[FEBRERO]]+Programacion[[#This Row],[MARZO]]</f>
        <v>0</v>
      </c>
      <c r="AH252" s="85">
        <f>Programacion[[#This Row],[DEVENGADO ENERO]]+Programacion[[#This Row],[DEVENGADO FEBRERO]]+Programacion[[#This Row],[DEVENGADO MARZO]]</f>
        <v>0</v>
      </c>
      <c r="AI252" s="85">
        <f>Programacion[[#This Row],[ABRIL]]+Programacion[[#This Row],[MAYO]]+Programacion[[#This Row],[JUNIO]]</f>
        <v>0</v>
      </c>
      <c r="AJ252" s="85">
        <f>Programacion[[#This Row],[DEVENGADO ABRIL]]+Programacion[[#This Row],[DEVENGADO MAYO]]+Programacion[[#This Row],[DEVENGADO JUNIO]]</f>
        <v>0</v>
      </c>
      <c r="AK252" s="85">
        <f>Programacion[[#This Row],[JULIO]]+Programacion[[#This Row],[AGOSTO]]+Programacion[[#This Row],[SEPTIEMBRE]]</f>
        <v>0</v>
      </c>
      <c r="AL252" s="85">
        <f>Programacion[[#This Row],[DEVENGADO JULIO]]+Programacion[[#This Row],[DEVENGADO AGOSTO]]+Programacion[[#This Row],[DEVENGADO SEPTIEMBRE]]</f>
        <v>0</v>
      </c>
      <c r="AM252" s="85">
        <f>Programacion[[#This Row],[OCTUBRE]]+Programacion[[#This Row],[NOVIEMBRE]]+Programacion[[#This Row],[DICIEMBRE]]</f>
        <v>2400</v>
      </c>
      <c r="AN252" s="94">
        <f>Programacion[[#This Row],[DEVENGADO OCTUBRE]]+Programacion[[#This Row],[DEVENGADO NOVIEMBRE]]+Programacion[[#This Row],[DEVENGADO DICIEMBRE]]</f>
        <v>0</v>
      </c>
      <c r="AO252" s="94">
        <f>Programacion[[#This Row],[ENERO]]+Programacion[[#This Row],[FEBRERO]]+Programacion[[#This Row],[MARZO]]+Programacion[[#This Row],[ABRIL]]+Programacion[[#This Row],[MAYO]]+Programacion[[#This Row],[JUNIO]]</f>
        <v>0</v>
      </c>
      <c r="AP252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2" s="9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52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2" s="113"/>
    </row>
    <row r="253" spans="1:46" ht="30" x14ac:dyDescent="0.25">
      <c r="A253" s="96" t="s">
        <v>147</v>
      </c>
      <c r="B253" s="87" t="s">
        <v>212</v>
      </c>
      <c r="C253" s="88" t="s">
        <v>47</v>
      </c>
      <c r="D253" s="78" t="s">
        <v>149</v>
      </c>
      <c r="E253" s="89">
        <v>99</v>
      </c>
      <c r="F253" s="80">
        <v>2.2999999999999998</v>
      </c>
      <c r="G253" s="91" t="s">
        <v>51</v>
      </c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>
        <v>1620</v>
      </c>
      <c r="AA253" s="85"/>
      <c r="AB253" s="85"/>
      <c r="AC253" s="85"/>
      <c r="AD253" s="85"/>
      <c r="AE253" s="85"/>
      <c r="AF253" s="9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53" s="85">
        <f>Programacion[[#This Row],[ENERO]]+Programacion[[#This Row],[FEBRERO]]+Programacion[[#This Row],[MARZO]]</f>
        <v>0</v>
      </c>
      <c r="AH253" s="85">
        <f>Programacion[[#This Row],[DEVENGADO ENERO]]+Programacion[[#This Row],[DEVENGADO FEBRERO]]+Programacion[[#This Row],[DEVENGADO MARZO]]</f>
        <v>0</v>
      </c>
      <c r="AI253" s="85">
        <f>Programacion[[#This Row],[ABRIL]]+Programacion[[#This Row],[MAYO]]+Programacion[[#This Row],[JUNIO]]</f>
        <v>0</v>
      </c>
      <c r="AJ253" s="85">
        <f>Programacion[[#This Row],[DEVENGADO ABRIL]]+Programacion[[#This Row],[DEVENGADO MAYO]]+Programacion[[#This Row],[DEVENGADO JUNIO]]</f>
        <v>0</v>
      </c>
      <c r="AK253" s="85">
        <f>Programacion[[#This Row],[JULIO]]+Programacion[[#This Row],[AGOSTO]]+Programacion[[#This Row],[SEPTIEMBRE]]</f>
        <v>0</v>
      </c>
      <c r="AL253" s="85">
        <f>Programacion[[#This Row],[DEVENGADO JULIO]]+Programacion[[#This Row],[DEVENGADO AGOSTO]]+Programacion[[#This Row],[DEVENGADO SEPTIEMBRE]]</f>
        <v>0</v>
      </c>
      <c r="AM253" s="85">
        <f>Programacion[[#This Row],[OCTUBRE]]+Programacion[[#This Row],[NOVIEMBRE]]+Programacion[[#This Row],[DICIEMBRE]]</f>
        <v>1620</v>
      </c>
      <c r="AN253" s="94">
        <f>Programacion[[#This Row],[DEVENGADO OCTUBRE]]+Programacion[[#This Row],[DEVENGADO NOVIEMBRE]]+Programacion[[#This Row],[DEVENGADO DICIEMBRE]]</f>
        <v>0</v>
      </c>
      <c r="AO253" s="94">
        <f>Programacion[[#This Row],[ENERO]]+Programacion[[#This Row],[FEBRERO]]+Programacion[[#This Row],[MARZO]]+Programacion[[#This Row],[ABRIL]]+Programacion[[#This Row],[MAYO]]+Programacion[[#This Row],[JUNIO]]</f>
        <v>0</v>
      </c>
      <c r="AP253" s="9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9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53" s="9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3" s="95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3" s="113"/>
    </row>
    <row r="254" spans="1:46" x14ac:dyDescent="0.25">
      <c r="A254" s="98" t="s">
        <v>213</v>
      </c>
      <c r="B254" s="99" t="s">
        <v>214</v>
      </c>
      <c r="C254" s="100" t="s">
        <v>186</v>
      </c>
      <c r="D254" s="100" t="s">
        <v>149</v>
      </c>
      <c r="E254" s="101">
        <v>102</v>
      </c>
      <c r="F254" s="102">
        <v>2.2999999999999998</v>
      </c>
      <c r="G254" s="100" t="s">
        <v>187</v>
      </c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>
        <v>3300</v>
      </c>
      <c r="U254" s="33">
        <v>3300</v>
      </c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54" s="33">
        <f>Programacion[[#This Row],[ENERO]]+Programacion[[#This Row],[FEBRERO]]+Programacion[[#This Row],[MARZO]]</f>
        <v>0</v>
      </c>
      <c r="AH254" s="33">
        <f>Programacion[[#This Row],[DEVENGADO ENERO]]+Programacion[[#This Row],[DEVENGADO FEBRERO]]+Programacion[[#This Row],[DEVENGADO MARZO]]</f>
        <v>0</v>
      </c>
      <c r="AI254" s="33">
        <f>Programacion[[#This Row],[ABRIL]]+Programacion[[#This Row],[MAYO]]+Programacion[[#This Row],[JUNIO]]</f>
        <v>0</v>
      </c>
      <c r="AJ254" s="33">
        <f>Programacion[[#This Row],[DEVENGADO ABRIL]]+Programacion[[#This Row],[DEVENGADO MAYO]]+Programacion[[#This Row],[DEVENGADO JUNIO]]</f>
        <v>0</v>
      </c>
      <c r="AK254" s="33">
        <f>Programacion[[#This Row],[JULIO]]+Programacion[[#This Row],[AGOSTO]]+Programacion[[#This Row],[SEPTIEMBRE]]</f>
        <v>3300</v>
      </c>
      <c r="AL254" s="33">
        <f>Programacion[[#This Row],[DEVENGADO JULIO]]+Programacion[[#This Row],[DEVENGADO AGOSTO]]+Programacion[[#This Row],[DEVENGADO SEPTIEMBRE]]</f>
        <v>3300</v>
      </c>
      <c r="AM254" s="33">
        <f>Programacion[[#This Row],[OCTUBRE]]+Programacion[[#This Row],[NOVIEMBRE]]+Programacion[[#This Row],[DICIEMBRE]]</f>
        <v>0</v>
      </c>
      <c r="AN254" s="21">
        <f>Programacion[[#This Row],[DEVENGADO OCTUBRE]]+Programacion[[#This Row],[DEVENGADO NOVIEMBRE]]+Programacion[[#This Row],[DEVENGADO DICIEMBRE]]</f>
        <v>0</v>
      </c>
      <c r="AO254" s="21">
        <f>Programacion[[#This Row],[ENERO]]+Programacion[[#This Row],[FEBRERO]]+Programacion[[#This Row],[MARZO]]+Programacion[[#This Row],[ABRIL]]+Programacion[[#This Row],[MAYO]]+Programacion[[#This Row],[JUNIO]]</f>
        <v>0</v>
      </c>
      <c r="AP2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54" s="113"/>
    </row>
    <row r="255" spans="1:46" ht="24" x14ac:dyDescent="0.25">
      <c r="A255" s="98" t="s">
        <v>213</v>
      </c>
      <c r="B255" s="104" t="s">
        <v>215</v>
      </c>
      <c r="C255" s="100" t="s">
        <v>56</v>
      </c>
      <c r="D255" s="100" t="s">
        <v>149</v>
      </c>
      <c r="E255" s="101">
        <v>102</v>
      </c>
      <c r="F255" s="102">
        <v>2.2999999999999998</v>
      </c>
      <c r="G255" s="100" t="s">
        <v>57</v>
      </c>
      <c r="H255" s="33"/>
      <c r="I255" s="33"/>
      <c r="J255" s="33"/>
      <c r="K255" s="33"/>
      <c r="L255" s="33">
        <v>8000</v>
      </c>
      <c r="M255" s="33">
        <v>8000</v>
      </c>
      <c r="N255" s="33">
        <v>8000</v>
      </c>
      <c r="O255" s="33">
        <v>8000</v>
      </c>
      <c r="P255" s="33">
        <v>8000</v>
      </c>
      <c r="Q255" s="33">
        <v>8000</v>
      </c>
      <c r="R255" s="33">
        <v>8000</v>
      </c>
      <c r="S255" s="33">
        <v>8000</v>
      </c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55" s="33">
        <f>Programacion[[#This Row],[ENERO]]+Programacion[[#This Row],[FEBRERO]]+Programacion[[#This Row],[MARZO]]</f>
        <v>8000</v>
      </c>
      <c r="AH255" s="33">
        <f>Programacion[[#This Row],[DEVENGADO ENERO]]+Programacion[[#This Row],[DEVENGADO FEBRERO]]+Programacion[[#This Row],[DEVENGADO MARZO]]</f>
        <v>8000</v>
      </c>
      <c r="AI255" s="33">
        <f>Programacion[[#This Row],[ABRIL]]+Programacion[[#This Row],[MAYO]]+Programacion[[#This Row],[JUNIO]]</f>
        <v>24000</v>
      </c>
      <c r="AJ255" s="33">
        <f>Programacion[[#This Row],[DEVENGADO ABRIL]]+Programacion[[#This Row],[DEVENGADO MAYO]]+Programacion[[#This Row],[DEVENGADO JUNIO]]</f>
        <v>24000</v>
      </c>
      <c r="AK255" s="33">
        <f>Programacion[[#This Row],[JULIO]]+Programacion[[#This Row],[AGOSTO]]+Programacion[[#This Row],[SEPTIEMBRE]]</f>
        <v>0</v>
      </c>
      <c r="AL255" s="33">
        <f>Programacion[[#This Row],[DEVENGADO JULIO]]+Programacion[[#This Row],[DEVENGADO AGOSTO]]+Programacion[[#This Row],[DEVENGADO SEPTIEMBRE]]</f>
        <v>0</v>
      </c>
      <c r="AM255" s="33">
        <f>Programacion[[#This Row],[OCTUBRE]]+Programacion[[#This Row],[NOVIEMBRE]]+Programacion[[#This Row],[DICIEMBRE]]</f>
        <v>0</v>
      </c>
      <c r="AN255" s="21">
        <f>Programacion[[#This Row],[DEVENGADO OCTUBRE]]+Programacion[[#This Row],[DEVENGADO NOVIEMBRE]]+Programacion[[#This Row],[DEVENGADO DICIEMBRE]]</f>
        <v>0</v>
      </c>
      <c r="AO255" s="21">
        <f>Programacion[[#This Row],[ENERO]]+Programacion[[#This Row],[FEBRERO]]+Programacion[[#This Row],[MARZO]]+Programacion[[#This Row],[ABRIL]]+Programacion[[#This Row],[MAYO]]+Programacion[[#This Row],[JUNIO]]</f>
        <v>32000</v>
      </c>
      <c r="AP25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5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55" s="113"/>
    </row>
    <row r="256" spans="1:46" ht="24" x14ac:dyDescent="0.25">
      <c r="A256" s="98" t="s">
        <v>213</v>
      </c>
      <c r="B256" s="104" t="s">
        <v>216</v>
      </c>
      <c r="C256" s="100" t="s">
        <v>56</v>
      </c>
      <c r="D256" s="100" t="s">
        <v>149</v>
      </c>
      <c r="E256" s="101">
        <v>103</v>
      </c>
      <c r="F256" s="102">
        <v>2.2999999999999998</v>
      </c>
      <c r="G256" s="100" t="s">
        <v>57</v>
      </c>
      <c r="H256" s="33"/>
      <c r="I256" s="33"/>
      <c r="J256" s="33"/>
      <c r="K256" s="33"/>
      <c r="L256" s="33">
        <v>11000</v>
      </c>
      <c r="M256" s="33">
        <v>11000</v>
      </c>
      <c r="N256" s="33">
        <v>11000</v>
      </c>
      <c r="O256" s="33">
        <v>11000</v>
      </c>
      <c r="P256" s="33">
        <v>11000</v>
      </c>
      <c r="Q256" s="33">
        <v>11000</v>
      </c>
      <c r="R256" s="33">
        <v>11000</v>
      </c>
      <c r="S256" s="33">
        <v>11000</v>
      </c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56" s="33">
        <f>Programacion[[#This Row],[ENERO]]+Programacion[[#This Row],[FEBRERO]]+Programacion[[#This Row],[MARZO]]</f>
        <v>11000</v>
      </c>
      <c r="AH256" s="33">
        <f>Programacion[[#This Row],[DEVENGADO ENERO]]+Programacion[[#This Row],[DEVENGADO FEBRERO]]+Programacion[[#This Row],[DEVENGADO MARZO]]</f>
        <v>11000</v>
      </c>
      <c r="AI256" s="33">
        <f>Programacion[[#This Row],[ABRIL]]+Programacion[[#This Row],[MAYO]]+Programacion[[#This Row],[JUNIO]]</f>
        <v>33000</v>
      </c>
      <c r="AJ256" s="33">
        <f>Programacion[[#This Row],[DEVENGADO ABRIL]]+Programacion[[#This Row],[DEVENGADO MAYO]]+Programacion[[#This Row],[DEVENGADO JUNIO]]</f>
        <v>33000</v>
      </c>
      <c r="AK256" s="33">
        <f>Programacion[[#This Row],[JULIO]]+Programacion[[#This Row],[AGOSTO]]+Programacion[[#This Row],[SEPTIEMBRE]]</f>
        <v>0</v>
      </c>
      <c r="AL256" s="33">
        <f>Programacion[[#This Row],[DEVENGADO JULIO]]+Programacion[[#This Row],[DEVENGADO AGOSTO]]+Programacion[[#This Row],[DEVENGADO SEPTIEMBRE]]</f>
        <v>0</v>
      </c>
      <c r="AM256" s="33">
        <f>Programacion[[#This Row],[OCTUBRE]]+Programacion[[#This Row],[NOVIEMBRE]]+Programacion[[#This Row],[DICIEMBRE]]</f>
        <v>0</v>
      </c>
      <c r="AN256" s="21">
        <f>Programacion[[#This Row],[DEVENGADO OCTUBRE]]+Programacion[[#This Row],[DEVENGADO NOVIEMBRE]]+Programacion[[#This Row],[DEVENGADO DICIEMBRE]]</f>
        <v>0</v>
      </c>
      <c r="AO256" s="21">
        <f>Programacion[[#This Row],[ENERO]]+Programacion[[#This Row],[FEBRERO]]+Programacion[[#This Row],[MARZO]]+Programacion[[#This Row],[ABRIL]]+Programacion[[#This Row],[MAYO]]+Programacion[[#This Row],[JUNIO]]</f>
        <v>44000</v>
      </c>
      <c r="AP2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5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56" s="113"/>
    </row>
    <row r="257" spans="1:46" x14ac:dyDescent="0.25">
      <c r="A257" s="98" t="s">
        <v>213</v>
      </c>
      <c r="B257" s="99" t="s">
        <v>217</v>
      </c>
      <c r="C257" s="100" t="s">
        <v>47</v>
      </c>
      <c r="D257" s="100" t="s">
        <v>149</v>
      </c>
      <c r="E257" s="101">
        <v>103</v>
      </c>
      <c r="F257" s="102">
        <v>2.2999999999999998</v>
      </c>
      <c r="G257" s="100" t="s">
        <v>49</v>
      </c>
      <c r="H257" s="33"/>
      <c r="I257" s="33"/>
      <c r="J257" s="33">
        <v>16465.060000000001</v>
      </c>
      <c r="K257" s="33">
        <v>16465.060000000001</v>
      </c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57" s="33">
        <f>Programacion[[#This Row],[ENERO]]+Programacion[[#This Row],[FEBRERO]]+Programacion[[#This Row],[MARZO]]</f>
        <v>16465.060000000001</v>
      </c>
      <c r="AH257" s="33">
        <f>Programacion[[#This Row],[DEVENGADO ENERO]]+Programacion[[#This Row],[DEVENGADO FEBRERO]]+Programacion[[#This Row],[DEVENGADO MARZO]]</f>
        <v>16465.060000000001</v>
      </c>
      <c r="AI257" s="33">
        <f>Programacion[[#This Row],[ABRIL]]+Programacion[[#This Row],[MAYO]]+Programacion[[#This Row],[JUNIO]]</f>
        <v>0</v>
      </c>
      <c r="AJ257" s="33">
        <f>Programacion[[#This Row],[DEVENGADO ABRIL]]+Programacion[[#This Row],[DEVENGADO MAYO]]+Programacion[[#This Row],[DEVENGADO JUNIO]]</f>
        <v>0</v>
      </c>
      <c r="AK257" s="33">
        <f>Programacion[[#This Row],[JULIO]]+Programacion[[#This Row],[AGOSTO]]+Programacion[[#This Row],[SEPTIEMBRE]]</f>
        <v>0</v>
      </c>
      <c r="AL257" s="33">
        <f>Programacion[[#This Row],[DEVENGADO JULIO]]+Programacion[[#This Row],[DEVENGADO AGOSTO]]+Programacion[[#This Row],[DEVENGADO SEPTIEMBRE]]</f>
        <v>0</v>
      </c>
      <c r="AM257" s="33">
        <f>Programacion[[#This Row],[OCTUBRE]]+Programacion[[#This Row],[NOVIEMBRE]]+Programacion[[#This Row],[DICIEMBRE]]</f>
        <v>0</v>
      </c>
      <c r="AN257" s="21">
        <f>Programacion[[#This Row],[DEVENGADO OCTUBRE]]+Programacion[[#This Row],[DEVENGADO NOVIEMBRE]]+Programacion[[#This Row],[DEVENGADO DICIEMBRE]]</f>
        <v>0</v>
      </c>
      <c r="AO257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5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57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57" s="113"/>
    </row>
    <row r="258" spans="1:46" x14ac:dyDescent="0.25">
      <c r="A258" s="98" t="s">
        <v>213</v>
      </c>
      <c r="B258" s="99" t="s">
        <v>83</v>
      </c>
      <c r="C258" s="100" t="s">
        <v>47</v>
      </c>
      <c r="D258" s="100" t="s">
        <v>149</v>
      </c>
      <c r="E258" s="101">
        <v>103</v>
      </c>
      <c r="F258" s="102">
        <v>2.2999999999999998</v>
      </c>
      <c r="G258" s="100" t="s">
        <v>51</v>
      </c>
      <c r="H258" s="33"/>
      <c r="I258" s="33"/>
      <c r="J258" s="33">
        <v>716.5</v>
      </c>
      <c r="K258" s="33">
        <v>716.5</v>
      </c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58" s="33">
        <f>Programacion[[#This Row],[ENERO]]+Programacion[[#This Row],[FEBRERO]]+Programacion[[#This Row],[MARZO]]</f>
        <v>716.5</v>
      </c>
      <c r="AH258" s="33">
        <f>Programacion[[#This Row],[DEVENGADO ENERO]]+Programacion[[#This Row],[DEVENGADO FEBRERO]]+Programacion[[#This Row],[DEVENGADO MARZO]]</f>
        <v>716.5</v>
      </c>
      <c r="AI258" s="33">
        <f>Programacion[[#This Row],[ABRIL]]+Programacion[[#This Row],[MAYO]]+Programacion[[#This Row],[JUNIO]]</f>
        <v>0</v>
      </c>
      <c r="AJ258" s="33">
        <f>Programacion[[#This Row],[DEVENGADO ABRIL]]+Programacion[[#This Row],[DEVENGADO MAYO]]+Programacion[[#This Row],[DEVENGADO JUNIO]]</f>
        <v>0</v>
      </c>
      <c r="AK258" s="33">
        <f>Programacion[[#This Row],[JULIO]]+Programacion[[#This Row],[AGOSTO]]+Programacion[[#This Row],[SEPTIEMBRE]]</f>
        <v>0</v>
      </c>
      <c r="AL258" s="33">
        <f>Programacion[[#This Row],[DEVENGADO JULIO]]+Programacion[[#This Row],[DEVENGADO AGOSTO]]+Programacion[[#This Row],[DEVENGADO SEPTIEMBRE]]</f>
        <v>0</v>
      </c>
      <c r="AM258" s="33">
        <f>Programacion[[#This Row],[OCTUBRE]]+Programacion[[#This Row],[NOVIEMBRE]]+Programacion[[#This Row],[DICIEMBRE]]</f>
        <v>0</v>
      </c>
      <c r="AN258" s="21">
        <f>Programacion[[#This Row],[DEVENGADO OCTUBRE]]+Programacion[[#This Row],[DEVENGADO NOVIEMBRE]]+Programacion[[#This Row],[DEVENGADO DICIEMBRE]]</f>
        <v>0</v>
      </c>
      <c r="AO258" s="21">
        <f>Programacion[[#This Row],[ENERO]]+Programacion[[#This Row],[FEBRERO]]+Programacion[[#This Row],[MARZO]]+Programacion[[#This Row],[ABRIL]]+Programacion[[#This Row],[MAYO]]+Programacion[[#This Row],[JUNIO]]</f>
        <v>716.5</v>
      </c>
      <c r="AP25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58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58" s="113"/>
    </row>
    <row r="259" spans="1:46" ht="30" x14ac:dyDescent="0.25">
      <c r="A259" s="98" t="s">
        <v>213</v>
      </c>
      <c r="B259" s="99" t="s">
        <v>218</v>
      </c>
      <c r="C259" s="100" t="s">
        <v>56</v>
      </c>
      <c r="D259" s="100" t="s">
        <v>149</v>
      </c>
      <c r="E259" s="101">
        <v>103</v>
      </c>
      <c r="F259" s="102">
        <v>2.2999999999999998</v>
      </c>
      <c r="G259" s="100" t="s">
        <v>57</v>
      </c>
      <c r="H259" s="33"/>
      <c r="I259" s="33"/>
      <c r="J259" s="33"/>
      <c r="K259" s="33"/>
      <c r="L259" s="33">
        <v>22572</v>
      </c>
      <c r="M259" s="33">
        <v>22572</v>
      </c>
      <c r="N259" s="33">
        <v>11628</v>
      </c>
      <c r="O259" s="33">
        <v>11628</v>
      </c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59" s="33">
        <f>Programacion[[#This Row],[ENERO]]+Programacion[[#This Row],[FEBRERO]]+Programacion[[#This Row],[MARZO]]</f>
        <v>22572</v>
      </c>
      <c r="AH259" s="33">
        <f>Programacion[[#This Row],[DEVENGADO ENERO]]+Programacion[[#This Row],[DEVENGADO FEBRERO]]+Programacion[[#This Row],[DEVENGADO MARZO]]</f>
        <v>22572</v>
      </c>
      <c r="AI259" s="33">
        <f>Programacion[[#This Row],[ABRIL]]+Programacion[[#This Row],[MAYO]]+Programacion[[#This Row],[JUNIO]]</f>
        <v>11628</v>
      </c>
      <c r="AJ259" s="33">
        <f>Programacion[[#This Row],[DEVENGADO ABRIL]]+Programacion[[#This Row],[DEVENGADO MAYO]]+Programacion[[#This Row],[DEVENGADO JUNIO]]</f>
        <v>11628</v>
      </c>
      <c r="AK259" s="33">
        <f>Programacion[[#This Row],[JULIO]]+Programacion[[#This Row],[AGOSTO]]+Programacion[[#This Row],[SEPTIEMBRE]]</f>
        <v>0</v>
      </c>
      <c r="AL259" s="33">
        <f>Programacion[[#This Row],[DEVENGADO JULIO]]+Programacion[[#This Row],[DEVENGADO AGOSTO]]+Programacion[[#This Row],[DEVENGADO SEPTIEMBRE]]</f>
        <v>0</v>
      </c>
      <c r="AM259" s="33">
        <f>Programacion[[#This Row],[OCTUBRE]]+Programacion[[#This Row],[NOVIEMBRE]]+Programacion[[#This Row],[DICIEMBRE]]</f>
        <v>0</v>
      </c>
      <c r="AN259" s="21">
        <f>Programacion[[#This Row],[DEVENGADO OCTUBRE]]+Programacion[[#This Row],[DEVENGADO NOVIEMBRE]]+Programacion[[#This Row],[DEVENGADO DICIEMBRE]]</f>
        <v>0</v>
      </c>
      <c r="AO259" s="21">
        <f>Programacion[[#This Row],[ENERO]]+Programacion[[#This Row],[FEBRERO]]+Programacion[[#This Row],[MARZO]]+Programacion[[#This Row],[ABRIL]]+Programacion[[#This Row],[MAYO]]+Programacion[[#This Row],[JUNIO]]</f>
        <v>34200</v>
      </c>
      <c r="AP25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5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59" s="113"/>
    </row>
    <row r="260" spans="1:46" x14ac:dyDescent="0.25">
      <c r="A260" s="98" t="s">
        <v>213</v>
      </c>
      <c r="B260" s="114" t="s">
        <v>84</v>
      </c>
      <c r="C260" s="100" t="s">
        <v>47</v>
      </c>
      <c r="D260" s="100" t="s">
        <v>149</v>
      </c>
      <c r="E260" s="101">
        <v>103</v>
      </c>
      <c r="F260" s="102">
        <v>2.2999999999999998</v>
      </c>
      <c r="G260" s="100" t="s">
        <v>85</v>
      </c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>
        <v>250</v>
      </c>
      <c r="U260" s="33">
        <v>250</v>
      </c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60" s="33">
        <f>Programacion[[#This Row],[ENERO]]+Programacion[[#This Row],[FEBRERO]]+Programacion[[#This Row],[MARZO]]</f>
        <v>0</v>
      </c>
      <c r="AH260" s="33">
        <f>Programacion[[#This Row],[DEVENGADO ENERO]]+Programacion[[#This Row],[DEVENGADO FEBRERO]]+Programacion[[#This Row],[DEVENGADO MARZO]]</f>
        <v>0</v>
      </c>
      <c r="AI260" s="33">
        <f>Programacion[[#This Row],[ABRIL]]+Programacion[[#This Row],[MAYO]]+Programacion[[#This Row],[JUNIO]]</f>
        <v>0</v>
      </c>
      <c r="AJ260" s="33">
        <f>Programacion[[#This Row],[DEVENGADO ABRIL]]+Programacion[[#This Row],[DEVENGADO MAYO]]+Programacion[[#This Row],[DEVENGADO JUNIO]]</f>
        <v>0</v>
      </c>
      <c r="AK260" s="33">
        <f>Programacion[[#This Row],[JULIO]]+Programacion[[#This Row],[AGOSTO]]+Programacion[[#This Row],[SEPTIEMBRE]]</f>
        <v>250</v>
      </c>
      <c r="AL260" s="33">
        <f>Programacion[[#This Row],[DEVENGADO JULIO]]+Programacion[[#This Row],[DEVENGADO AGOSTO]]+Programacion[[#This Row],[DEVENGADO SEPTIEMBRE]]</f>
        <v>250</v>
      </c>
      <c r="AM260" s="33">
        <f>Programacion[[#This Row],[OCTUBRE]]+Programacion[[#This Row],[NOVIEMBRE]]+Programacion[[#This Row],[DICIEMBRE]]</f>
        <v>0</v>
      </c>
      <c r="AN260" s="21">
        <f>Programacion[[#This Row],[DEVENGADO OCTUBRE]]+Programacion[[#This Row],[DEVENGADO NOVIEMBRE]]+Programacion[[#This Row],[DEVENGADO DICIEMBRE]]</f>
        <v>0</v>
      </c>
      <c r="AO260" s="21">
        <f>Programacion[[#This Row],[ENERO]]+Programacion[[#This Row],[FEBRERO]]+Programacion[[#This Row],[MARZO]]+Programacion[[#This Row],[ABRIL]]+Programacion[[#This Row],[MAYO]]+Programacion[[#This Row],[JUNIO]]</f>
        <v>0</v>
      </c>
      <c r="AP26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0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6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60" s="113"/>
    </row>
    <row r="261" spans="1:46" x14ac:dyDescent="0.25">
      <c r="A261" s="98" t="s">
        <v>213</v>
      </c>
      <c r="B261" s="99" t="s">
        <v>83</v>
      </c>
      <c r="C261" s="100" t="s">
        <v>47</v>
      </c>
      <c r="D261" s="100" t="s">
        <v>149</v>
      </c>
      <c r="E261" s="101">
        <v>103</v>
      </c>
      <c r="F261" s="102">
        <v>2.2999999999999998</v>
      </c>
      <c r="G261" s="100" t="s">
        <v>51</v>
      </c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>
        <v>675</v>
      </c>
      <c r="U261" s="33">
        <v>675</v>
      </c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61" s="33">
        <f>Programacion[[#This Row],[ENERO]]+Programacion[[#This Row],[FEBRERO]]+Programacion[[#This Row],[MARZO]]</f>
        <v>0</v>
      </c>
      <c r="AH261" s="33">
        <f>Programacion[[#This Row],[DEVENGADO ENERO]]+Programacion[[#This Row],[DEVENGADO FEBRERO]]+Programacion[[#This Row],[DEVENGADO MARZO]]</f>
        <v>0</v>
      </c>
      <c r="AI261" s="33">
        <f>Programacion[[#This Row],[ABRIL]]+Programacion[[#This Row],[MAYO]]+Programacion[[#This Row],[JUNIO]]</f>
        <v>0</v>
      </c>
      <c r="AJ261" s="33">
        <f>Programacion[[#This Row],[DEVENGADO ABRIL]]+Programacion[[#This Row],[DEVENGADO MAYO]]+Programacion[[#This Row],[DEVENGADO JUNIO]]</f>
        <v>0</v>
      </c>
      <c r="AK261" s="33">
        <f>Programacion[[#This Row],[JULIO]]+Programacion[[#This Row],[AGOSTO]]+Programacion[[#This Row],[SEPTIEMBRE]]</f>
        <v>675</v>
      </c>
      <c r="AL261" s="33">
        <f>Programacion[[#This Row],[DEVENGADO JULIO]]+Programacion[[#This Row],[DEVENGADO AGOSTO]]+Programacion[[#This Row],[DEVENGADO SEPTIEMBRE]]</f>
        <v>675</v>
      </c>
      <c r="AM261" s="33">
        <f>Programacion[[#This Row],[OCTUBRE]]+Programacion[[#This Row],[NOVIEMBRE]]+Programacion[[#This Row],[DICIEMBRE]]</f>
        <v>0</v>
      </c>
      <c r="AN261" s="21">
        <f>Programacion[[#This Row],[DEVENGADO OCTUBRE]]+Programacion[[#This Row],[DEVENGADO NOVIEMBRE]]+Programacion[[#This Row],[DEVENGADO DICIEMBRE]]</f>
        <v>0</v>
      </c>
      <c r="AO261" s="21">
        <f>Programacion[[#This Row],[ENERO]]+Programacion[[#This Row],[FEBRERO]]+Programacion[[#This Row],[MARZO]]+Programacion[[#This Row],[ABRIL]]+Programacion[[#This Row],[MAYO]]+Programacion[[#This Row],[JUNIO]]</f>
        <v>0</v>
      </c>
      <c r="AP26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6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61" s="113"/>
    </row>
    <row r="262" spans="1:46" x14ac:dyDescent="0.25">
      <c r="A262" s="98" t="s">
        <v>213</v>
      </c>
      <c r="B262" s="99" t="s">
        <v>238</v>
      </c>
      <c r="C262" s="78" t="s">
        <v>186</v>
      </c>
      <c r="D262" s="100" t="s">
        <v>149</v>
      </c>
      <c r="E262" s="101">
        <v>103</v>
      </c>
      <c r="F262" s="102">
        <v>2.2999999999999998</v>
      </c>
      <c r="G262" s="100" t="s">
        <v>187</v>
      </c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>
        <v>769</v>
      </c>
      <c r="U262" s="33">
        <v>769</v>
      </c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62" s="33">
        <f>Programacion[[#This Row],[ENERO]]+Programacion[[#This Row],[FEBRERO]]+Programacion[[#This Row],[MARZO]]</f>
        <v>0</v>
      </c>
      <c r="AH262" s="33">
        <f>Programacion[[#This Row],[DEVENGADO ENERO]]+Programacion[[#This Row],[DEVENGADO FEBRERO]]+Programacion[[#This Row],[DEVENGADO MARZO]]</f>
        <v>0</v>
      </c>
      <c r="AI262" s="33">
        <f>Programacion[[#This Row],[ABRIL]]+Programacion[[#This Row],[MAYO]]+Programacion[[#This Row],[JUNIO]]</f>
        <v>0</v>
      </c>
      <c r="AJ262" s="33">
        <f>Programacion[[#This Row],[DEVENGADO ABRIL]]+Programacion[[#This Row],[DEVENGADO MAYO]]+Programacion[[#This Row],[DEVENGADO JUNIO]]</f>
        <v>0</v>
      </c>
      <c r="AK262" s="33">
        <f>Programacion[[#This Row],[JULIO]]+Programacion[[#This Row],[AGOSTO]]+Programacion[[#This Row],[SEPTIEMBRE]]</f>
        <v>769</v>
      </c>
      <c r="AL262" s="33">
        <f>Programacion[[#This Row],[DEVENGADO JULIO]]+Programacion[[#This Row],[DEVENGADO AGOSTO]]+Programacion[[#This Row],[DEVENGADO SEPTIEMBRE]]</f>
        <v>769</v>
      </c>
      <c r="AM262" s="33">
        <f>Programacion[[#This Row],[OCTUBRE]]+Programacion[[#This Row],[NOVIEMBRE]]+Programacion[[#This Row],[DICIEMBRE]]</f>
        <v>0</v>
      </c>
      <c r="AN262" s="21">
        <f>Programacion[[#This Row],[DEVENGADO OCTUBRE]]+Programacion[[#This Row],[DEVENGADO NOVIEMBRE]]+Programacion[[#This Row],[DEVENGADO DICIEMBRE]]</f>
        <v>0</v>
      </c>
      <c r="AO262" s="21">
        <f>Programacion[[#This Row],[ENERO]]+Programacion[[#This Row],[FEBRERO]]+Programacion[[#This Row],[MARZO]]+Programacion[[#This Row],[ABRIL]]+Programacion[[#This Row],[MAYO]]+Programacion[[#This Row],[JUNIO]]</f>
        <v>0</v>
      </c>
      <c r="AP26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6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6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62" s="113"/>
    </row>
    <row r="263" spans="1:46" x14ac:dyDescent="0.25">
      <c r="A263" s="98" t="s">
        <v>213</v>
      </c>
      <c r="B263" s="99" t="s">
        <v>238</v>
      </c>
      <c r="C263" s="78" t="s">
        <v>194</v>
      </c>
      <c r="D263" s="100" t="s">
        <v>149</v>
      </c>
      <c r="E263" s="101">
        <v>102</v>
      </c>
      <c r="F263" s="102">
        <v>2.2999999999999998</v>
      </c>
      <c r="G263" s="100" t="s">
        <v>167</v>
      </c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>
        <v>6624</v>
      </c>
      <c r="U263" s="33">
        <v>6624</v>
      </c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63" s="33">
        <f>Programacion[[#This Row],[ENERO]]+Programacion[[#This Row],[FEBRERO]]+Programacion[[#This Row],[MARZO]]</f>
        <v>0</v>
      </c>
      <c r="AH263" s="33">
        <f>Programacion[[#This Row],[DEVENGADO ENERO]]+Programacion[[#This Row],[DEVENGADO FEBRERO]]+Programacion[[#This Row],[DEVENGADO MARZO]]</f>
        <v>0</v>
      </c>
      <c r="AI263" s="33">
        <f>Programacion[[#This Row],[ABRIL]]+Programacion[[#This Row],[MAYO]]+Programacion[[#This Row],[JUNIO]]</f>
        <v>0</v>
      </c>
      <c r="AJ263" s="33">
        <f>Programacion[[#This Row],[DEVENGADO ABRIL]]+Programacion[[#This Row],[DEVENGADO MAYO]]+Programacion[[#This Row],[DEVENGADO JUNIO]]</f>
        <v>0</v>
      </c>
      <c r="AK263" s="33">
        <f>Programacion[[#This Row],[JULIO]]+Programacion[[#This Row],[AGOSTO]]+Programacion[[#This Row],[SEPTIEMBRE]]</f>
        <v>6624</v>
      </c>
      <c r="AL263" s="33">
        <f>Programacion[[#This Row],[DEVENGADO JULIO]]+Programacion[[#This Row],[DEVENGADO AGOSTO]]+Programacion[[#This Row],[DEVENGADO SEPTIEMBRE]]</f>
        <v>6624</v>
      </c>
      <c r="AM263" s="33">
        <f>Programacion[[#This Row],[OCTUBRE]]+Programacion[[#This Row],[NOVIEMBRE]]+Programacion[[#This Row],[DICIEMBRE]]</f>
        <v>0</v>
      </c>
      <c r="AN263" s="21">
        <f>Programacion[[#This Row],[DEVENGADO OCTUBRE]]+Programacion[[#This Row],[DEVENGADO NOVIEMBRE]]+Programacion[[#This Row],[DEVENGADO DICIEMBRE]]</f>
        <v>0</v>
      </c>
      <c r="AO263" s="21">
        <f>Programacion[[#This Row],[ENERO]]+Programacion[[#This Row],[FEBRERO]]+Programacion[[#This Row],[MARZO]]+Programacion[[#This Row],[ABRIL]]+Programacion[[#This Row],[MAYO]]+Programacion[[#This Row],[JUNIO]]</f>
        <v>0</v>
      </c>
      <c r="AP26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3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6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6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63" s="113"/>
    </row>
    <row r="264" spans="1:46" x14ac:dyDescent="0.25">
      <c r="A264" s="98" t="s">
        <v>213</v>
      </c>
      <c r="B264" s="114" t="s">
        <v>239</v>
      </c>
      <c r="C264" s="46" t="s">
        <v>64</v>
      </c>
      <c r="D264" s="100" t="s">
        <v>149</v>
      </c>
      <c r="E264" s="101">
        <v>103</v>
      </c>
      <c r="F264" s="102">
        <v>2.2999999999999998</v>
      </c>
      <c r="G264" s="100" t="s">
        <v>240</v>
      </c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>
        <v>2700</v>
      </c>
      <c r="U264" s="33">
        <v>2700</v>
      </c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64" s="33">
        <f>Programacion[[#This Row],[ENERO]]+Programacion[[#This Row],[FEBRERO]]+Programacion[[#This Row],[MARZO]]</f>
        <v>0</v>
      </c>
      <c r="AH264" s="33">
        <f>Programacion[[#This Row],[DEVENGADO ENERO]]+Programacion[[#This Row],[DEVENGADO FEBRERO]]+Programacion[[#This Row],[DEVENGADO MARZO]]</f>
        <v>0</v>
      </c>
      <c r="AI264" s="33">
        <f>Programacion[[#This Row],[ABRIL]]+Programacion[[#This Row],[MAYO]]+Programacion[[#This Row],[JUNIO]]</f>
        <v>0</v>
      </c>
      <c r="AJ264" s="33">
        <f>Programacion[[#This Row],[DEVENGADO ABRIL]]+Programacion[[#This Row],[DEVENGADO MAYO]]+Programacion[[#This Row],[DEVENGADO JUNIO]]</f>
        <v>0</v>
      </c>
      <c r="AK264" s="33">
        <f>Programacion[[#This Row],[JULIO]]+Programacion[[#This Row],[AGOSTO]]+Programacion[[#This Row],[SEPTIEMBRE]]</f>
        <v>2700</v>
      </c>
      <c r="AL264" s="33">
        <f>Programacion[[#This Row],[DEVENGADO JULIO]]+Programacion[[#This Row],[DEVENGADO AGOSTO]]+Programacion[[#This Row],[DEVENGADO SEPTIEMBRE]]</f>
        <v>2700</v>
      </c>
      <c r="AM264" s="33">
        <f>Programacion[[#This Row],[OCTUBRE]]+Programacion[[#This Row],[NOVIEMBRE]]+Programacion[[#This Row],[DICIEMBRE]]</f>
        <v>0</v>
      </c>
      <c r="AN264" s="21">
        <f>Programacion[[#This Row],[DEVENGADO OCTUBRE]]+Programacion[[#This Row],[DEVENGADO NOVIEMBRE]]+Programacion[[#This Row],[DEVENGADO DICIEMBRE]]</f>
        <v>0</v>
      </c>
      <c r="AO264" s="21">
        <f>Programacion[[#This Row],[ENERO]]+Programacion[[#This Row],[FEBRERO]]+Programacion[[#This Row],[MARZO]]+Programacion[[#This Row],[ABRIL]]+Programacion[[#This Row],[MAYO]]+Programacion[[#This Row],[JUNIO]]</f>
        <v>0</v>
      </c>
      <c r="AP26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4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6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6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64" s="113"/>
    </row>
    <row r="265" spans="1:46" x14ac:dyDescent="0.25">
      <c r="A265" s="105" t="s">
        <v>213</v>
      </c>
      <c r="B265" s="106" t="s">
        <v>214</v>
      </c>
      <c r="C265" s="100" t="s">
        <v>186</v>
      </c>
      <c r="D265" s="107" t="s">
        <v>149</v>
      </c>
      <c r="E265" s="108">
        <v>103</v>
      </c>
      <c r="F265" s="109">
        <v>2.2999999999999998</v>
      </c>
      <c r="G265" s="100" t="s">
        <v>187</v>
      </c>
      <c r="H265" s="110"/>
      <c r="I265" s="110"/>
      <c r="J265" s="110"/>
      <c r="K265" s="110"/>
      <c r="L265" s="110"/>
      <c r="M265" s="110"/>
      <c r="N265" s="110"/>
      <c r="O265" s="110"/>
      <c r="P265" s="110"/>
      <c r="Q265" s="110"/>
      <c r="R265" s="110"/>
      <c r="S265" s="110"/>
      <c r="T265" s="110">
        <v>11508</v>
      </c>
      <c r="U265" s="110">
        <v>11508</v>
      </c>
      <c r="V265" s="110"/>
      <c r="W265" s="110"/>
      <c r="X265" s="110"/>
      <c r="Y265" s="110"/>
      <c r="Z265" s="110"/>
      <c r="AA265" s="110"/>
      <c r="AB265" s="110"/>
      <c r="AC265" s="110"/>
      <c r="AD265" s="110"/>
      <c r="AE265" s="110"/>
      <c r="AF265" s="10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65" s="33">
        <f>Programacion[[#This Row],[ENERO]]+Programacion[[#This Row],[FEBRERO]]+Programacion[[#This Row],[MARZO]]</f>
        <v>0</v>
      </c>
      <c r="AH265" s="33">
        <f>Programacion[[#This Row],[DEVENGADO ENERO]]+Programacion[[#This Row],[DEVENGADO FEBRERO]]+Programacion[[#This Row],[DEVENGADO MARZO]]</f>
        <v>0</v>
      </c>
      <c r="AI265" s="33">
        <f>Programacion[[#This Row],[ABRIL]]+Programacion[[#This Row],[MAYO]]+Programacion[[#This Row],[JUNIO]]</f>
        <v>0</v>
      </c>
      <c r="AJ265" s="33">
        <f>Programacion[[#This Row],[DEVENGADO ABRIL]]+Programacion[[#This Row],[DEVENGADO MAYO]]+Programacion[[#This Row],[DEVENGADO JUNIO]]</f>
        <v>0</v>
      </c>
      <c r="AK265" s="33">
        <f>Programacion[[#This Row],[JULIO]]+Programacion[[#This Row],[AGOSTO]]+Programacion[[#This Row],[SEPTIEMBRE]]</f>
        <v>11508</v>
      </c>
      <c r="AL265" s="33">
        <f>Programacion[[#This Row],[DEVENGADO JULIO]]+Programacion[[#This Row],[DEVENGADO AGOSTO]]+Programacion[[#This Row],[DEVENGADO SEPTIEMBRE]]</f>
        <v>11508</v>
      </c>
      <c r="AM265" s="33">
        <f>Programacion[[#This Row],[OCTUBRE]]+Programacion[[#This Row],[NOVIEMBRE]]+Programacion[[#This Row],[DICIEMBRE]]</f>
        <v>0</v>
      </c>
      <c r="AN265" s="21">
        <f>Programacion[[#This Row],[DEVENGADO OCTUBRE]]+Programacion[[#This Row],[DEVENGADO NOVIEMBRE]]+Programacion[[#This Row],[DEVENGADO DICIEMBRE]]</f>
        <v>0</v>
      </c>
      <c r="AO265" s="21">
        <f>Programacion[[#This Row],[ENERO]]+Programacion[[#This Row],[FEBRERO]]+Programacion[[#This Row],[MARZO]]+Programacion[[#This Row],[ABRIL]]+Programacion[[#This Row],[MAYO]]+Programacion[[#This Row],[JUNIO]]</f>
        <v>0</v>
      </c>
      <c r="AP26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6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65" s="113"/>
    </row>
  </sheetData>
  <dataValidations count="2">
    <dataValidation type="list" allowBlank="1" showErrorMessage="1" sqref="C53:C64 C108:C109 C138 C141:C142 C155:C164 C184:C190" xr:uid="{F038E812-260C-4D70-B97C-852FBAAFE0C8}">
      <formula1>#REF!</formula1>
    </dataValidation>
    <dataValidation type="list" allowBlank="1" showErrorMessage="1" sqref="C16:C17 C19:C22 C45 C182 C106 C11 C47:C50 C144 C147:C148" xr:uid="{F0A19C96-199C-4EBA-A0D9-BD26998A36D8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2026-09-21T22:15:40Z</dcterms:modified>
</cp:coreProperties>
</file>