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4A5A6FB6-6F09-45BF-8C28-B0E148015A98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31" i="1" l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<sst xmlns="http://schemas.openxmlformats.org/spreadsheetml/2006/main" count="1195" uniqueCount="297">
  <si>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</si>
  <si>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</si>
  <si>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</si>
  <si>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</si>
  <si>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</si>
  <si>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</si>
  <si>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</si>
  <si>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</si>
  <si>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</si>
  <si>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</si>
  <si>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</si>
  <si>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</si>
  <si>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</si>
  <si>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</si>
  <si>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</si>
  <si>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</si>
  <si>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</si>
  <si>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</si>
  <si>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</si>
  <si>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</si>
  <si>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</si>
  <si>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</si>
  <si>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</si>
  <si>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</si>
  <si>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</si>
  <si>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</si>
  <si>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</si>
  <si>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</si>
  <si>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</si>
  <si>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</si>
  <si>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</si>
  <si>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</si>
  <si>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</si>
  <si>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</si>
  <si>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</si>
  <si>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</si>
  <si>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</si>
  <si>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</si>
  <si>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</si>
  <si>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</si>
  <si>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</si>
  <si>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</si>
  <si>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</si>
  <si>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</si>
  <si>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</si>
  <si>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</si>
  <si>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</si>
  <si>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</si>
  <si>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</si>
  <si>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</si>
  <si>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</si>
  <si>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</si>
  <si>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</si>
  <si>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</si>
  <si>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</si>
  <si>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</si>
  <si>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</si>
  <si>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</si>
  <si>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</si>
  <si>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</si>
  <si>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</si>
  <si>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</si>
  <si>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</si>
  <si>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</si>
  <si>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</si>
  <si>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</si>
  <si>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</si>
  <si>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</si>
  <si>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</si>
  <si>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</si>
  <si>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</si>
  <si>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</si>
  <si>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</si>
  <si>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</si>
  <si>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</si>
  <si>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</si>
  <si>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</si>
  <si>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</si>
  <si>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</si>
  <si>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</si>
  <si>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</si>
  <si>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</si>
  <si>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</si>
  <si>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</si>
  <si>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</si>
  <si>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</si>
  <si>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</si>
  <si>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</si>
  <si>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</si>
  <si>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</si>
  <si>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</si>
  <si>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</si>
  <si>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</si>
  <si>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</si>
  <si>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</si>
  <si>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</si>
  <si>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</si>
  <si>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</si>
  <si>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</si>
  <si>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</si>
  <si>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</si>
  <si>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</si>
  <si>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</si>
  <si>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</si>
  <si>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</si>
  <si>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</si>
  <si>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</si>
  <si>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</si>
  <si>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</si>
  <si>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</si>
  <si>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</si>
  <si>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</si>
  <si>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</si>
  <si>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</si>
  <si>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</si>
  <si>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</si>
  <si>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</si>
  <si>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</si>
  <si>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</si>
  <si>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</si>
  <si>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</si>
  <si>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</si>
  <si>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</si>
  <si>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</si>
  <si>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</si>
  <si>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</si>
  <si>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</si>
  <si>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</si>
  <si>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</si>
  <si>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</si>
  <si>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</si>
  <si>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</si>
  <si>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</si>
  <si>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</si>
  <si>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</si>
  <si>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</si>
  <si>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</si>
  <si>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</si>
  <si>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</si>
  <si>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</si>
  <si>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</si>
  <si>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</si>
  <si>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</si>
  <si>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</si>
  <si>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</si>
  <si>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</si>
  <si>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</si>
  <si>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</si>
  <si>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</si>
  <si>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</si>
  <si>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</si>
  <si>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</si>
  <si>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</si>
  <si>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</si>
  <si>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</si>
  <si>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</si>
  <si>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</si>
  <si>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</si>
  <si>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</si>
  <si>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</si>
  <si>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</si>
  <si>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</si>
  <si>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</si>
  <si>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</si>
  <si>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</si>
  <si>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</si>
  <si>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</si>
  <si>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</si>
  <si>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</si>
  <si>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</si>
  <si>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</si>
  <si>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</si>
  <si>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</si>
  <si>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</si>
  <si>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</si>
  <si>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</si>
  <si>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</si>
  <si>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</si>
  <si>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</si>
  <si>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</si>
  <si>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</si>
  <si>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</si>
  <si>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</si>
  <si>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</si>
  <si>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</si>
  <si>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</si>
  <si>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</si>
  <si>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</si>
  <si>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</si>
  <si>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</si>
  <si>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</si>
  <si>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</si>
  <si>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</si>
  <si>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</si>
  <si>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</si>
  <si>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</si>
  <si>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</si>
  <si>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</si>
  <si>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</si>
  <si>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</si>
  <si>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</si>
  <si>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</si>
  <si>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</si>
  <si>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</si>
  <si>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</si>
  <si>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</si>
  <si>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</si>
  <si>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</si>
  <si>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</si>
  <si>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</si>
  <si>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</si>
  <si>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</si>
  <si>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</si>
  <si>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</si>
  <si>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</si>
  <si>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</si>
  <si>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</si>
  <si>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</si>
  <si>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</si>
  <si>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</si>
  <si>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</si>
  <si>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</si>
  <si>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</si>
  <si>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</si>
  <si>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</si>
  <si>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</si>
  <si>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</si>
  <si>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</si>
  <si>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</si>
  <si>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</si>
  <si>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</si>
  <si>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</si>
  <si>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</si>
  <si>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</si>
  <si>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</si>
  <si>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</si>
  <si>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</si>
  <si>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</si>
  <si>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</si>
  <si>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</si>
  <si>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</si>
  <si>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</si>
  <si>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</si>
  <si>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</si>
  <si>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</si>
  <si>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</si>
  <si>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</si>
  <si>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</si>
  <si>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</si>
  <si>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</si>
  <si>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</si>
  <si>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</si>
  <si>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</si>
  <si>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</si>
  <si>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</si>
  <si>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</si>
  <si>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</si>
  <si>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</si>
  <si>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</si>
  <si>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</si>
  <si>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</si>
  <si>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</si>
  <si>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</si>
  <si>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</si>
  <si>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</si>
  <si>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</si>
  <si>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</si>
  <si>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</si>
  <si>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</si>
  <si>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</si>
  <si>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</si>
  <si>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</si>
  <si>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</si>
  <si>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</si>
  <si>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</si>
  <si>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</si>
  <si>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</si>
  <si>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</si>
  <si>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</si>
  <si>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</si>
  <si>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</si>
  <si>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</si>
  <si>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</si>
  <si>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</si>
  <si>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</si>
  <si>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</si>
  <si>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</si>
  <si>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</si>
  <si>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 xml:space="preserve">SALDO </t>
  </si>
  <si>
    <t>saldo LETREROS</t>
  </si>
  <si>
    <t>saldo MANTENIMIENTO CORRECTIVO DE MAMPARAS</t>
  </si>
  <si>
    <t>saldo TOTEM PUBLICITARIO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</si>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</sst>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EA0D64-5083-4C7C-8008-224BCD03695C}" name="Programacion" displayName="Programacion" ref="A1:AS231" totalsRowShown="0" headerRowDxfId="47" dataDxfId="46" tableBorderDxfId="45" headerRowCellStyle="Moneda" dataCellStyle="Moneda">
  <autoFilter ref="A1:AS231" xr:uid="{B7ED704B-47D4-43F8-9CF7-C2448AE93B20}"/>
  <tableColumns count="45">
    <tableColumn id="1" xr3:uid="{EA999080-DBE9-4830-A37B-F864171B3851}" name="CENTRO COSTO" dataDxfId="44"/>
    <tableColumn id="2" xr3:uid="{1DF3DCAD-CB3E-4C92-B92F-BDFD5484986F}" name="NOMBRE DEL SERVICIO/BIEN A REQUERIR" dataDxfId="43"/>
    <tableColumn id="3" xr3:uid="{AA871CA6-A6FC-459B-B909-F108889118D8}" name="RUBRO" dataDxfId="42"/>
    <tableColumn id="4" xr3:uid="{EFE02A61-92A8-4709-AC5F-F8F8A10D60A4}" name="FUENTE DE FINANCIAMIENTO" dataDxfId="41"/>
    <tableColumn id="5" xr3:uid="{0F11059D-08DC-499A-A05D-2D47432E0211}" name="META" dataDxfId="40"/>
    <tableColumn id="6" xr3:uid="{C1EAC6F5-46B8-4348-875A-BFC5D7F69636}" name="GENÉRICA DE GASTO" dataDxfId="39" dataCellStyle="Moneda"/>
    <tableColumn id="7" xr3:uid="{89B757B5-E7FD-48AF-BF4E-CE0BDE4AA425}" name="CLASIFICADOR" dataDxfId="38"/>
    <tableColumn id="8" xr3:uid="{26803C28-B62A-4CC6-A96E-47408746926C}" name="ENERO" dataDxfId="37" dataCellStyle="Moneda"/>
    <tableColumn id="21" xr3:uid="{CC1A70E3-6617-45F7-BC7B-9DB14185C344}" name="DEVENGADO ENERO" dataDxfId="36" dataCellStyle="Moneda"/>
    <tableColumn id="9" xr3:uid="{57F8CE3C-004B-418F-AB0A-62E83A2DBFE9}" name="FEBRERO" dataDxfId="35" dataCellStyle="Moneda"/>
    <tableColumn id="22" xr3:uid="{2BA49D69-8448-44B0-AC7E-A8DEE6C8A58E}" name="DEVENGADO FEBRERO" dataDxfId="34" dataCellStyle="Moneda"/>
    <tableColumn id="10" xr3:uid="{6B469AD6-0BCC-489D-8A0D-46011BA7AF57}" name="MARZO" dataDxfId="33" dataCellStyle="Moneda"/>
    <tableColumn id="23" xr3:uid="{51A941C7-1151-4758-B1B9-AA1D0E114320}" name="DEVENGADO MARZO" dataDxfId="32" dataCellStyle="Moneda"/>
    <tableColumn id="11" xr3:uid="{F8D1ECEB-9400-4C5F-A97E-7C72D3545623}" name="ABRIL" dataDxfId="31" dataCellStyle="Moneda"/>
    <tableColumn id="24" xr3:uid="{F2241149-2F58-487B-9060-2BDD3199A6DF}" name="DEVENGADO ABRIL" dataDxfId="30" dataCellStyle="Moneda"/>
    <tableColumn id="12" xr3:uid="{01506CEB-B09B-4513-AF8E-5EBE5EFBD4E7}" name="MAYO" dataDxfId="29" dataCellStyle="Moneda"/>
    <tableColumn id="25" xr3:uid="{6A4DB26F-F9E7-4F0D-BED1-568F716D9C5A}" name="DEVENGADO MAYO" dataDxfId="28" dataCellStyle="Moneda"/>
    <tableColumn id="13" xr3:uid="{95DF12C6-C652-4182-BB01-50C470775839}" name="JUNIO" dataDxfId="27" dataCellStyle="Moneda"/>
    <tableColumn id="26" xr3:uid="{DD05E1B8-6657-456A-9537-72A0F92B0D78}" name="DEVENGADO JUNIO" dataDxfId="26" dataCellStyle="Moneda"/>
    <tableColumn id="14" xr3:uid="{D9E6E68C-8060-4348-B7BF-D112C83DD15C}" name="JULIO" dataDxfId="25" dataCellStyle="Moneda"/>
    <tableColumn id="27" xr3:uid="{C01C0258-6121-426C-AC23-5C8BC0C079A8}" name="DEVENGADO JULIO" dataDxfId="24" dataCellStyle="Moneda"/>
    <tableColumn id="15" xr3:uid="{0DF1C4A1-76FE-4ECB-90C7-7F301514D6D2}" name="AGOSTO" dataDxfId="23" dataCellStyle="Moneda"/>
    <tableColumn id="28" xr3:uid="{25768D77-DBE7-4053-80E6-0ADFADC03B58}" name="DEVENGADO AGOSTO" dataDxfId="22" dataCellStyle="Moneda"/>
    <tableColumn id="16" xr3:uid="{63BE8B52-6E9B-4918-BE80-AB4AAE52640D}" name="SEPTIEMBRE" dataDxfId="21" dataCellStyle="Moneda"/>
    <tableColumn id="29" xr3:uid="{EF25696B-14CC-49DE-A271-C113AC6C8C00}" name="DEVENGADO SEPTIEMBRE" dataDxfId="20" dataCellStyle="Moneda"/>
    <tableColumn id="17" xr3:uid="{2FE762BF-AD09-41F0-90C7-1BF4FF7C5AAC}" name="OCTUBRE" dataDxfId="19" dataCellStyle="Moneda"/>
    <tableColumn id="30" xr3:uid="{072A7C71-B086-4828-AF10-E2B76D2C68CE}" name="DEVENGADO OCTUBRE" dataDxfId="18" dataCellStyle="Moneda"/>
    <tableColumn id="18" xr3:uid="{F079A7B7-320E-4D0D-B61E-E138BE0BCE77}" name="NOVIEMBRE" dataDxfId="17" dataCellStyle="Moneda"/>
    <tableColumn id="32" xr3:uid="{C3BB2550-37D2-49EF-8E3A-DB054F028657}" name="DEVENGADO NOVIEMBRE" dataDxfId="16" dataCellStyle="Moneda"/>
    <tableColumn id="19" xr3:uid="{98F6581F-BF66-423A-AFA3-7981EAA19B8B}" name="DICIEMBRE" dataDxfId="15" dataCellStyle="Moneda"/>
    <tableColumn id="33" xr3:uid="{2D4C283D-657F-459E-8898-4978EA1C046A}" name="DEVENGADO DICIEMBRE" dataDxfId="14" dataCellStyle="Moneda"/>
    <tableColumn id="20" xr3:uid="{1F8DA4EA-FEDC-4AA8-91FB-3CC23384187C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FD7FB367-0E00-4A95-8FC7-F7352DF75E60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3A977530-3F36-4DB5-810A-12802B273862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A03436FA-DF6A-457A-BFFF-366EDB8275D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9240AD0F-EAF2-42B2-9E9C-A9ABBEAE54D8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3D2021B0-0842-4E6B-A1EA-3332E20BE144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A74AAB9B-1CBB-42E6-B8F5-67AACC405441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99F1FFD5-A521-4A9D-93F2-3085FE0EBD3D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7897F0AE-2065-4A76-B09F-5E4C58F4F310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6BE482EB-20DD-40A4-96D3-F2EA68FB94C7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6157A36C-F739-4A23-AC71-9BFD40EFC037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16577323-296B-48BA-AE26-170A2223E2D0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131B565E-4EA6-486D-88CC-419093C2BFC1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7D56A4C3-952C-4048-B30D-75DC3A4D95AE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31"/>
  <sheetViews>
    <sheetView tabSelected="1" topLeftCell="F130" zoomScale="85" zoomScaleNormal="85" workbookViewId="0">
      <selection activeCell="F13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234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85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86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242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247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249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>
        <v>2096.16</v>
      </c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2096.16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250</v>
      </c>
      <c r="C16" s="118" t="s">
        <v>251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249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252</v>
      </c>
      <c r="C18" s="118" t="s">
        <v>85</v>
      </c>
      <c r="D18" s="119" t="s">
        <v>48</v>
      </c>
      <c r="E18" s="120">
        <v>39</v>
      </c>
      <c r="F18" s="120">
        <v>23</v>
      </c>
      <c r="G18" s="119" t="s">
        <v>86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253</v>
      </c>
      <c r="C19" s="118" t="s">
        <v>251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249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2220.0300000000002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2220.0300000000002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254</v>
      </c>
      <c r="C21" s="118" t="s">
        <v>251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249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>
        <v>5000</v>
      </c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10000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>
        <v>6000</v>
      </c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12000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>
        <v>4000</v>
      </c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8000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235</v>
      </c>
      <c r="C32" s="103" t="s">
        <v>192</v>
      </c>
      <c r="D32" s="103" t="s">
        <v>48</v>
      </c>
      <c r="E32" s="104">
        <v>39</v>
      </c>
      <c r="F32" s="105">
        <v>2.2999999999999998</v>
      </c>
      <c r="G32" s="103" t="s">
        <v>236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>
        <v>15600</v>
      </c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15600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255</v>
      </c>
      <c r="C44" s="118" t="s">
        <v>256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>
        <v>2000</v>
      </c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2000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257</v>
      </c>
      <c r="C46" s="118" t="s">
        <v>258</v>
      </c>
      <c r="D46" s="119" t="s">
        <v>48</v>
      </c>
      <c r="E46" s="123">
        <v>39</v>
      </c>
      <c r="F46" s="120">
        <v>23</v>
      </c>
      <c r="G46" s="124" t="s">
        <v>259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1030</v>
      </c>
      <c r="W46" s="33">
        <v>1030</v>
      </c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1030</v>
      </c>
      <c r="AL46" s="33">
        <f>Programacion[[#This Row],[DEVENGADO JULIO]]+Programacion[[#This Row],[DEVENGADO AGOSTO]]+Programacion[[#This Row],[DEVENGADO SEPTIEMBRE]]</f>
        <v>1030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46" s="116"/>
    </row>
    <row r="47" spans="1:46" x14ac:dyDescent="0.25">
      <c r="A47" s="118" t="s">
        <v>45</v>
      </c>
      <c r="B47" s="122" t="s">
        <v>289</v>
      </c>
      <c r="C47" s="118" t="s">
        <v>258</v>
      </c>
      <c r="D47" s="119" t="s">
        <v>48</v>
      </c>
      <c r="E47" s="123">
        <v>39</v>
      </c>
      <c r="F47" s="120">
        <v>23</v>
      </c>
      <c r="G47" s="124" t="s">
        <v>259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>
        <v>3950</v>
      </c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3950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0</v>
      </c>
      <c r="AL47" s="33">
        <f>Programacion[[#This Row],[DEVENGADO JULIO]]+Programacion[[#This Row],[DEVENGADO AGOSTO]]+Programacion[[#This Row],[DEVENGADO SEPTIEMBRE]]</f>
        <v>0</v>
      </c>
      <c r="AM47" s="33">
        <f>Programacion[[#This Row],[OCTUBRE]]+Programacion[[#This Row],[NOVIEMBRE]]+Programacion[[#This Row],[DICIEMBRE]]</f>
        <v>3950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3950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18" t="s">
        <v>45</v>
      </c>
      <c r="B48" s="122" t="s">
        <v>260</v>
      </c>
      <c r="C48" s="118" t="s">
        <v>258</v>
      </c>
      <c r="D48" s="119" t="s">
        <v>48</v>
      </c>
      <c r="E48" s="123">
        <v>39</v>
      </c>
      <c r="F48" s="120">
        <v>23</v>
      </c>
      <c r="G48" s="124" t="s">
        <v>68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>
        <v>11335</v>
      </c>
      <c r="W48" s="33"/>
      <c r="X48" s="33"/>
      <c r="Y48" s="33"/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11335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118" t="s">
        <v>45</v>
      </c>
      <c r="B49" s="122" t="s">
        <v>290</v>
      </c>
      <c r="C49" s="118" t="s">
        <v>258</v>
      </c>
      <c r="D49" s="119" t="s">
        <v>48</v>
      </c>
      <c r="E49" s="123">
        <v>39</v>
      </c>
      <c r="F49" s="120">
        <v>23</v>
      </c>
      <c r="G49" s="124" t="s">
        <v>68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>
        <v>3665</v>
      </c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3665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0</v>
      </c>
      <c r="AL49" s="33">
        <f>Programacion[[#This Row],[DEVENGADO JULIO]]+Programacion[[#This Row],[DEVENGADO AGOSTO]]+Programacion[[#This Row],[DEVENGADO SEPTIEMBRE]]</f>
        <v>0</v>
      </c>
      <c r="AM49" s="33">
        <f>Programacion[[#This Row],[OCTUBRE]]+Programacion[[#This Row],[NOVIEMBRE]]+Programacion[[#This Row],[DICIEMBRE]]</f>
        <v>3665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3665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116"/>
    </row>
    <row r="50" spans="1:46" x14ac:dyDescent="0.25">
      <c r="A50" s="147" t="s">
        <v>45</v>
      </c>
      <c r="B50" s="147" t="s">
        <v>276</v>
      </c>
      <c r="C50" s="147" t="s">
        <v>262</v>
      </c>
      <c r="D50" s="147" t="s">
        <v>48</v>
      </c>
      <c r="E50" s="147">
        <v>39</v>
      </c>
      <c r="F50" s="147">
        <v>26</v>
      </c>
      <c r="G50" s="147" t="s">
        <v>121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>
        <v>13500</v>
      </c>
      <c r="W50" s="33">
        <v>13500</v>
      </c>
      <c r="X50" s="33"/>
      <c r="Y50" s="33"/>
      <c r="Z50" s="33"/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13500</v>
      </c>
      <c r="AL50" s="33">
        <f>Programacion[[#This Row],[DEVENGADO JULIO]]+Programacion[[#This Row],[DEVENGADO AGOSTO]]+Programacion[[#This Row],[DEVENGADO SEPTIEMBRE]]</f>
        <v>13500</v>
      </c>
      <c r="AM50" s="33">
        <f>Programacion[[#This Row],[OCTUBRE]]+Programacion[[#This Row],[NOVIEMBRE]]+Programacion[[#This Row],[DICIEMBRE]]</f>
        <v>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0" s="116"/>
    </row>
    <row r="51" spans="1:46" x14ac:dyDescent="0.25">
      <c r="A51" s="147" t="s">
        <v>45</v>
      </c>
      <c r="B51" s="147" t="s">
        <v>291</v>
      </c>
      <c r="C51" s="147" t="s">
        <v>262</v>
      </c>
      <c r="D51" s="147" t="s">
        <v>48</v>
      </c>
      <c r="E51" s="147">
        <v>39</v>
      </c>
      <c r="F51" s="147">
        <v>26</v>
      </c>
      <c r="G51" s="147" t="s">
        <v>121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>
        <v>5465.91</v>
      </c>
      <c r="AE51" s="33"/>
      <c r="AF5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5465.91</v>
      </c>
      <c r="AG51" s="33">
        <f>Programacion[[#This Row],[ENERO]]+Programacion[[#This Row],[FEBRERO]]+Programacion[[#This Row],[MARZO]]</f>
        <v>0</v>
      </c>
      <c r="AH51" s="33">
        <f>Programacion[[#This Row],[DEVENGADO ENERO]]+Programacion[[#This Row],[DEVENGADO FEBRERO]]+Programacion[[#This Row],[DEVENGADO MARZO]]</f>
        <v>0</v>
      </c>
      <c r="AI51" s="33">
        <f>Programacion[[#This Row],[ABRIL]]+Programacion[[#This Row],[MAYO]]+Programacion[[#This Row],[JUNIO]]</f>
        <v>0</v>
      </c>
      <c r="AJ51" s="33">
        <f>Programacion[[#This Row],[DEVENGADO ABRIL]]+Programacion[[#This Row],[DEVENGADO MAYO]]+Programacion[[#This Row],[DEVENGADO JUNIO]]</f>
        <v>0</v>
      </c>
      <c r="AK51" s="33">
        <f>Programacion[[#This Row],[JULIO]]+Programacion[[#This Row],[AGOSTO]]+Programacion[[#This Row],[SEPTIEMBRE]]</f>
        <v>0</v>
      </c>
      <c r="AL51" s="33">
        <f>Programacion[[#This Row],[DEVENGADO JULIO]]+Programacion[[#This Row],[DEVENGADO AGOSTO]]+Programacion[[#This Row],[DEVENGADO SEPTIEMBRE]]</f>
        <v>0</v>
      </c>
      <c r="AM51" s="33">
        <f>Programacion[[#This Row],[OCTUBRE]]+Programacion[[#This Row],[NOVIEMBRE]]+Programacion[[#This Row],[DICIEMBRE]]</f>
        <v>5465.91</v>
      </c>
      <c r="AN51" s="21">
        <f>Programacion[[#This Row],[DEVENGADO OCTUBRE]]+Programacion[[#This Row],[DEVENGADO NOVIEMBRE]]+Programacion[[#This Row],[DEVENGADO DICIEMBRE]]</f>
        <v>0</v>
      </c>
      <c r="AO51" s="21">
        <f>Programacion[[#This Row],[ENERO]]+Programacion[[#This Row],[FEBRERO]]+Programacion[[#This Row],[MARZO]]+Programacion[[#This Row],[ABRIL]]+Programacion[[#This Row],[MAYO]]+Programacion[[#This Row],[JUNIO]]</f>
        <v>0</v>
      </c>
      <c r="AP5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21">
        <f>Programacion[[#This Row],[JULIO]]+Programacion[[#This Row],[AGOSTO]]+Programacion[[#This Row],[SEPTIEMBRE]]+Programacion[[#This Row],[OCTUBRE]]+Programacion[[#This Row],[NOVIEMBRE]]+Programacion[[#This Row],[DICIEMBRE]]</f>
        <v>5465.91</v>
      </c>
      <c r="AR5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x14ac:dyDescent="0.25">
      <c r="A52" s="122" t="s">
        <v>45</v>
      </c>
      <c r="B52" s="122" t="s">
        <v>261</v>
      </c>
      <c r="C52" s="124" t="s">
        <v>262</v>
      </c>
      <c r="D52" s="119" t="s">
        <v>48</v>
      </c>
      <c r="E52" s="123">
        <v>3</v>
      </c>
      <c r="F52" s="123">
        <v>26</v>
      </c>
      <c r="G52" s="124" t="s">
        <v>121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>
        <v>188000</v>
      </c>
      <c r="AA52" s="33"/>
      <c r="AB52" s="33"/>
      <c r="AC52" s="33"/>
      <c r="AD52" s="33"/>
      <c r="AE52" s="33"/>
      <c r="AF5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52" s="33">
        <f>Programacion[[#This Row],[ENERO]]+Programacion[[#This Row],[FEBRERO]]+Programacion[[#This Row],[MARZO]]</f>
        <v>0</v>
      </c>
      <c r="AH52" s="33">
        <f>Programacion[[#This Row],[DEVENGADO ENERO]]+Programacion[[#This Row],[DEVENGADO FEBRERO]]+Programacion[[#This Row],[DEVENGADO MARZO]]</f>
        <v>0</v>
      </c>
      <c r="AI52" s="33">
        <f>Programacion[[#This Row],[ABRIL]]+Programacion[[#This Row],[MAYO]]+Programacion[[#This Row],[JUNIO]]</f>
        <v>0</v>
      </c>
      <c r="AJ52" s="33">
        <f>Programacion[[#This Row],[DEVENGADO ABRIL]]+Programacion[[#This Row],[DEVENGADO MAYO]]+Programacion[[#This Row],[DEVENGADO JUNIO]]</f>
        <v>0</v>
      </c>
      <c r="AK52" s="33">
        <f>Programacion[[#This Row],[JULIO]]+Programacion[[#This Row],[AGOSTO]]+Programacion[[#This Row],[SEPTIEMBRE]]</f>
        <v>0</v>
      </c>
      <c r="AL52" s="33">
        <f>Programacion[[#This Row],[DEVENGADO JULIO]]+Programacion[[#This Row],[DEVENGADO AGOSTO]]+Programacion[[#This Row],[DEVENGADO SEPTIEMBRE]]</f>
        <v>0</v>
      </c>
      <c r="AM52" s="33">
        <f>Programacion[[#This Row],[OCTUBRE]]+Programacion[[#This Row],[NOVIEMBRE]]+Programacion[[#This Row],[DICIEMBRE]]</f>
        <v>188000</v>
      </c>
      <c r="AN52" s="21">
        <f>Programacion[[#This Row],[DEVENGADO OCTUBRE]]+Programacion[[#This Row],[DEVENGADO NOVIEMBRE]]+Programacion[[#This Row],[DEVENGADO DICIEMBRE]]</f>
        <v>0</v>
      </c>
      <c r="AO52" s="21">
        <f>Programacion[[#This Row],[ENERO]]+Programacion[[#This Row],[FEBRERO]]+Programacion[[#This Row],[MARZO]]+Programacion[[#This Row],[ABRIL]]+Programacion[[#This Row],[MAYO]]+Programacion[[#This Row],[JUNIO]]</f>
        <v>0</v>
      </c>
      <c r="AP5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5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6"/>
    </row>
    <row r="53" spans="1:46" x14ac:dyDescent="0.25">
      <c r="A53" s="22" t="s">
        <v>45</v>
      </c>
      <c r="B53" s="23" t="s">
        <v>225</v>
      </c>
      <c r="C53" s="13" t="s">
        <v>81</v>
      </c>
      <c r="D53" s="13" t="s">
        <v>48</v>
      </c>
      <c r="E53" s="24">
        <v>39</v>
      </c>
      <c r="F53" s="25">
        <v>2.6</v>
      </c>
      <c r="G53" s="13" t="s">
        <v>226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>
        <v>2270</v>
      </c>
      <c r="U53" s="33">
        <v>2270</v>
      </c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3" s="33">
        <f>Programacion[[#This Row],[ENERO]]+Programacion[[#This Row],[FEBRERO]]+Programacion[[#This Row],[MARZO]]</f>
        <v>0</v>
      </c>
      <c r="AH53" s="33">
        <f>Programacion[[#This Row],[DEVENGADO ENERO]]+Programacion[[#This Row],[DEVENGADO FEBRERO]]+Programacion[[#This Row],[DEVENGADO MARZO]]</f>
        <v>0</v>
      </c>
      <c r="AI53" s="33">
        <f>Programacion[[#This Row],[ABRIL]]+Programacion[[#This Row],[MAYO]]+Programacion[[#This Row],[JUNIO]]</f>
        <v>0</v>
      </c>
      <c r="AJ53" s="33">
        <f>Programacion[[#This Row],[DEVENGADO ABRIL]]+Programacion[[#This Row],[DEVENGADO MAYO]]+Programacion[[#This Row],[DEVENGADO JUNIO]]</f>
        <v>0</v>
      </c>
      <c r="AK53" s="33">
        <f>Programacion[[#This Row],[JULIO]]+Programacion[[#This Row],[AGOSTO]]+Programacion[[#This Row],[SEPTIEMBRE]]</f>
        <v>2270</v>
      </c>
      <c r="AL53" s="33">
        <f>Programacion[[#This Row],[DEVENGADO JULIO]]+Programacion[[#This Row],[DEVENGADO AGOSTO]]+Programacion[[#This Row],[DEVENGADO SEPTIEMBRE]]</f>
        <v>2270</v>
      </c>
      <c r="AM53" s="33">
        <f>Programacion[[#This Row],[OCTUBRE]]+Programacion[[#This Row],[NOVIEMBRE]]+Programacion[[#This Row],[DICIEMBRE]]</f>
        <v>0</v>
      </c>
      <c r="AN53" s="21">
        <f>Programacion[[#This Row],[DEVENGADO OCTUBRE]]+Programacion[[#This Row],[DEVENGADO NOVIEMBRE]]+Programacion[[#This Row],[DEVENGADO DICIEMBRE]]</f>
        <v>0</v>
      </c>
      <c r="AO53" s="21">
        <f>Programacion[[#This Row],[ENERO]]+Programacion[[#This Row],[FEBRERO]]+Programacion[[#This Row],[MARZO]]+Programacion[[#This Row],[ABRIL]]+Programacion[[#This Row],[MAYO]]+Programacion[[#This Row],[JUNIO]]</f>
        <v>0</v>
      </c>
      <c r="AP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3" s="116"/>
    </row>
    <row r="54" spans="1:46" x14ac:dyDescent="0.25">
      <c r="A54" s="22" t="s">
        <v>45</v>
      </c>
      <c r="B54" s="23" t="s">
        <v>237</v>
      </c>
      <c r="C54" s="13" t="s">
        <v>81</v>
      </c>
      <c r="D54" s="13" t="s">
        <v>48</v>
      </c>
      <c r="E54" s="24">
        <v>39</v>
      </c>
      <c r="F54" s="25">
        <v>2.6</v>
      </c>
      <c r="G54" s="13" t="s">
        <v>227</v>
      </c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>
        <v>1073</v>
      </c>
      <c r="Y54" s="115"/>
      <c r="Z54" s="115"/>
      <c r="AA54" s="115"/>
      <c r="AB54" s="115"/>
      <c r="AC54" s="115"/>
      <c r="AD54" s="115"/>
      <c r="AE54" s="115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4" s="19">
        <f>Programacion[[#This Row],[ENERO]]+Programacion[[#This Row],[FEBRERO]]+Programacion[[#This Row],[MARZO]]</f>
        <v>0</v>
      </c>
      <c r="AH54" s="19">
        <f>Programacion[[#This Row],[DEVENGADO ENERO]]+Programacion[[#This Row],[DEVENGADO FEBRERO]]+Programacion[[#This Row],[DEVENGADO MARZO]]</f>
        <v>0</v>
      </c>
      <c r="AI54" s="19">
        <f>Programacion[[#This Row],[ABRIL]]+Programacion[[#This Row],[MAYO]]+Programacion[[#This Row],[JUNIO]]</f>
        <v>0</v>
      </c>
      <c r="AJ54" s="19">
        <f>Programacion[[#This Row],[DEVENGADO ABRIL]]+Programacion[[#This Row],[DEVENGADO MAYO]]+Programacion[[#This Row],[DEVENGADO JUNIO]]</f>
        <v>0</v>
      </c>
      <c r="AK54" s="19">
        <f>Programacion[[#This Row],[JULIO]]+Programacion[[#This Row],[AGOSTO]]+Programacion[[#This Row],[SEPTIEMBRE]]</f>
        <v>1073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6"/>
    </row>
    <row r="55" spans="1:46" ht="30" x14ac:dyDescent="0.25">
      <c r="A55" s="26" t="s">
        <v>82</v>
      </c>
      <c r="B55" s="27" t="s">
        <v>83</v>
      </c>
      <c r="C55" s="28" t="s">
        <v>65</v>
      </c>
      <c r="D55" s="28" t="s">
        <v>48</v>
      </c>
      <c r="E55" s="29">
        <v>39</v>
      </c>
      <c r="F55" s="30">
        <v>2.2999999999999998</v>
      </c>
      <c r="G55" s="28" t="s">
        <v>66</v>
      </c>
      <c r="H55" s="31"/>
      <c r="I55" s="31"/>
      <c r="J55" s="31"/>
      <c r="K55" s="31"/>
      <c r="L55" s="31">
        <v>15803</v>
      </c>
      <c r="M55" s="31">
        <v>15803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5" s="19">
        <f>Programacion[[#This Row],[ENERO]]+Programacion[[#This Row],[FEBRERO]]+Programacion[[#This Row],[MARZO]]</f>
        <v>15803</v>
      </c>
      <c r="AH55" s="19">
        <f>Programacion[[#This Row],[DEVENGADO ENERO]]+Programacion[[#This Row],[DEVENGADO FEBRERO]]+Programacion[[#This Row],[DEVENGADO MARZO]]</f>
        <v>15803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15803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5" s="116"/>
    </row>
    <row r="56" spans="1:46" ht="30" x14ac:dyDescent="0.25">
      <c r="A56" s="26" t="s">
        <v>82</v>
      </c>
      <c r="B56" s="27" t="s">
        <v>229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49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>
        <v>2000</v>
      </c>
      <c r="S56" s="31">
        <v>4000</v>
      </c>
      <c r="T56" s="31"/>
      <c r="U56" s="31"/>
      <c r="V56" s="31"/>
      <c r="W56" s="31"/>
      <c r="X56" s="31">
        <v>16600</v>
      </c>
      <c r="Y56" s="31"/>
      <c r="Z56" s="31"/>
      <c r="AA56" s="31"/>
      <c r="AB56" s="31">
        <v>2000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20600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2000</v>
      </c>
      <c r="AJ56" s="19">
        <f>Programacion[[#This Row],[DEVENGADO ABRIL]]+Programacion[[#This Row],[DEVENGADO MAYO]]+Programacion[[#This Row],[DEVENGADO JUNIO]]</f>
        <v>4000</v>
      </c>
      <c r="AK56" s="19">
        <f>Programacion[[#This Row],[JULIO]]+Programacion[[#This Row],[AGOSTO]]+Programacion[[#This Row],[SEPTIEMBRE]]</f>
        <v>16600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2000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2000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18600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56" s="116"/>
    </row>
    <row r="57" spans="1:46" x14ac:dyDescent="0.25">
      <c r="A57" s="26" t="s">
        <v>82</v>
      </c>
      <c r="B57" s="27" t="s">
        <v>277</v>
      </c>
      <c r="C57" s="28" t="s">
        <v>47</v>
      </c>
      <c r="D57" s="28" t="s">
        <v>48</v>
      </c>
      <c r="E57" s="29">
        <v>39</v>
      </c>
      <c r="F57" s="30">
        <v>2.2999999999999998</v>
      </c>
      <c r="G57" s="28" t="s">
        <v>51</v>
      </c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>
        <v>1080</v>
      </c>
      <c r="S57" s="31">
        <v>4360</v>
      </c>
      <c r="T57" s="31"/>
      <c r="U57" s="31"/>
      <c r="V57" s="31"/>
      <c r="W57" s="31">
        <v>1480</v>
      </c>
      <c r="X57" s="31">
        <v>1480.02</v>
      </c>
      <c r="Y57" s="31"/>
      <c r="Z57" s="31"/>
      <c r="AA57" s="31"/>
      <c r="AB57" s="31">
        <v>1080</v>
      </c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57" s="19">
        <f>Programacion[[#This Row],[ENERO]]+Programacion[[#This Row],[FEBRERO]]+Programacion[[#This Row],[MARZO]]</f>
        <v>0</v>
      </c>
      <c r="AH57" s="19">
        <f>Programacion[[#This Row],[DEVENGADO ENERO]]+Programacion[[#This Row],[DEVENGADO FEBRERO]]+Programacion[[#This Row],[DEVENGADO MARZO]]</f>
        <v>0</v>
      </c>
      <c r="AI57" s="19">
        <f>Programacion[[#This Row],[ABRIL]]+Programacion[[#This Row],[MAYO]]+Programacion[[#This Row],[JUNIO]]</f>
        <v>1080</v>
      </c>
      <c r="AJ57" s="19">
        <f>Programacion[[#This Row],[DEVENGADO ABRIL]]+Programacion[[#This Row],[DEVENGADO MAYO]]+Programacion[[#This Row],[DEVENGADO JUNIO]]</f>
        <v>4360</v>
      </c>
      <c r="AK57" s="19">
        <f>Programacion[[#This Row],[JULIO]]+Programacion[[#This Row],[AGOSTO]]+Programacion[[#This Row],[SEPTIEMBRE]]</f>
        <v>1480.02</v>
      </c>
      <c r="AL57" s="19">
        <f>Programacion[[#This Row],[DEVENGADO JULIO]]+Programacion[[#This Row],[DEVENGADO AGOSTO]]+Programacion[[#This Row],[DEVENGADO SEPTIEMBRE]]</f>
        <v>1480</v>
      </c>
      <c r="AM57" s="19">
        <f>Programacion[[#This Row],[OCTUBRE]]+Programacion[[#This Row],[NOVIEMBRE]]+Programacion[[#This Row],[DICIEMBRE]]</f>
        <v>1080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1080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57" s="116"/>
    </row>
    <row r="58" spans="1:46" x14ac:dyDescent="0.25">
      <c r="A58" s="26" t="s">
        <v>82</v>
      </c>
      <c r="B58" s="27" t="s">
        <v>278</v>
      </c>
      <c r="C58" s="28" t="s">
        <v>47</v>
      </c>
      <c r="D58" s="28" t="s">
        <v>48</v>
      </c>
      <c r="E58" s="29">
        <v>39</v>
      </c>
      <c r="F58" s="30">
        <v>2.2999999999999998</v>
      </c>
      <c r="G58" s="28" t="s">
        <v>86</v>
      </c>
      <c r="H58" s="31"/>
      <c r="I58" s="31"/>
      <c r="J58" s="31"/>
      <c r="K58" s="31"/>
      <c r="L58" s="31">
        <v>800</v>
      </c>
      <c r="M58" s="31">
        <v>800</v>
      </c>
      <c r="N58" s="31">
        <v>400</v>
      </c>
      <c r="O58" s="31">
        <v>400</v>
      </c>
      <c r="P58" s="31">
        <v>400</v>
      </c>
      <c r="Q58" s="31">
        <v>400</v>
      </c>
      <c r="R58" s="31">
        <v>400</v>
      </c>
      <c r="S58" s="31">
        <v>400</v>
      </c>
      <c r="T58" s="31">
        <v>400</v>
      </c>
      <c r="U58" s="31"/>
      <c r="V58" s="31">
        <v>400</v>
      </c>
      <c r="W58" s="31">
        <v>400</v>
      </c>
      <c r="X58" s="31">
        <v>400</v>
      </c>
      <c r="Y58" s="31"/>
      <c r="Z58" s="31">
        <v>400</v>
      </c>
      <c r="AA58" s="31"/>
      <c r="AB58" s="31">
        <v>400</v>
      </c>
      <c r="AC58" s="31"/>
      <c r="AD58" s="31">
        <v>400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8" s="19">
        <f>Programacion[[#This Row],[ENERO]]+Programacion[[#This Row],[FEBRERO]]+Programacion[[#This Row],[MARZO]]</f>
        <v>800</v>
      </c>
      <c r="AH58" s="19">
        <f>Programacion[[#This Row],[DEVENGADO ENERO]]+Programacion[[#This Row],[DEVENGADO FEBRERO]]+Programacion[[#This Row],[DEVENGADO MARZO]]</f>
        <v>800</v>
      </c>
      <c r="AI58" s="19">
        <f>Programacion[[#This Row],[ABRIL]]+Programacion[[#This Row],[MAYO]]+Programacion[[#This Row],[JUNIO]]</f>
        <v>1200</v>
      </c>
      <c r="AJ58" s="19">
        <f>Programacion[[#This Row],[DEVENGADO ABRIL]]+Programacion[[#This Row],[DEVENGADO MAYO]]+Programacion[[#This Row],[DEVENGADO JUNIO]]</f>
        <v>1200</v>
      </c>
      <c r="AK58" s="19">
        <f>Programacion[[#This Row],[JULIO]]+Programacion[[#This Row],[AGOSTO]]+Programacion[[#This Row],[SEPTIEMBRE]]</f>
        <v>1200</v>
      </c>
      <c r="AL58" s="19">
        <f>Programacion[[#This Row],[DEVENGADO JULIO]]+Programacion[[#This Row],[DEVENGADO AGOSTO]]+Programacion[[#This Row],[DEVENGADO SEPTIEMBRE]]</f>
        <v>400</v>
      </c>
      <c r="AM58" s="19">
        <f>Programacion[[#This Row],[OCTUBRE]]+Programacion[[#This Row],[NOVIEMBRE]]+Programacion[[#This Row],[DICIEMBRE]]</f>
        <v>1200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2000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58" s="116"/>
    </row>
    <row r="59" spans="1:46" x14ac:dyDescent="0.25">
      <c r="A59" s="26" t="s">
        <v>82</v>
      </c>
      <c r="B59" s="27" t="s">
        <v>279</v>
      </c>
      <c r="C59" s="28" t="s">
        <v>47</v>
      </c>
      <c r="D59" s="28" t="s">
        <v>48</v>
      </c>
      <c r="E59" s="29">
        <v>39</v>
      </c>
      <c r="F59" s="30">
        <v>2.2999999999999998</v>
      </c>
      <c r="G59" s="28" t="s">
        <v>51</v>
      </c>
      <c r="H59" s="31"/>
      <c r="I59" s="31"/>
      <c r="J59" s="31"/>
      <c r="K59" s="31"/>
      <c r="L59" s="31">
        <v>2000</v>
      </c>
      <c r="M59" s="31">
        <v>2000</v>
      </c>
      <c r="N59" s="31">
        <v>2000</v>
      </c>
      <c r="O59" s="31">
        <v>1600</v>
      </c>
      <c r="P59" s="31">
        <v>1200</v>
      </c>
      <c r="Q59" s="31">
        <v>1600</v>
      </c>
      <c r="R59" s="31">
        <v>1200</v>
      </c>
      <c r="S59" s="31">
        <v>1200</v>
      </c>
      <c r="T59" s="31">
        <v>1080</v>
      </c>
      <c r="U59" s="31"/>
      <c r="V59" s="31">
        <v>1200</v>
      </c>
      <c r="W59" s="31">
        <v>1200</v>
      </c>
      <c r="X59" s="31">
        <v>1080</v>
      </c>
      <c r="Y59" s="31"/>
      <c r="Z59" s="31">
        <v>1080</v>
      </c>
      <c r="AA59" s="31"/>
      <c r="AB59" s="31">
        <v>1080</v>
      </c>
      <c r="AC59" s="31"/>
      <c r="AD59" s="31">
        <v>1080</v>
      </c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59" s="19">
        <f>Programacion[[#This Row],[ENERO]]+Programacion[[#This Row],[FEBRERO]]+Programacion[[#This Row],[MARZO]]</f>
        <v>2000</v>
      </c>
      <c r="AH59" s="19">
        <f>Programacion[[#This Row],[DEVENGADO ENERO]]+Programacion[[#This Row],[DEVENGADO FEBRERO]]+Programacion[[#This Row],[DEVENGADO MARZO]]</f>
        <v>2000</v>
      </c>
      <c r="AI59" s="19">
        <f>Programacion[[#This Row],[ABRIL]]+Programacion[[#This Row],[MAYO]]+Programacion[[#This Row],[JUNIO]]</f>
        <v>4400</v>
      </c>
      <c r="AJ59" s="19">
        <f>Programacion[[#This Row],[DEVENGADO ABRIL]]+Programacion[[#This Row],[DEVENGADO MAYO]]+Programacion[[#This Row],[DEVENGADO JUNIO]]</f>
        <v>4400</v>
      </c>
      <c r="AK59" s="19">
        <f>Programacion[[#This Row],[JULIO]]+Programacion[[#This Row],[AGOSTO]]+Programacion[[#This Row],[SEPTIEMBRE]]</f>
        <v>3360</v>
      </c>
      <c r="AL59" s="19">
        <f>Programacion[[#This Row],[DEVENGADO JULIO]]+Programacion[[#This Row],[DEVENGADO AGOSTO]]+Programacion[[#This Row],[DEVENGADO SEPTIEMBRE]]</f>
        <v>1200</v>
      </c>
      <c r="AM59" s="19">
        <f>Programacion[[#This Row],[OCTUBRE]]+Programacion[[#This Row],[NOVIEMBRE]]+Programacion[[#This Row],[DICIEMBRE]]</f>
        <v>3240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6400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6600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7600</v>
      </c>
      <c r="AT59" s="116"/>
    </row>
    <row r="60" spans="1:46" x14ac:dyDescent="0.25">
      <c r="A60" s="26" t="s">
        <v>82</v>
      </c>
      <c r="B60" s="27" t="s">
        <v>280</v>
      </c>
      <c r="C60" s="28" t="s">
        <v>47</v>
      </c>
      <c r="D60" s="28" t="s">
        <v>48</v>
      </c>
      <c r="E60" s="29">
        <v>39</v>
      </c>
      <c r="F60" s="30">
        <v>2.2999999999999998</v>
      </c>
      <c r="G60" s="28" t="s">
        <v>87</v>
      </c>
      <c r="H60" s="31"/>
      <c r="I60" s="31"/>
      <c r="J60" s="31"/>
      <c r="K60" s="31"/>
      <c r="L60" s="31">
        <v>60</v>
      </c>
      <c r="M60" s="31">
        <v>60</v>
      </c>
      <c r="N60" s="31">
        <v>60</v>
      </c>
      <c r="O60" s="31">
        <v>28.6</v>
      </c>
      <c r="P60" s="31">
        <v>60</v>
      </c>
      <c r="Q60" s="31">
        <v>60</v>
      </c>
      <c r="R60" s="31">
        <v>60</v>
      </c>
      <c r="S60" s="31">
        <v>18.59</v>
      </c>
      <c r="T60" s="31">
        <v>50</v>
      </c>
      <c r="U60" s="31">
        <v>-27.7</v>
      </c>
      <c r="V60" s="31">
        <v>50</v>
      </c>
      <c r="W60" s="31">
        <v>50</v>
      </c>
      <c r="X60" s="31">
        <v>50</v>
      </c>
      <c r="Y60" s="31"/>
      <c r="Z60" s="31">
        <v>50</v>
      </c>
      <c r="AA60" s="31"/>
      <c r="AB60" s="31">
        <v>50</v>
      </c>
      <c r="AC60" s="31"/>
      <c r="AD60" s="31">
        <v>50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60" s="19">
        <f>Programacion[[#This Row],[ENERO]]+Programacion[[#This Row],[FEBRERO]]+Programacion[[#This Row],[MARZO]]</f>
        <v>60</v>
      </c>
      <c r="AH60" s="19">
        <f>Programacion[[#This Row],[DEVENGADO ENERO]]+Programacion[[#This Row],[DEVENGADO FEBRERO]]+Programacion[[#This Row],[DEVENGADO MARZO]]</f>
        <v>60</v>
      </c>
      <c r="AI60" s="19">
        <f>Programacion[[#This Row],[ABRIL]]+Programacion[[#This Row],[MAYO]]+Programacion[[#This Row],[JUNIO]]</f>
        <v>180</v>
      </c>
      <c r="AJ60" s="19">
        <f>Programacion[[#This Row],[DEVENGADO ABRIL]]+Programacion[[#This Row],[DEVENGADO MAYO]]+Programacion[[#This Row],[DEVENGADO JUNIO]]</f>
        <v>107.19</v>
      </c>
      <c r="AK60" s="19">
        <f>Programacion[[#This Row],[JULIO]]+Programacion[[#This Row],[AGOSTO]]+Programacion[[#This Row],[SEPTIEMBRE]]</f>
        <v>150</v>
      </c>
      <c r="AL60" s="19">
        <f>Programacion[[#This Row],[DEVENGADO JULIO]]+Programacion[[#This Row],[DEVENGADO AGOSTO]]+Programacion[[#This Row],[DEVENGADO SEPTIEMBRE]]</f>
        <v>22.3</v>
      </c>
      <c r="AM60" s="19">
        <f>Programacion[[#This Row],[OCTUBRE]]+Programacion[[#This Row],[NOVIEMBRE]]+Programacion[[#This Row],[DICIEMBRE]]</f>
        <v>150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240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22.3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189.49</v>
      </c>
      <c r="AT60" s="116"/>
    </row>
    <row r="61" spans="1:46" x14ac:dyDescent="0.25">
      <c r="A61" s="26" t="s">
        <v>82</v>
      </c>
      <c r="B61" s="27" t="s">
        <v>88</v>
      </c>
      <c r="C61" s="28" t="s">
        <v>81</v>
      </c>
      <c r="D61" s="28" t="s">
        <v>48</v>
      </c>
      <c r="E61" s="29">
        <v>39</v>
      </c>
      <c r="F61" s="30">
        <v>2.6</v>
      </c>
      <c r="G61" s="28" t="s">
        <v>89</v>
      </c>
      <c r="H61" s="31"/>
      <c r="I61" s="31"/>
      <c r="J61" s="31"/>
      <c r="K61" s="31"/>
      <c r="L61" s="31"/>
      <c r="M61" s="31"/>
      <c r="N61" s="31"/>
      <c r="O61" s="31"/>
      <c r="P61" s="31">
        <v>43460</v>
      </c>
      <c r="Q61" s="31">
        <v>43460</v>
      </c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61" s="19">
        <f>Programacion[[#This Row],[ENERO]]+Programacion[[#This Row],[FEBRERO]]+Programacion[[#This Row],[MARZO]]</f>
        <v>0</v>
      </c>
      <c r="AH61" s="19">
        <f>Programacion[[#This Row],[DEVENGADO ENERO]]+Programacion[[#This Row],[DEVENGADO FEBRERO]]+Programacion[[#This Row],[DEVENGADO MARZO]]</f>
        <v>0</v>
      </c>
      <c r="AI61" s="19">
        <f>Programacion[[#This Row],[ABRIL]]+Programacion[[#This Row],[MAYO]]+Programacion[[#This Row],[JUNIO]]</f>
        <v>43460</v>
      </c>
      <c r="AJ61" s="19">
        <f>Programacion[[#This Row],[DEVENGADO ABRIL]]+Programacion[[#This Row],[DEVENGADO MAYO]]+Programacion[[#This Row],[DEVENGADO JUNIO]]</f>
        <v>43460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43460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61" s="116"/>
    </row>
    <row r="62" spans="1:46" x14ac:dyDescent="0.25">
      <c r="A62" s="26" t="s">
        <v>82</v>
      </c>
      <c r="B62" s="27" t="s">
        <v>90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68</v>
      </c>
      <c r="H62" s="31"/>
      <c r="I62" s="31"/>
      <c r="J62" s="31"/>
      <c r="K62" s="31"/>
      <c r="L62" s="31">
        <v>28760</v>
      </c>
      <c r="M62" s="31">
        <v>28760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62" s="19">
        <f>Programacion[[#This Row],[ENERO]]+Programacion[[#This Row],[FEBRERO]]+Programacion[[#This Row],[MARZO]]</f>
        <v>28760</v>
      </c>
      <c r="AH62" s="19">
        <f>Programacion[[#This Row],[DEVENGADO ENERO]]+Programacion[[#This Row],[DEVENGADO FEBRERO]]+Programacion[[#This Row],[DEVENGADO MARZO]]</f>
        <v>28760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28760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62" s="116"/>
    </row>
    <row r="63" spans="1:46" x14ac:dyDescent="0.25">
      <c r="A63" s="26" t="s">
        <v>82</v>
      </c>
      <c r="B63" s="27" t="s">
        <v>91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19580</v>
      </c>
      <c r="M63" s="31">
        <v>19580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63" s="19">
        <f>Programacion[[#This Row],[ENERO]]+Programacion[[#This Row],[FEBRERO]]+Programacion[[#This Row],[MARZO]]</f>
        <v>19580</v>
      </c>
      <c r="AH63" s="19">
        <f>Programacion[[#This Row],[DEVENGADO ENERO]]+Programacion[[#This Row],[DEVENGADO FEBRERO]]+Programacion[[#This Row],[DEVENGADO MARZO]]</f>
        <v>19580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19580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63" s="116"/>
    </row>
    <row r="64" spans="1:46" ht="30" x14ac:dyDescent="0.25">
      <c r="A64" s="26" t="s">
        <v>82</v>
      </c>
      <c r="B64" s="27" t="s">
        <v>92</v>
      </c>
      <c r="C64" s="28" t="s">
        <v>65</v>
      </c>
      <c r="D64" s="28" t="s">
        <v>48</v>
      </c>
      <c r="E64" s="29">
        <v>39</v>
      </c>
      <c r="F64" s="30">
        <v>2.2999999999999998</v>
      </c>
      <c r="G64" s="28" t="s">
        <v>66</v>
      </c>
      <c r="H64" s="31"/>
      <c r="I64" s="31"/>
      <c r="J64" s="31"/>
      <c r="K64" s="31"/>
      <c r="L64" s="31">
        <v>8760</v>
      </c>
      <c r="M64" s="31">
        <v>8760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4" s="19">
        <f>Programacion[[#This Row],[ENERO]]+Programacion[[#This Row],[FEBRERO]]+Programacion[[#This Row],[MARZO]]</f>
        <v>8760</v>
      </c>
      <c r="AH64" s="19">
        <f>Programacion[[#This Row],[DEVENGADO ENERO]]+Programacion[[#This Row],[DEVENGADO FEBRERO]]+Programacion[[#This Row],[DEVENGADO MARZO]]</f>
        <v>8760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8760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4" s="116"/>
    </row>
    <row r="65" spans="1:46" ht="30" x14ac:dyDescent="0.25">
      <c r="A65" s="26" t="s">
        <v>82</v>
      </c>
      <c r="B65" s="27" t="s">
        <v>93</v>
      </c>
      <c r="C65" s="28" t="s">
        <v>65</v>
      </c>
      <c r="D65" s="28" t="s">
        <v>48</v>
      </c>
      <c r="E65" s="29">
        <v>39</v>
      </c>
      <c r="F65" s="30">
        <v>2.2999999999999998</v>
      </c>
      <c r="G65" s="28" t="s">
        <v>66</v>
      </c>
      <c r="H65" s="31"/>
      <c r="I65" s="31"/>
      <c r="J65" s="31"/>
      <c r="K65" s="31"/>
      <c r="L65" s="31"/>
      <c r="M65" s="31"/>
      <c r="N65" s="31">
        <v>42000</v>
      </c>
      <c r="O65" s="31">
        <v>42000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42000</v>
      </c>
      <c r="AJ65" s="19">
        <f>Programacion[[#This Row],[DEVENGADO ABRIL]]+Programacion[[#This Row],[DEVENGADO MAYO]]+Programacion[[#This Row],[DEVENGADO JUNIO]]</f>
        <v>42000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42000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5" s="116"/>
    </row>
    <row r="66" spans="1:46" ht="30" x14ac:dyDescent="0.25">
      <c r="A66" s="26" t="s">
        <v>82</v>
      </c>
      <c r="B66" s="27" t="s">
        <v>94</v>
      </c>
      <c r="C66" s="28" t="s">
        <v>65</v>
      </c>
      <c r="D66" s="28" t="s">
        <v>48</v>
      </c>
      <c r="E66" s="29">
        <v>39</v>
      </c>
      <c r="F66" s="30">
        <v>2.2999999999999998</v>
      </c>
      <c r="G66" s="28" t="s">
        <v>66</v>
      </c>
      <c r="H66" s="31"/>
      <c r="I66" s="31"/>
      <c r="J66" s="31"/>
      <c r="K66" s="31"/>
      <c r="L66" s="31">
        <v>16800</v>
      </c>
      <c r="M66" s="31">
        <v>16800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6" s="19">
        <f>Programacion[[#This Row],[ENERO]]+Programacion[[#This Row],[FEBRERO]]+Programacion[[#This Row],[MARZO]]</f>
        <v>16800</v>
      </c>
      <c r="AH66" s="19">
        <f>Programacion[[#This Row],[DEVENGADO ENERO]]+Programacion[[#This Row],[DEVENGADO FEBRERO]]+Programacion[[#This Row],[DEVENGADO MARZO]]</f>
        <v>16800</v>
      </c>
      <c r="AI66" s="19">
        <f>Programacion[[#This Row],[ABRIL]]+Programacion[[#This Row],[MAYO]]+Programacion[[#This Row],[JUNIO]]</f>
        <v>0</v>
      </c>
      <c r="AJ66" s="19">
        <f>Programacion[[#This Row],[DEVENGADO ABRIL]]+Programacion[[#This Row],[DEVENGADO MAYO]]+Programacion[[#This Row],[DEVENGADO JUNIO]]</f>
        <v>0</v>
      </c>
      <c r="AK66" s="19">
        <f>Programacion[[#This Row],[JULIO]]+Programacion[[#This Row],[AGOSTO]]+Programacion[[#This Row],[SEPTIEMBRE]]</f>
        <v>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16800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6" s="116"/>
    </row>
    <row r="67" spans="1:46" ht="30" x14ac:dyDescent="0.25">
      <c r="A67" s="26" t="s">
        <v>82</v>
      </c>
      <c r="B67" s="27" t="s">
        <v>95</v>
      </c>
      <c r="C67" s="28" t="s">
        <v>65</v>
      </c>
      <c r="D67" s="28" t="s">
        <v>48</v>
      </c>
      <c r="E67" s="29">
        <v>39</v>
      </c>
      <c r="F67" s="30">
        <v>2.2999999999999998</v>
      </c>
      <c r="G67" s="28" t="s">
        <v>66</v>
      </c>
      <c r="H67" s="31"/>
      <c r="I67" s="31"/>
      <c r="J67" s="31"/>
      <c r="K67" s="31"/>
      <c r="L67" s="31">
        <v>15000</v>
      </c>
      <c r="M67" s="31">
        <v>15000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7" s="19">
        <f>Programacion[[#This Row],[ENERO]]+Programacion[[#This Row],[FEBRERO]]+Programacion[[#This Row],[MARZO]]</f>
        <v>15000</v>
      </c>
      <c r="AH67" s="19">
        <f>Programacion[[#This Row],[DEVENGADO ENERO]]+Programacion[[#This Row],[DEVENGADO FEBRERO]]+Programacion[[#This Row],[DEVENGADO MARZO]]</f>
        <v>15000</v>
      </c>
      <c r="AI67" s="19">
        <f>Programacion[[#This Row],[ABRIL]]+Programacion[[#This Row],[MAYO]]+Programacion[[#This Row],[JUNIO]]</f>
        <v>0</v>
      </c>
      <c r="AJ67" s="19">
        <f>Programacion[[#This Row],[DEVENGADO ABRIL]]+Programacion[[#This Row],[DEVENGADO MAYO]]+Programacion[[#This Row],[DEVENGADO JUNIO]]</f>
        <v>0</v>
      </c>
      <c r="AK67" s="19">
        <f>Programacion[[#This Row],[JULIO]]+Programacion[[#This Row],[AGOSTO]]+Programacion[[#This Row],[SEPTIEMBRE]]</f>
        <v>0</v>
      </c>
      <c r="AL67" s="19">
        <f>Programacion[[#This Row],[DEVENGADO JULIO]]+Programacion[[#This Row],[DEVENGADO AGOSTO]]+Programacion[[#This Row],[DEVENGADO SEPTIEMBRE]]</f>
        <v>0</v>
      </c>
      <c r="AM67" s="19">
        <f>Programacion[[#This Row],[OCTUBRE]]+Programacion[[#This Row],[NOVIEMBRE]]+Programacion[[#This Row],[DICIEMBRE]]</f>
        <v>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15000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7" s="116"/>
    </row>
    <row r="68" spans="1:46" x14ac:dyDescent="0.25">
      <c r="A68" s="26" t="s">
        <v>82</v>
      </c>
      <c r="B68" s="27" t="s">
        <v>96</v>
      </c>
      <c r="C68" s="28" t="s">
        <v>97</v>
      </c>
      <c r="D68" s="28" t="s">
        <v>48</v>
      </c>
      <c r="E68" s="29">
        <v>78</v>
      </c>
      <c r="F68" s="30">
        <v>2.2999999999999998</v>
      </c>
      <c r="G68" s="28" t="s">
        <v>98</v>
      </c>
      <c r="H68" s="31"/>
      <c r="I68" s="31"/>
      <c r="J68" s="31">
        <v>1160</v>
      </c>
      <c r="K68" s="31">
        <v>1160</v>
      </c>
      <c r="L68" s="31">
        <v>580</v>
      </c>
      <c r="M68" s="31">
        <v>580</v>
      </c>
      <c r="N68" s="31">
        <v>580</v>
      </c>
      <c r="O68" s="31">
        <v>580</v>
      </c>
      <c r="P68" s="31">
        <v>580</v>
      </c>
      <c r="Q68" s="31">
        <v>580</v>
      </c>
      <c r="R68" s="31">
        <v>580</v>
      </c>
      <c r="S68" s="31">
        <v>580</v>
      </c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8" s="19">
        <f>Programacion[[#This Row],[ENERO]]+Programacion[[#This Row],[FEBRERO]]+Programacion[[#This Row],[MARZO]]</f>
        <v>1740</v>
      </c>
      <c r="AH68" s="19">
        <f>Programacion[[#This Row],[DEVENGADO ENERO]]+Programacion[[#This Row],[DEVENGADO FEBRERO]]+Programacion[[#This Row],[DEVENGADO MARZO]]</f>
        <v>1740</v>
      </c>
      <c r="AI68" s="19">
        <f>Programacion[[#This Row],[ABRIL]]+Programacion[[#This Row],[MAYO]]+Programacion[[#This Row],[JUNIO]]</f>
        <v>1740</v>
      </c>
      <c r="AJ68" s="19">
        <f>Programacion[[#This Row],[DEVENGADO ABRIL]]+Programacion[[#This Row],[DEVENGADO MAYO]]+Programacion[[#This Row],[DEVENGADO JUNIO]]</f>
        <v>1740</v>
      </c>
      <c r="AK68" s="19">
        <f>Programacion[[#This Row],[JULIO]]+Programacion[[#This Row],[AGOSTO]]+Programacion[[#This Row],[SEPTIEMBRE]]</f>
        <v>0</v>
      </c>
      <c r="AL68" s="19">
        <f>Programacion[[#This Row],[DEVENGADO JULIO]]+Programacion[[#This Row],[DEVENGADO AGOSTO]]+Programacion[[#This Row],[DEVENGADO SEPTIEMBRE]]</f>
        <v>0</v>
      </c>
      <c r="AM68" s="19">
        <f>Programacion[[#This Row],[OCTUBRE]]+Programacion[[#This Row],[NOVIEMBRE]]+Programacion[[#This Row],[DICIEMBRE]]</f>
        <v>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3480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8" s="116"/>
    </row>
    <row r="69" spans="1:46" x14ac:dyDescent="0.25">
      <c r="A69" s="26" t="s">
        <v>82</v>
      </c>
      <c r="B69" s="27" t="s">
        <v>99</v>
      </c>
      <c r="C69" s="28" t="s">
        <v>97</v>
      </c>
      <c r="D69" s="28" t="s">
        <v>48</v>
      </c>
      <c r="E69" s="29">
        <v>78</v>
      </c>
      <c r="F69" s="30">
        <v>2.2999999999999998</v>
      </c>
      <c r="G69" s="28" t="s">
        <v>98</v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>
        <v>580</v>
      </c>
      <c r="U69" s="31">
        <v>580</v>
      </c>
      <c r="V69" s="31">
        <v>580</v>
      </c>
      <c r="W69" s="31">
        <v>580</v>
      </c>
      <c r="X69" s="31">
        <v>580</v>
      </c>
      <c r="Y69" s="31"/>
      <c r="Z69" s="31">
        <v>580</v>
      </c>
      <c r="AA69" s="31"/>
      <c r="AB69" s="31">
        <v>580</v>
      </c>
      <c r="AC69" s="31"/>
      <c r="AD69" s="31">
        <v>580</v>
      </c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0</v>
      </c>
      <c r="AJ69" s="19">
        <f>Programacion[[#This Row],[DEVENGADO ABRIL]]+Programacion[[#This Row],[DEVENGADO MAYO]]+Programacion[[#This Row],[DEVENGADO JUNIO]]</f>
        <v>0</v>
      </c>
      <c r="AK69" s="19">
        <f>Programacion[[#This Row],[JULIO]]+Programacion[[#This Row],[AGOSTO]]+Programacion[[#This Row],[SEPTIEMBRE]]</f>
        <v>1740</v>
      </c>
      <c r="AL69" s="19">
        <f>Programacion[[#This Row],[DEVENGADO JULIO]]+Programacion[[#This Row],[DEVENGADO AGOSTO]]+Programacion[[#This Row],[DEVENGADO SEPTIEMBRE]]</f>
        <v>1160</v>
      </c>
      <c r="AM69" s="19">
        <f>Programacion[[#This Row],[OCTUBRE]]+Programacion[[#This Row],[NOVIEMBRE]]+Programacion[[#This Row],[DICIEMBRE]]</f>
        <v>1740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9" s="116"/>
    </row>
    <row r="70" spans="1:46" x14ac:dyDescent="0.25">
      <c r="A70" s="26" t="s">
        <v>82</v>
      </c>
      <c r="B70" s="27" t="s">
        <v>102</v>
      </c>
      <c r="C70" s="28" t="s">
        <v>56</v>
      </c>
      <c r="D70" s="28" t="s">
        <v>48</v>
      </c>
      <c r="E70" s="29">
        <v>3</v>
      </c>
      <c r="F70" s="30">
        <v>2.2999999999999998</v>
      </c>
      <c r="G70" s="28" t="s">
        <v>71</v>
      </c>
      <c r="H70" s="31"/>
      <c r="I70" s="31"/>
      <c r="J70" s="31">
        <v>5000</v>
      </c>
      <c r="K70" s="31">
        <v>5000</v>
      </c>
      <c r="L70" s="31">
        <v>5000</v>
      </c>
      <c r="M70" s="31">
        <v>5000</v>
      </c>
      <c r="N70" s="31">
        <v>5000</v>
      </c>
      <c r="O70" s="31">
        <v>5000</v>
      </c>
      <c r="P70" s="31">
        <v>5000</v>
      </c>
      <c r="Q70" s="31">
        <v>5000</v>
      </c>
      <c r="R70" s="31">
        <v>5000</v>
      </c>
      <c r="S70" s="31">
        <v>5000</v>
      </c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0" s="19">
        <f>Programacion[[#This Row],[ENERO]]+Programacion[[#This Row],[FEBRERO]]+Programacion[[#This Row],[MARZO]]</f>
        <v>10000</v>
      </c>
      <c r="AH70" s="19">
        <f>Programacion[[#This Row],[DEVENGADO ENERO]]+Programacion[[#This Row],[DEVENGADO FEBRERO]]+Programacion[[#This Row],[DEVENGADO MARZO]]</f>
        <v>10000</v>
      </c>
      <c r="AI70" s="19">
        <f>Programacion[[#This Row],[ABRIL]]+Programacion[[#This Row],[MAYO]]+Programacion[[#This Row],[JUNIO]]</f>
        <v>15000</v>
      </c>
      <c r="AJ70" s="19">
        <f>Programacion[[#This Row],[DEVENGADO ABRIL]]+Programacion[[#This Row],[DEVENGADO MAYO]]+Programacion[[#This Row],[DEVENGADO JUNIO]]</f>
        <v>15000</v>
      </c>
      <c r="AK70" s="19">
        <f>Programacion[[#This Row],[JULIO]]+Programacion[[#This Row],[AGOSTO]]+Programacion[[#This Row],[SEPTIEMBRE]]</f>
        <v>0</v>
      </c>
      <c r="AL70" s="19">
        <f>Programacion[[#This Row],[DEVENGADO JULIO]]+Programacion[[#This Row],[DEVENGADO AGOSTO]]+Programacion[[#This Row],[DEVENGADO SEPTIEMBRE]]</f>
        <v>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25000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0" s="116"/>
    </row>
    <row r="71" spans="1:46" x14ac:dyDescent="0.25">
      <c r="A71" s="26" t="s">
        <v>82</v>
      </c>
      <c r="B71" s="27" t="s">
        <v>103</v>
      </c>
      <c r="C71" s="28" t="s">
        <v>56</v>
      </c>
      <c r="D71" s="28" t="s">
        <v>48</v>
      </c>
      <c r="E71" s="29">
        <v>78</v>
      </c>
      <c r="F71" s="30">
        <v>2.2999999999999998</v>
      </c>
      <c r="G71" s="28" t="s">
        <v>71</v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>
        <v>3000</v>
      </c>
      <c r="U71" s="31">
        <v>3000</v>
      </c>
      <c r="V71" s="31">
        <v>6000</v>
      </c>
      <c r="W71" s="31">
        <v>6000</v>
      </c>
      <c r="X71" s="31">
        <v>6000</v>
      </c>
      <c r="Y71" s="31"/>
      <c r="Z71" s="31">
        <v>5000</v>
      </c>
      <c r="AA71" s="31"/>
      <c r="AB71" s="31">
        <v>5000</v>
      </c>
      <c r="AC71" s="31"/>
      <c r="AD71" s="31">
        <v>5000</v>
      </c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1" s="19">
        <f>Programacion[[#This Row],[ENERO]]+Programacion[[#This Row],[FEBRERO]]+Programacion[[#This Row],[MARZO]]</f>
        <v>0</v>
      </c>
      <c r="AH71" s="19">
        <f>Programacion[[#This Row],[DEVENGADO ENERO]]+Programacion[[#This Row],[DEVENGADO FEBRERO]]+Programacion[[#This Row],[DEVENGADO MARZO]]</f>
        <v>0</v>
      </c>
      <c r="AI71" s="19">
        <f>Programacion[[#This Row],[ABRIL]]+Programacion[[#This Row],[MAYO]]+Programacion[[#This Row],[JUNIO]]</f>
        <v>0</v>
      </c>
      <c r="AJ71" s="19">
        <f>Programacion[[#This Row],[DEVENGADO ABRIL]]+Programacion[[#This Row],[DEVENGADO MAYO]]+Programacion[[#This Row],[DEVENGADO JUNIO]]</f>
        <v>0</v>
      </c>
      <c r="AK71" s="19">
        <f>Programacion[[#This Row],[JULIO]]+Programacion[[#This Row],[AGOSTO]]+Programacion[[#This Row],[SEPTIEMBRE]]</f>
        <v>15000</v>
      </c>
      <c r="AL71" s="19">
        <f>Programacion[[#This Row],[DEVENGADO JULIO]]+Programacion[[#This Row],[DEVENGADO AGOSTO]]+Programacion[[#This Row],[DEVENGADO SEPTIEMBRE]]</f>
        <v>9000</v>
      </c>
      <c r="AM71" s="19">
        <f>Programacion[[#This Row],[OCTUBRE]]+Programacion[[#This Row],[NOVIEMBRE]]+Programacion[[#This Row],[DICIEMBRE]]</f>
        <v>15000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1" s="116"/>
    </row>
    <row r="72" spans="1:46" x14ac:dyDescent="0.25">
      <c r="A72" s="26" t="s">
        <v>82</v>
      </c>
      <c r="B72" s="27" t="s">
        <v>104</v>
      </c>
      <c r="C72" s="28" t="s">
        <v>56</v>
      </c>
      <c r="D72" s="28" t="s">
        <v>48</v>
      </c>
      <c r="E72" s="29">
        <v>3</v>
      </c>
      <c r="F72" s="30">
        <v>2.2999999999999998</v>
      </c>
      <c r="G72" s="28" t="s">
        <v>71</v>
      </c>
      <c r="H72" s="31"/>
      <c r="I72" s="31"/>
      <c r="J72" s="31">
        <v>5000</v>
      </c>
      <c r="K72" s="31">
        <v>5000</v>
      </c>
      <c r="L72" s="31">
        <v>5000</v>
      </c>
      <c r="M72" s="31">
        <v>5000</v>
      </c>
      <c r="N72" s="31">
        <v>5000</v>
      </c>
      <c r="O72" s="31">
        <v>5000</v>
      </c>
      <c r="P72" s="31">
        <v>5000</v>
      </c>
      <c r="Q72" s="31">
        <v>5000</v>
      </c>
      <c r="R72" s="31">
        <v>5000</v>
      </c>
      <c r="S72" s="31">
        <v>5000</v>
      </c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2" s="19">
        <f>Programacion[[#This Row],[ENERO]]+Programacion[[#This Row],[FEBRERO]]+Programacion[[#This Row],[MARZO]]</f>
        <v>10000</v>
      </c>
      <c r="AH72" s="19">
        <f>Programacion[[#This Row],[DEVENGADO ENERO]]+Programacion[[#This Row],[DEVENGADO FEBRERO]]+Programacion[[#This Row],[DEVENGADO MARZO]]</f>
        <v>10000</v>
      </c>
      <c r="AI72" s="19">
        <f>Programacion[[#This Row],[ABRIL]]+Programacion[[#This Row],[MAYO]]+Programacion[[#This Row],[JUNIO]]</f>
        <v>15000</v>
      </c>
      <c r="AJ72" s="19">
        <f>Programacion[[#This Row],[DEVENGADO ABRIL]]+Programacion[[#This Row],[DEVENGADO MAYO]]+Programacion[[#This Row],[DEVENGADO JUNIO]]</f>
        <v>15000</v>
      </c>
      <c r="AK72" s="19">
        <f>Programacion[[#This Row],[JULIO]]+Programacion[[#This Row],[AGOSTO]]+Programacion[[#This Row],[SEPTIEMBRE]]</f>
        <v>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25000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2" s="116"/>
    </row>
    <row r="73" spans="1:46" x14ac:dyDescent="0.25">
      <c r="A73" s="26" t="s">
        <v>82</v>
      </c>
      <c r="B73" s="27" t="s">
        <v>105</v>
      </c>
      <c r="C73" s="28" t="s">
        <v>56</v>
      </c>
      <c r="D73" s="28" t="s">
        <v>48</v>
      </c>
      <c r="E73" s="29">
        <v>78</v>
      </c>
      <c r="F73" s="30">
        <v>2.2999999999999998</v>
      </c>
      <c r="G73" s="28" t="s">
        <v>71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>
        <v>3000</v>
      </c>
      <c r="U73" s="31">
        <v>3000</v>
      </c>
      <c r="V73" s="31">
        <v>6000</v>
      </c>
      <c r="W73" s="31">
        <v>6000</v>
      </c>
      <c r="X73" s="31">
        <v>6000</v>
      </c>
      <c r="Y73" s="31"/>
      <c r="Z73" s="31">
        <v>5000</v>
      </c>
      <c r="AA73" s="31"/>
      <c r="AB73" s="31">
        <v>5000</v>
      </c>
      <c r="AC73" s="31"/>
      <c r="AD73" s="31">
        <v>5000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0</v>
      </c>
      <c r="AJ73" s="19">
        <f>Programacion[[#This Row],[DEVENGADO ABRIL]]+Programacion[[#This Row],[DEVENGADO MAYO]]+Programacion[[#This Row],[DEVENGADO JUNIO]]</f>
        <v>0</v>
      </c>
      <c r="AK73" s="19">
        <f>Programacion[[#This Row],[JULIO]]+Programacion[[#This Row],[AGOSTO]]+Programacion[[#This Row],[SEPTIEMBRE]]</f>
        <v>15000</v>
      </c>
      <c r="AL73" s="19">
        <f>Programacion[[#This Row],[DEVENGADO JULIO]]+Programacion[[#This Row],[DEVENGADO AGOSTO]]+Programacion[[#This Row],[DEVENGADO SEPTIEMBRE]]</f>
        <v>9000</v>
      </c>
      <c r="AM73" s="19">
        <f>Programacion[[#This Row],[OCTUBRE]]+Programacion[[#This Row],[NOVIEMBRE]]+Programacion[[#This Row],[DICIEMBRE]]</f>
        <v>15000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3" s="116"/>
    </row>
    <row r="74" spans="1:46" x14ac:dyDescent="0.25">
      <c r="A74" s="26" t="s">
        <v>82</v>
      </c>
      <c r="B74" s="32" t="s">
        <v>106</v>
      </c>
      <c r="C74" s="28" t="s">
        <v>56</v>
      </c>
      <c r="D74" s="28" t="s">
        <v>48</v>
      </c>
      <c r="E74" s="29">
        <v>3</v>
      </c>
      <c r="F74" s="30">
        <v>2.2999999999999998</v>
      </c>
      <c r="G74" s="28" t="s">
        <v>71</v>
      </c>
      <c r="H74" s="31"/>
      <c r="I74" s="31"/>
      <c r="J74" s="31"/>
      <c r="K74" s="31"/>
      <c r="L74" s="31">
        <v>5000</v>
      </c>
      <c r="M74" s="31">
        <v>5000</v>
      </c>
      <c r="N74" s="31">
        <v>5000</v>
      </c>
      <c r="O74" s="31">
        <v>5000</v>
      </c>
      <c r="P74" s="31">
        <v>5000</v>
      </c>
      <c r="Q74" s="31">
        <v>5000</v>
      </c>
      <c r="R74" s="31">
        <v>5000</v>
      </c>
      <c r="S74" s="31">
        <v>5000</v>
      </c>
      <c r="T74" s="31">
        <v>5000</v>
      </c>
      <c r="U74" s="31">
        <v>5000</v>
      </c>
      <c r="V74" s="31">
        <v>5000</v>
      </c>
      <c r="W74" s="31">
        <v>5000</v>
      </c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4" s="19">
        <f>Programacion[[#This Row],[ENERO]]+Programacion[[#This Row],[FEBRERO]]+Programacion[[#This Row],[MARZO]]</f>
        <v>5000</v>
      </c>
      <c r="AH74" s="19">
        <f>Programacion[[#This Row],[DEVENGADO ENERO]]+Programacion[[#This Row],[DEVENGADO FEBRERO]]+Programacion[[#This Row],[DEVENGADO MARZO]]</f>
        <v>5000</v>
      </c>
      <c r="AI74" s="19">
        <f>Programacion[[#This Row],[ABRIL]]+Programacion[[#This Row],[MAYO]]+Programacion[[#This Row],[JUNIO]]</f>
        <v>15000</v>
      </c>
      <c r="AJ74" s="19">
        <f>Programacion[[#This Row],[DEVENGADO ABRIL]]+Programacion[[#This Row],[DEVENGADO MAYO]]+Programacion[[#This Row],[DEVENGADO JUNIO]]</f>
        <v>15000</v>
      </c>
      <c r="AK74" s="19">
        <f>Programacion[[#This Row],[JULIO]]+Programacion[[#This Row],[AGOSTO]]+Programacion[[#This Row],[SEPTIEMBRE]]</f>
        <v>10000</v>
      </c>
      <c r="AL74" s="19">
        <f>Programacion[[#This Row],[DEVENGADO JULIO]]+Programacion[[#This Row],[DEVENGADO AGOSTO]]+Programacion[[#This Row],[DEVENGADO SEPTIEMBRE]]</f>
        <v>10000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20000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74" s="116"/>
    </row>
    <row r="75" spans="1:46" x14ac:dyDescent="0.25">
      <c r="A75" s="26" t="s">
        <v>82</v>
      </c>
      <c r="B75" s="32" t="s">
        <v>106</v>
      </c>
      <c r="C75" s="28" t="s">
        <v>56</v>
      </c>
      <c r="D75" s="28" t="s">
        <v>48</v>
      </c>
      <c r="E75" s="29">
        <v>3</v>
      </c>
      <c r="F75" s="30">
        <v>2.2999999999999998</v>
      </c>
      <c r="G75" s="28" t="s">
        <v>71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>
        <v>5000</v>
      </c>
      <c r="Y75" s="33"/>
      <c r="Z75" s="33">
        <v>5000</v>
      </c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5000</v>
      </c>
      <c r="AL75" s="33">
        <f>Programacion[[#This Row],[DEVENGADO JULIO]]+Programacion[[#This Row],[DEVENGADO AGOSTO]]+Programacion[[#This Row],[DEVENGADO SEPTIEMBRE]]</f>
        <v>0</v>
      </c>
      <c r="AM75" s="33">
        <f>Programacion[[#This Row],[OCTUBRE]]+Programacion[[#This Row],[NOVIEMBRE]]+Programacion[[#This Row],[DICIEMBRE]]</f>
        <v>5000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5" s="116"/>
    </row>
    <row r="76" spans="1:46" x14ac:dyDescent="0.25">
      <c r="A76" s="26" t="s">
        <v>82</v>
      </c>
      <c r="B76" s="32" t="s">
        <v>243</v>
      </c>
      <c r="C76" s="28" t="s">
        <v>56</v>
      </c>
      <c r="D76" s="28" t="s">
        <v>48</v>
      </c>
      <c r="E76" s="29">
        <v>78</v>
      </c>
      <c r="F76" s="30">
        <v>2.2999999999999998</v>
      </c>
      <c r="G76" s="28" t="s">
        <v>71</v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>
        <v>4000</v>
      </c>
      <c r="W76" s="31">
        <v>4000</v>
      </c>
      <c r="X76" s="31">
        <v>4000</v>
      </c>
      <c r="Y76" s="31"/>
      <c r="Z76" s="31">
        <v>4000</v>
      </c>
      <c r="AA76" s="31"/>
      <c r="AB76" s="31">
        <v>4000</v>
      </c>
      <c r="AC76" s="31"/>
      <c r="AD76" s="31">
        <v>4000</v>
      </c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0</v>
      </c>
      <c r="AJ76" s="19">
        <f>Programacion[[#This Row],[DEVENGADO ABRIL]]+Programacion[[#This Row],[DEVENGADO MAYO]]+Programacion[[#This Row],[DEVENGADO JUNIO]]</f>
        <v>0</v>
      </c>
      <c r="AK76" s="19">
        <f>Programacion[[#This Row],[JULIO]]+Programacion[[#This Row],[AGOSTO]]+Programacion[[#This Row],[SEPTIEMBRE]]</f>
        <v>8000</v>
      </c>
      <c r="AL76" s="19">
        <f>Programacion[[#This Row],[DEVENGADO JULIO]]+Programacion[[#This Row],[DEVENGADO AGOSTO]]+Programacion[[#This Row],[DEVENGADO SEPTIEMBRE]]</f>
        <v>4000</v>
      </c>
      <c r="AM76" s="19">
        <f>Programacion[[#This Row],[OCTUBRE]]+Programacion[[#This Row],[NOVIEMBRE]]+Programacion[[#This Row],[DICIEMBRE]]</f>
        <v>12000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76" s="116"/>
    </row>
    <row r="77" spans="1:46" ht="30" x14ac:dyDescent="0.25">
      <c r="A77" s="101" t="s">
        <v>82</v>
      </c>
      <c r="B77" s="102" t="s">
        <v>238</v>
      </c>
      <c r="C77" s="28" t="s">
        <v>107</v>
      </c>
      <c r="D77" s="103" t="s">
        <v>48</v>
      </c>
      <c r="E77" s="104">
        <v>78</v>
      </c>
      <c r="F77" s="105">
        <v>2.2999999999999998</v>
      </c>
      <c r="G77" s="103" t="s">
        <v>123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>
        <v>660</v>
      </c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0</v>
      </c>
      <c r="AM77" s="33">
        <f>Programacion[[#This Row],[OCTUBRE]]+Programacion[[#This Row],[NOVIEMBRE]]+Programacion[[#This Row],[DICIEMBRE]]</f>
        <v>660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7" s="116"/>
    </row>
    <row r="78" spans="1:46" ht="30" x14ac:dyDescent="0.25">
      <c r="A78" s="26" t="s">
        <v>82</v>
      </c>
      <c r="B78" s="32" t="s">
        <v>107</v>
      </c>
      <c r="C78" s="28" t="s">
        <v>107</v>
      </c>
      <c r="D78" s="28" t="s">
        <v>48</v>
      </c>
      <c r="E78" s="29">
        <v>78</v>
      </c>
      <c r="F78" s="30">
        <v>2.2999999999999998</v>
      </c>
      <c r="G78" s="28" t="s">
        <v>108</v>
      </c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>
        <v>602.66999999999996</v>
      </c>
      <c r="U78" s="31">
        <v>602.66999999999996</v>
      </c>
      <c r="V78" s="31">
        <v>1130</v>
      </c>
      <c r="W78" s="31">
        <v>1054.67</v>
      </c>
      <c r="X78" s="31">
        <v>1130</v>
      </c>
      <c r="Y78" s="31"/>
      <c r="Z78" s="31">
        <v>1130</v>
      </c>
      <c r="AA78" s="31"/>
      <c r="AB78" s="31">
        <v>1130</v>
      </c>
      <c r="AC78" s="31"/>
      <c r="AD78" s="31">
        <v>1130</v>
      </c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0</v>
      </c>
      <c r="AJ78" s="19">
        <f>Programacion[[#This Row],[DEVENGADO ABRIL]]+Programacion[[#This Row],[DEVENGADO MAYO]]+Programacion[[#This Row],[DEVENGADO JUNIO]]</f>
        <v>0</v>
      </c>
      <c r="AK78" s="19">
        <f>Programacion[[#This Row],[JULIO]]+Programacion[[#This Row],[AGOSTO]]+Programacion[[#This Row],[SEPTIEMBRE]]</f>
        <v>2862.67</v>
      </c>
      <c r="AL78" s="19">
        <f>Programacion[[#This Row],[DEVENGADO JULIO]]+Programacion[[#This Row],[DEVENGADO AGOSTO]]+Programacion[[#This Row],[DEVENGADO SEPTIEMBRE]]</f>
        <v>1657.3400000000001</v>
      </c>
      <c r="AM78" s="19">
        <f>Programacion[[#This Row],[OCTUBRE]]+Programacion[[#This Row],[NOVIEMBRE]]+Programacion[[#This Row],[DICIEMBRE]]</f>
        <v>3390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78" s="116"/>
    </row>
    <row r="79" spans="1:46" x14ac:dyDescent="0.25">
      <c r="A79" s="26" t="s">
        <v>82</v>
      </c>
      <c r="B79" s="32" t="s">
        <v>109</v>
      </c>
      <c r="C79" s="28" t="s">
        <v>56</v>
      </c>
      <c r="D79" s="28" t="s">
        <v>48</v>
      </c>
      <c r="E79" s="29">
        <v>39</v>
      </c>
      <c r="F79" s="30">
        <v>2.2999999999999998</v>
      </c>
      <c r="G79" s="28" t="s">
        <v>71</v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>
        <v>1130</v>
      </c>
      <c r="S79" s="31"/>
      <c r="T79" s="31"/>
      <c r="U79" s="31">
        <v>1130</v>
      </c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1130</v>
      </c>
      <c r="AJ79" s="33">
        <f>Programacion[[#This Row],[DEVENGADO ABRIL]]+Programacion[[#This Row],[DEVENGADO MAYO]]+Programacion[[#This Row],[DEVENGADO JUNIO]]</f>
        <v>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1130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1130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9" s="116"/>
    </row>
    <row r="80" spans="1:46" ht="30" x14ac:dyDescent="0.25">
      <c r="A80" s="26" t="s">
        <v>82</v>
      </c>
      <c r="B80" s="114" t="s">
        <v>228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49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1">
        <v>1550</v>
      </c>
      <c r="S80" s="33"/>
      <c r="T80" s="33"/>
      <c r="U80" s="33">
        <v>1123.99</v>
      </c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1550</v>
      </c>
      <c r="AJ80" s="33">
        <f>Programacion[[#This Row],[DEVENGADO ABRIL]]+Programacion[[#This Row],[DEVENGADO MAYO]]+Programacion[[#This Row],[DEVENGADO JUNIO]]</f>
        <v>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1123.99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1550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80" s="116"/>
    </row>
    <row r="81" spans="1:46" x14ac:dyDescent="0.25">
      <c r="A81" s="26" t="s">
        <v>82</v>
      </c>
      <c r="B81" s="114" t="s">
        <v>281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51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1">
        <v>3280</v>
      </c>
      <c r="S81" s="33"/>
      <c r="T81" s="33"/>
      <c r="U81" s="33">
        <v>2156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3280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0</v>
      </c>
      <c r="AL81" s="33">
        <f>Programacion[[#This Row],[DEVENGADO JULIO]]+Programacion[[#This Row],[DEVENGADO AGOSTO]]+Programacion[[#This Row],[DEVENGADO SEPTIEMBRE]]</f>
        <v>2156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3280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81" s="116"/>
    </row>
    <row r="82" spans="1:46" x14ac:dyDescent="0.25">
      <c r="A82" s="26" t="s">
        <v>82</v>
      </c>
      <c r="B82" s="114" t="s">
        <v>282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231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1">
        <v>829</v>
      </c>
      <c r="S82" s="33">
        <v>829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829</v>
      </c>
      <c r="AJ82" s="33">
        <f>Programacion[[#This Row],[DEVENGADO ABRIL]]+Programacion[[#This Row],[DEVENGADO MAYO]]+Programacion[[#This Row],[DEVENGADO JUNIO]]</f>
        <v>829</v>
      </c>
      <c r="AK82" s="33">
        <f>Programacion[[#This Row],[JULIO]]+Programacion[[#This Row],[AGOSTO]]+Programacion[[#This Row],[SEPTIEMBRE]]</f>
        <v>0</v>
      </c>
      <c r="AL82" s="33">
        <f>Programacion[[#This Row],[DEVENGADO JULIO]]+Programacion[[#This Row],[DEVENGADO AGOSTO]]+Programacion[[#This Row],[DEVENGADO SEPTIEMBRE]]</f>
        <v>0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829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82" s="116"/>
    </row>
    <row r="83" spans="1:46" x14ac:dyDescent="0.25">
      <c r="A83" s="26" t="s">
        <v>82</v>
      </c>
      <c r="B83" s="114" t="s">
        <v>283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232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1">
        <v>3500</v>
      </c>
      <c r="S83" s="33">
        <v>3500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3500</v>
      </c>
      <c r="AJ83" s="33">
        <f>Programacion[[#This Row],[DEVENGADO ABRIL]]+Programacion[[#This Row],[DEVENGADO MAYO]]+Programacion[[#This Row],[DEVENGADO JUNIO]]</f>
        <v>3500</v>
      </c>
      <c r="AK83" s="33">
        <f>Programacion[[#This Row],[JULIO]]+Programacion[[#This Row],[AGOSTO]]+Programacion[[#This Row],[SEPTIEMBRE]]</f>
        <v>0</v>
      </c>
      <c r="AL83" s="33">
        <f>Programacion[[#This Row],[DEVENGADO JULIO]]+Programacion[[#This Row],[DEVENGADO AGOSTO]]+Programacion[[#This Row],[DEVENGADO SEPTIEMBRE]]</f>
        <v>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3500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83" s="116"/>
    </row>
    <row r="84" spans="1:46" x14ac:dyDescent="0.25">
      <c r="A84" s="26" t="s">
        <v>82</v>
      </c>
      <c r="B84" s="114" t="s">
        <v>278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86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>
        <v>400</v>
      </c>
      <c r="U84" s="33">
        <v>400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400</v>
      </c>
      <c r="AL84" s="33">
        <f>Programacion[[#This Row],[DEVENGADO JULIO]]+Programacion[[#This Row],[DEVENGADO AGOSTO]]+Programacion[[#This Row],[DEVENGADO SEPTIEMBRE]]</f>
        <v>400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4" s="116"/>
    </row>
    <row r="85" spans="1:46" x14ac:dyDescent="0.25">
      <c r="A85" s="26" t="s">
        <v>82</v>
      </c>
      <c r="B85" s="114" t="s">
        <v>284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87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>
        <v>50</v>
      </c>
      <c r="U85" s="33">
        <v>14.3</v>
      </c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50</v>
      </c>
      <c r="AL85" s="33">
        <f>Programacion[[#This Row],[DEVENGADO JULIO]]+Programacion[[#This Row],[DEVENGADO AGOSTO]]+Programacion[[#This Row],[DEVENGADO SEPTIEMBRE]]</f>
        <v>14.3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5" s="116"/>
    </row>
    <row r="86" spans="1:46" ht="30" x14ac:dyDescent="0.25">
      <c r="A86" s="26" t="s">
        <v>82</v>
      </c>
      <c r="B86" s="114" t="s">
        <v>229</v>
      </c>
      <c r="C86" s="103" t="s">
        <v>47</v>
      </c>
      <c r="D86" s="28" t="s">
        <v>48</v>
      </c>
      <c r="E86" s="104">
        <v>78</v>
      </c>
      <c r="F86" s="30">
        <v>2.2999999999999998</v>
      </c>
      <c r="G86" s="28" t="s">
        <v>49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1">
        <v>3000</v>
      </c>
      <c r="U86" s="33">
        <v>3000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3000</v>
      </c>
      <c r="AL86" s="33">
        <f>Programacion[[#This Row],[DEVENGADO JULIO]]+Programacion[[#This Row],[DEVENGADO AGOSTO]]+Programacion[[#This Row],[DEVENGADO SEPTIEMBRE]]</f>
        <v>3000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6" s="116"/>
    </row>
    <row r="87" spans="1:46" x14ac:dyDescent="0.25">
      <c r="A87" s="26" t="s">
        <v>82</v>
      </c>
      <c r="B87" s="114" t="s">
        <v>285</v>
      </c>
      <c r="C87" s="103" t="s">
        <v>47</v>
      </c>
      <c r="D87" s="28" t="s">
        <v>48</v>
      </c>
      <c r="E87" s="104">
        <v>78</v>
      </c>
      <c r="F87" s="30">
        <v>2.2999999999999998</v>
      </c>
      <c r="G87" s="28" t="s">
        <v>51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1">
        <v>2064</v>
      </c>
      <c r="U87" s="33">
        <v>2064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2064</v>
      </c>
      <c r="AL87" s="33">
        <f>Programacion[[#This Row],[DEVENGADO JULIO]]+Programacion[[#This Row],[DEVENGADO AGOSTO]]+Programacion[[#This Row],[DEVENGADO SEPTIEMBRE]]</f>
        <v>2064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87" s="116"/>
    </row>
    <row r="88" spans="1:46" ht="30" x14ac:dyDescent="0.25">
      <c r="A88" s="26" t="s">
        <v>82</v>
      </c>
      <c r="B88" s="114" t="s">
        <v>286</v>
      </c>
      <c r="C88" s="103" t="s">
        <v>47</v>
      </c>
      <c r="D88" s="28" t="s">
        <v>48</v>
      </c>
      <c r="E88" s="104">
        <v>78</v>
      </c>
      <c r="F88" s="30">
        <v>2.2999999999999998</v>
      </c>
      <c r="G88" s="28" t="s">
        <v>49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>
        <v>3000</v>
      </c>
      <c r="W88" s="33">
        <v>1914.8</v>
      </c>
      <c r="X88" s="33"/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3000</v>
      </c>
      <c r="AL88" s="33">
        <f>Programacion[[#This Row],[DEVENGADO JULIO]]+Programacion[[#This Row],[DEVENGADO AGOSTO]]+Programacion[[#This Row],[DEVENGADO SEPTIEMBRE]]</f>
        <v>1914.8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88" s="116"/>
    </row>
    <row r="89" spans="1:46" x14ac:dyDescent="0.25">
      <c r="A89" s="26" t="s">
        <v>82</v>
      </c>
      <c r="B89" s="114" t="s">
        <v>287</v>
      </c>
      <c r="C89" s="103" t="s">
        <v>47</v>
      </c>
      <c r="D89" s="28" t="s">
        <v>48</v>
      </c>
      <c r="E89" s="104">
        <v>78</v>
      </c>
      <c r="F89" s="30">
        <v>2.2999999999999998</v>
      </c>
      <c r="G89" s="28" t="s">
        <v>51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>
        <v>2936</v>
      </c>
      <c r="W89" s="33">
        <v>2080</v>
      </c>
      <c r="X89" s="33"/>
      <c r="Y89" s="33"/>
      <c r="Z89" s="33"/>
      <c r="AA89" s="33"/>
      <c r="AB89" s="33"/>
      <c r="AC89" s="33"/>
      <c r="AD89" s="33"/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2936</v>
      </c>
      <c r="AL89" s="33">
        <f>Programacion[[#This Row],[DEVENGADO JULIO]]+Programacion[[#This Row],[DEVENGADO AGOSTO]]+Programacion[[#This Row],[DEVENGADO SEPTIEMBRE]]</f>
        <v>2080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89" s="116"/>
    </row>
    <row r="90" spans="1:46" ht="30" x14ac:dyDescent="0.25">
      <c r="A90" s="26" t="s">
        <v>82</v>
      </c>
      <c r="B90" s="114" t="s">
        <v>230</v>
      </c>
      <c r="C90" s="103" t="s">
        <v>65</v>
      </c>
      <c r="D90" s="28" t="s">
        <v>48</v>
      </c>
      <c r="E90" s="104">
        <v>78</v>
      </c>
      <c r="F90" s="30">
        <v>2.2999999999999998</v>
      </c>
      <c r="G90" s="28" t="s">
        <v>66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1">
        <v>14000</v>
      </c>
      <c r="U90" s="33">
        <v>14000</v>
      </c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0</v>
      </c>
      <c r="AJ90" s="33">
        <f>Programacion[[#This Row],[DEVENGADO ABRIL]]+Programacion[[#This Row],[DEVENGADO MAYO]]+Programacion[[#This Row],[DEVENGADO JUNIO]]</f>
        <v>0</v>
      </c>
      <c r="AK90" s="33">
        <f>Programacion[[#This Row],[JULIO]]+Programacion[[#This Row],[AGOSTO]]+Programacion[[#This Row],[SEPTIEMBRE]]</f>
        <v>14000</v>
      </c>
      <c r="AL90" s="33">
        <f>Programacion[[#This Row],[DEVENGADO JULIO]]+Programacion[[#This Row],[DEVENGADO AGOSTO]]+Programacion[[#This Row],[DEVENGADO SEPTIEMBRE]]</f>
        <v>14000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90" s="116"/>
    </row>
    <row r="91" spans="1:46" x14ac:dyDescent="0.25">
      <c r="A91" s="125" t="s">
        <v>82</v>
      </c>
      <c r="B91" s="125" t="s">
        <v>263</v>
      </c>
      <c r="C91" s="125" t="s">
        <v>262</v>
      </c>
      <c r="D91" s="126" t="s">
        <v>48</v>
      </c>
      <c r="E91" s="127">
        <v>78</v>
      </c>
      <c r="F91" s="127">
        <v>26</v>
      </c>
      <c r="G91" s="126" t="s">
        <v>264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>
        <v>8000</v>
      </c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8000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16"/>
    </row>
    <row r="92" spans="1:46" ht="30" x14ac:dyDescent="0.25">
      <c r="A92" s="26" t="s">
        <v>82</v>
      </c>
      <c r="B92" s="114" t="s">
        <v>100</v>
      </c>
      <c r="C92" s="103" t="s">
        <v>81</v>
      </c>
      <c r="D92" s="28" t="s">
        <v>48</v>
      </c>
      <c r="E92" s="104">
        <v>78</v>
      </c>
      <c r="F92" s="105">
        <v>2.6</v>
      </c>
      <c r="G92" s="28" t="s">
        <v>101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1">
        <v>13865</v>
      </c>
      <c r="U92" s="33">
        <v>13865</v>
      </c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0</v>
      </c>
      <c r="AJ92" s="33">
        <f>Programacion[[#This Row],[DEVENGADO ABRIL]]+Programacion[[#This Row],[DEVENGADO MAYO]]+Programacion[[#This Row],[DEVENGADO JUNIO]]</f>
        <v>0</v>
      </c>
      <c r="AK92" s="33">
        <f>Programacion[[#This Row],[JULIO]]+Programacion[[#This Row],[AGOSTO]]+Programacion[[#This Row],[SEPTIEMBRE]]</f>
        <v>13865</v>
      </c>
      <c r="AL92" s="33">
        <f>Programacion[[#This Row],[DEVENGADO JULIO]]+Programacion[[#This Row],[DEVENGADO AGOSTO]]+Programacion[[#This Row],[DEVENGADO SEPTIEMBRE]]</f>
        <v>13865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92" s="116"/>
    </row>
    <row r="93" spans="1:46" x14ac:dyDescent="0.25">
      <c r="A93" s="34" t="s">
        <v>110</v>
      </c>
      <c r="B93" s="35" t="s">
        <v>111</v>
      </c>
      <c r="C93" s="36" t="s">
        <v>47</v>
      </c>
      <c r="D93" s="36" t="s">
        <v>48</v>
      </c>
      <c r="E93" s="37">
        <v>39</v>
      </c>
      <c r="F93" s="38">
        <v>2.2999999999999998</v>
      </c>
      <c r="G93" s="36" t="s">
        <v>49</v>
      </c>
      <c r="H93" s="39"/>
      <c r="I93" s="39"/>
      <c r="J93" s="39"/>
      <c r="K93" s="39"/>
      <c r="L93" s="39"/>
      <c r="M93" s="39"/>
      <c r="N93" s="39">
        <v>1220</v>
      </c>
      <c r="O93" s="39">
        <v>1047.3399999999999</v>
      </c>
      <c r="P93" s="39">
        <v>2000</v>
      </c>
      <c r="Q93" s="39">
        <v>1344.22</v>
      </c>
      <c r="R93" s="39">
        <v>2000</v>
      </c>
      <c r="S93" s="39">
        <v>1369.12</v>
      </c>
      <c r="T93" s="39">
        <v>2000</v>
      </c>
      <c r="U93" s="39">
        <v>2000</v>
      </c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5220</v>
      </c>
      <c r="AJ93" s="19">
        <f>Programacion[[#This Row],[DEVENGADO ABRIL]]+Programacion[[#This Row],[DEVENGADO MAYO]]+Programacion[[#This Row],[DEVENGADO JUNIO]]</f>
        <v>3760.68</v>
      </c>
      <c r="AK93" s="19">
        <f>Programacion[[#This Row],[JULIO]]+Programacion[[#This Row],[AGOSTO]]+Programacion[[#This Row],[SEPTIEMBRE]]</f>
        <v>2000</v>
      </c>
      <c r="AL93" s="19">
        <f>Programacion[[#This Row],[DEVENGADO JULIO]]+Programacion[[#This Row],[DEVENGADO AGOSTO]]+Programacion[[#This Row],[DEVENGADO SEPTIEMBRE]]</f>
        <v>2000</v>
      </c>
      <c r="AM93" s="19">
        <f>Programacion[[#This Row],[OCTUBRE]]+Programacion[[#This Row],[NOVIEMBRE]]+Programacion[[#This Row],[DICIEMBRE]]</f>
        <v>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5220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93" s="116"/>
    </row>
    <row r="94" spans="1:46" x14ac:dyDescent="0.25">
      <c r="A94" s="40" t="s">
        <v>110</v>
      </c>
      <c r="B94" s="35" t="s">
        <v>239</v>
      </c>
      <c r="C94" s="36" t="s">
        <v>47</v>
      </c>
      <c r="D94" s="36" t="s">
        <v>48</v>
      </c>
      <c r="E94" s="37">
        <v>39</v>
      </c>
      <c r="F94" s="38">
        <v>2.2999999999999998</v>
      </c>
      <c r="G94" s="36" t="s">
        <v>51</v>
      </c>
      <c r="H94" s="39"/>
      <c r="I94" s="39"/>
      <c r="J94" s="39"/>
      <c r="K94" s="39"/>
      <c r="L94" s="39"/>
      <c r="M94" s="39"/>
      <c r="N94" s="39">
        <v>1340</v>
      </c>
      <c r="O94" s="39">
        <v>513</v>
      </c>
      <c r="P94" s="39">
        <v>1080</v>
      </c>
      <c r="Q94" s="39">
        <v>1982.4</v>
      </c>
      <c r="R94" s="39">
        <v>1080</v>
      </c>
      <c r="S94" s="39">
        <v>1080</v>
      </c>
      <c r="T94" s="39">
        <v>1080</v>
      </c>
      <c r="U94" s="39">
        <v>540</v>
      </c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3500</v>
      </c>
      <c r="AJ94" s="19">
        <f>Programacion[[#This Row],[DEVENGADO ABRIL]]+Programacion[[#This Row],[DEVENGADO MAYO]]+Programacion[[#This Row],[DEVENGADO JUNIO]]</f>
        <v>3575.4</v>
      </c>
      <c r="AK94" s="19">
        <f>Programacion[[#This Row],[JULIO]]+Programacion[[#This Row],[AGOSTO]]+Programacion[[#This Row],[SEPTIEMBRE]]</f>
        <v>1080</v>
      </c>
      <c r="AL94" s="19">
        <f>Programacion[[#This Row],[DEVENGADO JULIO]]+Programacion[[#This Row],[DEVENGADO AGOSTO]]+Programacion[[#This Row],[DEVENGADO SEPTIEMBRE]]</f>
        <v>540</v>
      </c>
      <c r="AM94" s="19">
        <f>Programacion[[#This Row],[OCTUBRE]]+Programacion[[#This Row],[NOVIEMBRE]]+Programacion[[#This Row],[DICIEMBRE]]</f>
        <v>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3500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4" s="116"/>
    </row>
    <row r="95" spans="1:46" x14ac:dyDescent="0.25">
      <c r="A95" s="34" t="s">
        <v>110</v>
      </c>
      <c r="B95" s="35" t="s">
        <v>240</v>
      </c>
      <c r="C95" s="36" t="s">
        <v>47</v>
      </c>
      <c r="D95" s="36" t="s">
        <v>48</v>
      </c>
      <c r="E95" s="37">
        <v>39</v>
      </c>
      <c r="F95" s="38">
        <v>2.2999999999999998</v>
      </c>
      <c r="G95" s="36" t="s">
        <v>49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9">
        <v>2000</v>
      </c>
      <c r="S95" s="33">
        <v>2000</v>
      </c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2000</v>
      </c>
      <c r="AJ95" s="33">
        <f>Programacion[[#This Row],[DEVENGADO ABRIL]]+Programacion[[#This Row],[DEVENGADO MAYO]]+Programacion[[#This Row],[DEVENGADO JUNIO]]</f>
        <v>2000</v>
      </c>
      <c r="AK95" s="33">
        <f>Programacion[[#This Row],[JULIO]]+Programacion[[#This Row],[AGOSTO]]+Programacion[[#This Row],[SEPTIEMBRE]]</f>
        <v>0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2000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5" s="116"/>
    </row>
    <row r="96" spans="1:46" x14ac:dyDescent="0.25">
      <c r="A96" s="40" t="s">
        <v>110</v>
      </c>
      <c r="B96" s="35" t="s">
        <v>241</v>
      </c>
      <c r="C96" s="36" t="s">
        <v>47</v>
      </c>
      <c r="D96" s="36" t="s">
        <v>48</v>
      </c>
      <c r="E96" s="37">
        <v>39</v>
      </c>
      <c r="F96" s="38">
        <v>2.2999999999999998</v>
      </c>
      <c r="G96" s="36" t="s">
        <v>51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9">
        <v>1080</v>
      </c>
      <c r="S96" s="33">
        <v>1080</v>
      </c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1080</v>
      </c>
      <c r="AJ96" s="33">
        <f>Programacion[[#This Row],[DEVENGADO ABRIL]]+Programacion[[#This Row],[DEVENGADO MAYO]]+Programacion[[#This Row],[DEVENGADO JUNIO]]</f>
        <v>1080</v>
      </c>
      <c r="AK96" s="33">
        <f>Programacion[[#This Row],[JULIO]]+Programacion[[#This Row],[AGOSTO]]+Programacion[[#This Row],[SEPTIEMBRE]]</f>
        <v>0</v>
      </c>
      <c r="AL96" s="33">
        <f>Programacion[[#This Row],[DEVENGADO JULIO]]+Programacion[[#This Row],[DEVENGADO AGOSTO]]+Programacion[[#This Row],[DEVENGADO SEPTIEMBRE]]</f>
        <v>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1080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6" s="116"/>
    </row>
    <row r="97" spans="1:46" x14ac:dyDescent="0.25">
      <c r="A97" s="40" t="s">
        <v>110</v>
      </c>
      <c r="B97" s="35" t="s">
        <v>112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9"/>
      <c r="I97" s="39"/>
      <c r="J97" s="39"/>
      <c r="K97" s="39"/>
      <c r="L97" s="39">
        <v>10000</v>
      </c>
      <c r="M97" s="39">
        <v>10000</v>
      </c>
      <c r="N97" s="39">
        <v>5000</v>
      </c>
      <c r="O97" s="39">
        <v>5000</v>
      </c>
      <c r="P97" s="39">
        <v>5000</v>
      </c>
      <c r="Q97" s="39">
        <v>5000</v>
      </c>
      <c r="R97" s="39">
        <v>5000</v>
      </c>
      <c r="S97" s="39">
        <v>5000</v>
      </c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7" s="19">
        <f>Programacion[[#This Row],[ENERO]]+Programacion[[#This Row],[FEBRERO]]+Programacion[[#This Row],[MARZO]]</f>
        <v>10000</v>
      </c>
      <c r="AH97" s="19">
        <f>Programacion[[#This Row],[DEVENGADO ENERO]]+Programacion[[#This Row],[DEVENGADO FEBRERO]]+Programacion[[#This Row],[DEVENGADO MARZO]]</f>
        <v>10000</v>
      </c>
      <c r="AI97" s="19">
        <f>Programacion[[#This Row],[ABRIL]]+Programacion[[#This Row],[MAYO]]+Programacion[[#This Row],[JUNIO]]</f>
        <v>15000</v>
      </c>
      <c r="AJ97" s="19">
        <f>Programacion[[#This Row],[DEVENGADO ABRIL]]+Programacion[[#This Row],[DEVENGADO MAYO]]+Programacion[[#This Row],[DEVENGADO JUNIO]]</f>
        <v>15000</v>
      </c>
      <c r="AK97" s="19">
        <f>Programacion[[#This Row],[JULIO]]+Programacion[[#This Row],[AGOSTO]]+Programacion[[#This Row],[SEPTIEMBRE]]</f>
        <v>0</v>
      </c>
      <c r="AL97" s="19">
        <f>Programacion[[#This Row],[DEVENGADO JULIO]]+Programacion[[#This Row],[DEVENGADO AGOSTO]]+Programacion[[#This Row],[DEVENGADO SEPTIEMBRE]]</f>
        <v>0</v>
      </c>
      <c r="AM97" s="19">
        <f>Programacion[[#This Row],[OCTUBRE]]+Programacion[[#This Row],[NOVIEMBRE]]+Programacion[[#This Row],[DICIEMBRE]]</f>
        <v>0</v>
      </c>
      <c r="AN97" s="20">
        <f>Programacion[[#This Row],[DEVENGADO OCTUBRE]]+Programacion[[#This Row],[DEVENGADO NOVIEMBRE]]+Programacion[[#This Row],[DEVENGADO DICIEMBRE]]</f>
        <v>0</v>
      </c>
      <c r="AO97" s="20">
        <f>Programacion[[#This Row],[ENERO]]+Programacion[[#This Row],[FEBRERO]]+Programacion[[#This Row],[MARZO]]+Programacion[[#This Row],[ABRIL]]+Programacion[[#This Row],[MAYO]]+Programacion[[#This Row],[JUNIO]]</f>
        <v>25000</v>
      </c>
      <c r="AP9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7" s="116"/>
    </row>
    <row r="98" spans="1:46" x14ac:dyDescent="0.25">
      <c r="A98" s="40" t="s">
        <v>110</v>
      </c>
      <c r="B98" s="35" t="s">
        <v>112</v>
      </c>
      <c r="C98" s="36" t="s">
        <v>56</v>
      </c>
      <c r="D98" s="36" t="s">
        <v>48</v>
      </c>
      <c r="E98" s="37">
        <v>31</v>
      </c>
      <c r="F98" s="38">
        <v>2.2999999999999998</v>
      </c>
      <c r="G98" s="36" t="s">
        <v>71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>
        <v>5000</v>
      </c>
      <c r="U98" s="39">
        <v>5000</v>
      </c>
      <c r="V98" s="39">
        <v>5000</v>
      </c>
      <c r="W98" s="39">
        <v>5000</v>
      </c>
      <c r="X98" s="39">
        <v>5000</v>
      </c>
      <c r="Y98" s="39"/>
      <c r="Z98" s="39">
        <v>5000</v>
      </c>
      <c r="AA98" s="39"/>
      <c r="AB98" s="39">
        <v>5000</v>
      </c>
      <c r="AC98" s="39"/>
      <c r="AD98" s="39">
        <v>5000</v>
      </c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0</v>
      </c>
      <c r="AJ98" s="19">
        <f>Programacion[[#This Row],[DEVENGADO ABRIL]]+Programacion[[#This Row],[DEVENGADO MAYO]]+Programacion[[#This Row],[DEVENGADO JUNIO]]</f>
        <v>0</v>
      </c>
      <c r="AK98" s="19">
        <f>Programacion[[#This Row],[JULIO]]+Programacion[[#This Row],[AGOSTO]]+Programacion[[#This Row],[SEPTIEMBRE]]</f>
        <v>15000</v>
      </c>
      <c r="AL98" s="19">
        <f>Programacion[[#This Row],[DEVENGADO JULIO]]+Programacion[[#This Row],[DEVENGADO AGOSTO]]+Programacion[[#This Row],[DEVENGADO SEPTIEMBRE]]</f>
        <v>10000</v>
      </c>
      <c r="AM98" s="19">
        <f>Programacion[[#This Row],[OCTUBRE]]+Programacion[[#This Row],[NOVIEMBRE]]+Programacion[[#This Row],[DICIEMBRE]]</f>
        <v>15000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98" s="116"/>
    </row>
    <row r="99" spans="1:46" ht="30" x14ac:dyDescent="0.25">
      <c r="A99" s="40" t="s">
        <v>110</v>
      </c>
      <c r="B99" s="35" t="s">
        <v>113</v>
      </c>
      <c r="C99" s="36" t="s">
        <v>56</v>
      </c>
      <c r="D99" s="36" t="s">
        <v>48</v>
      </c>
      <c r="E99" s="37">
        <v>31</v>
      </c>
      <c r="F99" s="38">
        <v>2.2999999999999998</v>
      </c>
      <c r="G99" s="36" t="s">
        <v>71</v>
      </c>
      <c r="H99" s="39"/>
      <c r="I99" s="39"/>
      <c r="J99" s="39"/>
      <c r="K99" s="39"/>
      <c r="L99" s="39">
        <v>10000</v>
      </c>
      <c r="M99" s="39">
        <v>10000</v>
      </c>
      <c r="N99" s="39">
        <v>5000</v>
      </c>
      <c r="O99" s="39">
        <v>5000</v>
      </c>
      <c r="P99" s="39">
        <v>5000</v>
      </c>
      <c r="Q99" s="39">
        <v>5000</v>
      </c>
      <c r="R99" s="39">
        <v>5000</v>
      </c>
      <c r="S99" s="39">
        <v>5000</v>
      </c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9" s="19">
        <f>Programacion[[#This Row],[ENERO]]+Programacion[[#This Row],[FEBRERO]]+Programacion[[#This Row],[MARZO]]</f>
        <v>10000</v>
      </c>
      <c r="AH99" s="19">
        <f>Programacion[[#This Row],[DEVENGADO ENERO]]+Programacion[[#This Row],[DEVENGADO FEBRERO]]+Programacion[[#This Row],[DEVENGADO MARZO]]</f>
        <v>10000</v>
      </c>
      <c r="AI99" s="19">
        <f>Programacion[[#This Row],[ABRIL]]+Programacion[[#This Row],[MAYO]]+Programacion[[#This Row],[JUNIO]]</f>
        <v>15000</v>
      </c>
      <c r="AJ99" s="19">
        <f>Programacion[[#This Row],[DEVENGADO ABRIL]]+Programacion[[#This Row],[DEVENGADO MAYO]]+Programacion[[#This Row],[DEVENGADO JUNIO]]</f>
        <v>15000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25000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9" s="116"/>
    </row>
    <row r="100" spans="1:46" ht="30" x14ac:dyDescent="0.25">
      <c r="A100" s="40" t="s">
        <v>110</v>
      </c>
      <c r="B100" s="35" t="s">
        <v>114</v>
      </c>
      <c r="C100" s="36" t="s">
        <v>56</v>
      </c>
      <c r="D100" s="36" t="s">
        <v>48</v>
      </c>
      <c r="E100" s="37">
        <v>31</v>
      </c>
      <c r="F100" s="38">
        <v>2.2999999999999998</v>
      </c>
      <c r="G100" s="36" t="s">
        <v>71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>
        <v>5000</v>
      </c>
      <c r="U100" s="33">
        <v>5000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5000</v>
      </c>
      <c r="AL100" s="33">
        <f>Programacion[[#This Row],[DEVENGADO JULIO]]+Programacion[[#This Row],[DEVENGADO AGOSTO]]+Programacion[[#This Row],[DEVENGADO SEPTIEMBRE]]</f>
        <v>5000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0" s="116"/>
    </row>
    <row r="101" spans="1:46" ht="30.75" customHeight="1" x14ac:dyDescent="0.25">
      <c r="A101" s="40" t="s">
        <v>110</v>
      </c>
      <c r="B101" s="35" t="s">
        <v>114</v>
      </c>
      <c r="C101" s="36" t="s">
        <v>56</v>
      </c>
      <c r="D101" s="36" t="s">
        <v>48</v>
      </c>
      <c r="E101" s="37">
        <v>31</v>
      </c>
      <c r="F101" s="38">
        <v>2.2999999999999998</v>
      </c>
      <c r="G101" s="36" t="s">
        <v>71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>
        <v>5000</v>
      </c>
      <c r="W101" s="39">
        <v>5000</v>
      </c>
      <c r="X101" s="39">
        <v>5000</v>
      </c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10000</v>
      </c>
      <c r="AL101" s="19">
        <f>Programacion[[#This Row],[DEVENGADO JULIO]]+Programacion[[#This Row],[DEVENGADO AGOSTO]]+Programacion[[#This Row],[DEVENGADO SEPTIEMBRE]]</f>
        <v>5000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1" s="116"/>
    </row>
    <row r="102" spans="1:46" ht="30" x14ac:dyDescent="0.25">
      <c r="A102" s="40" t="s">
        <v>110</v>
      </c>
      <c r="B102" s="35" t="s">
        <v>117</v>
      </c>
      <c r="C102" s="36" t="s">
        <v>74</v>
      </c>
      <c r="D102" s="36" t="s">
        <v>48</v>
      </c>
      <c r="E102" s="37">
        <v>39</v>
      </c>
      <c r="F102" s="38">
        <v>2.2999999999999998</v>
      </c>
      <c r="G102" s="36" t="s">
        <v>75</v>
      </c>
      <c r="H102" s="39"/>
      <c r="I102" s="39"/>
      <c r="J102" s="39"/>
      <c r="K102" s="39"/>
      <c r="L102" s="39"/>
      <c r="M102" s="39"/>
      <c r="N102" s="39">
        <v>2500</v>
      </c>
      <c r="O102" s="39"/>
      <c r="P102" s="39"/>
      <c r="Q102" s="39">
        <v>2500</v>
      </c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02" s="19">
        <f>Programacion[[#This Row],[ENERO]]+Programacion[[#This Row],[FEBRERO]]+Programacion[[#This Row],[MARZO]]</f>
        <v>0</v>
      </c>
      <c r="AH102" s="19">
        <f>Programacion[[#This Row],[DEVENGADO ENERO]]+Programacion[[#This Row],[DEVENGADO FEBRERO]]+Programacion[[#This Row],[DEVENGADO MARZO]]</f>
        <v>0</v>
      </c>
      <c r="AI102" s="19">
        <f>Programacion[[#This Row],[ABRIL]]+Programacion[[#This Row],[MAYO]]+Programacion[[#This Row],[JUNIO]]</f>
        <v>2500</v>
      </c>
      <c r="AJ102" s="19">
        <f>Programacion[[#This Row],[DEVENGADO ABRIL]]+Programacion[[#This Row],[DEVENGADO MAYO]]+Programacion[[#This Row],[DEVENGADO JUNIO]]</f>
        <v>2500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2500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02" s="116"/>
    </row>
    <row r="103" spans="1:46" ht="30" x14ac:dyDescent="0.25">
      <c r="A103" s="40" t="s">
        <v>110</v>
      </c>
      <c r="B103" s="35" t="s">
        <v>118</v>
      </c>
      <c r="C103" s="36" t="s">
        <v>74</v>
      </c>
      <c r="D103" s="36" t="s">
        <v>48</v>
      </c>
      <c r="E103" s="37">
        <v>39</v>
      </c>
      <c r="F103" s="38">
        <v>2.2999999999999998</v>
      </c>
      <c r="G103" s="36" t="s">
        <v>75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>
        <v>4500</v>
      </c>
      <c r="S103" s="39">
        <v>4500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4500</v>
      </c>
      <c r="AJ103" s="19">
        <f>Programacion[[#This Row],[DEVENGADO ABRIL]]+Programacion[[#This Row],[DEVENGADO MAYO]]+Programacion[[#This Row],[DEVENGADO JUNIO]]</f>
        <v>4500</v>
      </c>
      <c r="AK103" s="19">
        <f>Programacion[[#This Row],[JULIO]]+Programacion[[#This Row],[AGOSTO]]+Programacion[[#This Row],[SEPTIEMBRE]]</f>
        <v>0</v>
      </c>
      <c r="AL103" s="19">
        <f>Programacion[[#This Row],[DEVENGADO JULIO]]+Programacion[[#This Row],[DEVENGADO AGOSTO]]+Programacion[[#This Row],[DEVENGADO SEPTIEMBRE]]</f>
        <v>0</v>
      </c>
      <c r="AM103" s="19">
        <f>Programacion[[#This Row],[OCTUBRE]]+Programacion[[#This Row],[NOVIEMBRE]]+Programacion[[#This Row],[DICIEMBRE]]</f>
        <v>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4500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03" s="116"/>
    </row>
    <row r="104" spans="1:46" ht="30" x14ac:dyDescent="0.25">
      <c r="A104" s="40" t="s">
        <v>110</v>
      </c>
      <c r="B104" s="35" t="s">
        <v>119</v>
      </c>
      <c r="C104" s="36" t="s">
        <v>74</v>
      </c>
      <c r="D104" s="36" t="s">
        <v>48</v>
      </c>
      <c r="E104" s="37">
        <v>39</v>
      </c>
      <c r="F104" s="38">
        <v>2.2999999999999998</v>
      </c>
      <c r="G104" s="36" t="s">
        <v>75</v>
      </c>
      <c r="H104" s="39"/>
      <c r="I104" s="39"/>
      <c r="J104" s="39"/>
      <c r="K104" s="39"/>
      <c r="L104" s="39"/>
      <c r="M104" s="39"/>
      <c r="N104" s="39"/>
      <c r="O104" s="39"/>
      <c r="P104" s="39">
        <v>3000</v>
      </c>
      <c r="Q104" s="39">
        <v>3000</v>
      </c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3000</v>
      </c>
      <c r="AJ104" s="19">
        <f>Programacion[[#This Row],[DEVENGADO ABRIL]]+Programacion[[#This Row],[DEVENGADO MAYO]]+Programacion[[#This Row],[DEVENGADO JUNIO]]</f>
        <v>3000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3000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116"/>
    </row>
    <row r="105" spans="1:46" x14ac:dyDescent="0.25">
      <c r="A105" s="40" t="s">
        <v>110</v>
      </c>
      <c r="B105" s="35" t="s">
        <v>120</v>
      </c>
      <c r="C105" s="36" t="s">
        <v>56</v>
      </c>
      <c r="D105" s="36" t="s">
        <v>48</v>
      </c>
      <c r="E105" s="37">
        <v>39</v>
      </c>
      <c r="F105" s="38">
        <v>2.2999999999999998</v>
      </c>
      <c r="G105" s="36" t="s">
        <v>71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>
        <v>4000</v>
      </c>
      <c r="S105" s="39">
        <v>4000</v>
      </c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4000</v>
      </c>
      <c r="AJ105" s="19">
        <f>Programacion[[#This Row],[DEVENGADO ABRIL]]+Programacion[[#This Row],[DEVENGADO MAYO]]+Programacion[[#This Row],[DEVENGADO JUNIO]]</f>
        <v>4000</v>
      </c>
      <c r="AK105" s="19">
        <f>Programacion[[#This Row],[JULIO]]+Programacion[[#This Row],[AGOSTO]]+Programacion[[#This Row],[SEPTIEMBRE]]</f>
        <v>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4000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5" s="116"/>
    </row>
    <row r="106" spans="1:46" ht="30" x14ac:dyDescent="0.25">
      <c r="A106" s="40" t="s">
        <v>110</v>
      </c>
      <c r="B106" s="35" t="s">
        <v>117</v>
      </c>
      <c r="C106" s="36" t="s">
        <v>74</v>
      </c>
      <c r="D106" s="36" t="s">
        <v>48</v>
      </c>
      <c r="E106" s="37">
        <v>39</v>
      </c>
      <c r="F106" s="38">
        <v>2.2999999999999998</v>
      </c>
      <c r="G106" s="36" t="s">
        <v>75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>
        <v>3800</v>
      </c>
      <c r="S106" s="33">
        <v>3800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3800</v>
      </c>
      <c r="AJ106" s="33">
        <f>Programacion[[#This Row],[DEVENGADO ABRIL]]+Programacion[[#This Row],[DEVENGADO MAYO]]+Programacion[[#This Row],[DEVENGADO JUNIO]]</f>
        <v>3800</v>
      </c>
      <c r="AK106" s="33">
        <f>Programacion[[#This Row],[JULIO]]+Programacion[[#This Row],[AGOSTO]]+Programacion[[#This Row],[SEPTIEMBRE]]</f>
        <v>0</v>
      </c>
      <c r="AL106" s="33">
        <f>Programacion[[#This Row],[DEVENGADO JULIO]]+Programacion[[#This Row],[DEVENGADO AGOSTO]]+Programacion[[#This Row],[DEVENGADO SEPTIEMBRE]]</f>
        <v>0</v>
      </c>
      <c r="AM106" s="33">
        <f>Programacion[[#This Row],[OCTUBRE]]+Programacion[[#This Row],[NOVIEMBRE]]+Programacion[[#This Row],[DICIEMBRE]]</f>
        <v>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3800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6" s="116"/>
    </row>
    <row r="107" spans="1:46" ht="30" x14ac:dyDescent="0.25">
      <c r="A107" s="40" t="s">
        <v>110</v>
      </c>
      <c r="B107" s="35" t="s">
        <v>122</v>
      </c>
      <c r="C107" s="36" t="s">
        <v>107</v>
      </c>
      <c r="D107" s="36" t="s">
        <v>48</v>
      </c>
      <c r="E107" s="41">
        <v>39</v>
      </c>
      <c r="F107" s="42">
        <v>2.2999999999999998</v>
      </c>
      <c r="G107" s="43" t="s">
        <v>108</v>
      </c>
      <c r="H107" s="39"/>
      <c r="I107" s="39"/>
      <c r="J107" s="39"/>
      <c r="K107" s="39"/>
      <c r="L107" s="39"/>
      <c r="M107" s="39"/>
      <c r="N107" s="39"/>
      <c r="O107" s="39"/>
      <c r="P107" s="39">
        <v>1280.67</v>
      </c>
      <c r="Q107" s="39">
        <v>1280.67</v>
      </c>
      <c r="R107" s="39">
        <v>1130</v>
      </c>
      <c r="S107" s="39">
        <v>1130</v>
      </c>
      <c r="T107" s="39">
        <v>1130</v>
      </c>
      <c r="U107" s="39">
        <v>1130</v>
      </c>
      <c r="V107" s="39">
        <v>1130</v>
      </c>
      <c r="W107" s="39">
        <v>1130</v>
      </c>
      <c r="X107" s="39">
        <v>1130</v>
      </c>
      <c r="Y107" s="39"/>
      <c r="Z107" s="39">
        <v>1130</v>
      </c>
      <c r="AA107" s="39"/>
      <c r="AB107" s="39">
        <v>1130</v>
      </c>
      <c r="AC107" s="39"/>
      <c r="AD107" s="39">
        <v>1130</v>
      </c>
      <c r="AE107" s="39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2410.67</v>
      </c>
      <c r="AJ107" s="19">
        <f>Programacion[[#This Row],[DEVENGADO ABRIL]]+Programacion[[#This Row],[DEVENGADO MAYO]]+Programacion[[#This Row],[DEVENGADO JUNIO]]</f>
        <v>2410.67</v>
      </c>
      <c r="AK107" s="19">
        <f>Programacion[[#This Row],[JULIO]]+Programacion[[#This Row],[AGOSTO]]+Programacion[[#This Row],[SEPTIEMBRE]]</f>
        <v>3390</v>
      </c>
      <c r="AL107" s="19">
        <f>Programacion[[#This Row],[DEVENGADO JULIO]]+Programacion[[#This Row],[DEVENGADO AGOSTO]]+Programacion[[#This Row],[DEVENGADO SEPTIEMBRE]]</f>
        <v>2260</v>
      </c>
      <c r="AM107" s="19">
        <f>Programacion[[#This Row],[OCTUBRE]]+Programacion[[#This Row],[NOVIEMBRE]]+Programacion[[#This Row],[DICIEMBRE]]</f>
        <v>3390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07" s="116"/>
    </row>
    <row r="108" spans="1:46" x14ac:dyDescent="0.25">
      <c r="A108" s="128" t="s">
        <v>110</v>
      </c>
      <c r="B108" s="128" t="s">
        <v>233</v>
      </c>
      <c r="C108" s="128" t="s">
        <v>265</v>
      </c>
      <c r="D108" s="129" t="s">
        <v>48</v>
      </c>
      <c r="E108" s="130">
        <v>39</v>
      </c>
      <c r="F108" s="130">
        <v>23</v>
      </c>
      <c r="G108" s="129" t="s">
        <v>193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>
        <v>3240</v>
      </c>
      <c r="W108" s="33"/>
      <c r="X108" s="33"/>
      <c r="Y108" s="33"/>
      <c r="Z108" s="33"/>
      <c r="AA108" s="33"/>
      <c r="AB108" s="33"/>
      <c r="AC108" s="33"/>
      <c r="AD108" s="33"/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0</v>
      </c>
      <c r="AJ108" s="33">
        <f>Programacion[[#This Row],[DEVENGADO ABRIL]]+Programacion[[#This Row],[DEVENGADO MAYO]]+Programacion[[#This Row],[DEVENGADO JUNIO]]</f>
        <v>0</v>
      </c>
      <c r="AK108" s="33">
        <f>Programacion[[#This Row],[JULIO]]+Programacion[[#This Row],[AGOSTO]]+Programacion[[#This Row],[SEPTIEMBRE]]</f>
        <v>3240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6"/>
    </row>
    <row r="109" spans="1:46" x14ac:dyDescent="0.25">
      <c r="A109" s="44" t="s">
        <v>124</v>
      </c>
      <c r="B109" s="45" t="s">
        <v>125</v>
      </c>
      <c r="C109" s="46" t="s">
        <v>56</v>
      </c>
      <c r="D109" s="46" t="s">
        <v>48</v>
      </c>
      <c r="E109" s="47">
        <v>39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>
        <v>7920</v>
      </c>
      <c r="M109" s="49">
        <v>7920</v>
      </c>
      <c r="N109" s="49">
        <v>3960</v>
      </c>
      <c r="O109" s="49">
        <v>3960</v>
      </c>
      <c r="P109" s="49">
        <v>3960</v>
      </c>
      <c r="Q109" s="49">
        <v>3960</v>
      </c>
      <c r="R109" s="49">
        <v>3960</v>
      </c>
      <c r="S109" s="49">
        <v>3960</v>
      </c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9" s="19">
        <f>Programacion[[#This Row],[ENERO]]+Programacion[[#This Row],[FEBRERO]]+Programacion[[#This Row],[MARZO]]</f>
        <v>7920</v>
      </c>
      <c r="AH109" s="19">
        <f>Programacion[[#This Row],[DEVENGADO ENERO]]+Programacion[[#This Row],[DEVENGADO FEBRERO]]+Programacion[[#This Row],[DEVENGADO MARZO]]</f>
        <v>7920</v>
      </c>
      <c r="AI109" s="19">
        <f>Programacion[[#This Row],[ABRIL]]+Programacion[[#This Row],[MAYO]]+Programacion[[#This Row],[JUNIO]]</f>
        <v>11880</v>
      </c>
      <c r="AJ109" s="19">
        <f>Programacion[[#This Row],[DEVENGADO ABRIL]]+Programacion[[#This Row],[DEVENGADO MAYO]]+Programacion[[#This Row],[DEVENGADO JUNIO]]</f>
        <v>11880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19800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9" s="116"/>
    </row>
    <row r="110" spans="1:46" x14ac:dyDescent="0.25">
      <c r="A110" s="44" t="s">
        <v>124</v>
      </c>
      <c r="B110" s="45" t="s">
        <v>125</v>
      </c>
      <c r="C110" s="46" t="s">
        <v>56</v>
      </c>
      <c r="D110" s="46" t="s">
        <v>48</v>
      </c>
      <c r="E110" s="47">
        <v>39</v>
      </c>
      <c r="F110" s="48">
        <v>2.2999999999999998</v>
      </c>
      <c r="G110" s="46" t="s">
        <v>71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>
        <v>3600</v>
      </c>
      <c r="U110" s="33">
        <v>3600</v>
      </c>
      <c r="V110" s="33">
        <v>4080</v>
      </c>
      <c r="W110" s="33">
        <v>4080</v>
      </c>
      <c r="X110" s="33">
        <v>4080</v>
      </c>
      <c r="Y110" s="33"/>
      <c r="Z110" s="33">
        <v>4080</v>
      </c>
      <c r="AA110" s="33"/>
      <c r="AB110" s="33">
        <v>4080</v>
      </c>
      <c r="AC110" s="33"/>
      <c r="AD110" s="33">
        <v>4080</v>
      </c>
      <c r="AE110" s="33"/>
      <c r="AF1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0" s="33">
        <f>Programacion[[#This Row],[ENERO]]+Programacion[[#This Row],[FEBRERO]]+Programacion[[#This Row],[MARZO]]</f>
        <v>0</v>
      </c>
      <c r="AH110" s="33">
        <f>Programacion[[#This Row],[DEVENGADO ENERO]]+Programacion[[#This Row],[DEVENGADO FEBRERO]]+Programacion[[#This Row],[DEVENGADO MARZO]]</f>
        <v>0</v>
      </c>
      <c r="AI110" s="33">
        <f>Programacion[[#This Row],[ABRIL]]+Programacion[[#This Row],[MAYO]]+Programacion[[#This Row],[JUNIO]]</f>
        <v>0</v>
      </c>
      <c r="AJ110" s="33">
        <f>Programacion[[#This Row],[DEVENGADO ABRIL]]+Programacion[[#This Row],[DEVENGADO MAYO]]+Programacion[[#This Row],[DEVENGADO JUNIO]]</f>
        <v>0</v>
      </c>
      <c r="AK110" s="33">
        <f>Programacion[[#This Row],[JULIO]]+Programacion[[#This Row],[AGOSTO]]+Programacion[[#This Row],[SEPTIEMBRE]]</f>
        <v>11760</v>
      </c>
      <c r="AL110" s="33">
        <f>Programacion[[#This Row],[DEVENGADO JULIO]]+Programacion[[#This Row],[DEVENGADO AGOSTO]]+Programacion[[#This Row],[DEVENGADO SEPTIEMBRE]]</f>
        <v>7680</v>
      </c>
      <c r="AM110" s="33">
        <f>Programacion[[#This Row],[OCTUBRE]]+Programacion[[#This Row],[NOVIEMBRE]]+Programacion[[#This Row],[DICIEMBRE]]</f>
        <v>12240</v>
      </c>
      <c r="AN110" s="21">
        <f>Programacion[[#This Row],[DEVENGADO OCTUBRE]]+Programacion[[#This Row],[DEVENGADO NOVIEMBRE]]+Programacion[[#This Row],[DEVENGADO DICIEMBRE]]</f>
        <v>0</v>
      </c>
      <c r="AO110" s="21">
        <f>Programacion[[#This Row],[ENERO]]+Programacion[[#This Row],[FEBRERO]]+Programacion[[#This Row],[MARZO]]+Programacion[[#This Row],[ABRIL]]+Programacion[[#This Row],[MAYO]]+Programacion[[#This Row],[JUNIO]]</f>
        <v>0</v>
      </c>
      <c r="AP1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10" s="116"/>
    </row>
    <row r="111" spans="1:46" ht="30" x14ac:dyDescent="0.25">
      <c r="A111" s="44" t="s">
        <v>124</v>
      </c>
      <c r="B111" s="45" t="s">
        <v>126</v>
      </c>
      <c r="C111" s="46" t="s">
        <v>56</v>
      </c>
      <c r="D111" s="46" t="s">
        <v>48</v>
      </c>
      <c r="E111" s="47">
        <v>39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/>
      <c r="M111" s="49"/>
      <c r="N111" s="49">
        <v>8500</v>
      </c>
      <c r="O111" s="49">
        <v>8500</v>
      </c>
      <c r="P111" s="49">
        <v>8500</v>
      </c>
      <c r="Q111" s="49">
        <v>8500</v>
      </c>
      <c r="R111" s="49">
        <v>8500</v>
      </c>
      <c r="S111" s="49">
        <v>8500</v>
      </c>
      <c r="T111" s="49">
        <v>8500</v>
      </c>
      <c r="U111" s="49">
        <v>8500</v>
      </c>
      <c r="V111" s="49">
        <v>8500</v>
      </c>
      <c r="W111" s="49">
        <v>8500</v>
      </c>
      <c r="X111" s="49"/>
      <c r="Y111" s="49"/>
      <c r="Z111" s="49"/>
      <c r="AA111" s="49"/>
      <c r="AB111" s="49"/>
      <c r="AC111" s="49"/>
      <c r="AD111" s="49"/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25500</v>
      </c>
      <c r="AJ111" s="19">
        <f>Programacion[[#This Row],[DEVENGADO ABRIL]]+Programacion[[#This Row],[DEVENGADO MAYO]]+Programacion[[#This Row],[DEVENGADO JUNIO]]</f>
        <v>25500</v>
      </c>
      <c r="AK111" s="19">
        <f>Programacion[[#This Row],[JULIO]]+Programacion[[#This Row],[AGOSTO]]+Programacion[[#This Row],[SEPTIEMBRE]]</f>
        <v>17000</v>
      </c>
      <c r="AL111" s="19">
        <f>Programacion[[#This Row],[DEVENGADO JULIO]]+Programacion[[#This Row],[DEVENGADO AGOSTO]]+Programacion[[#This Row],[DEVENGADO SEPTIEMBRE]]</f>
        <v>17000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25500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11" s="116"/>
    </row>
    <row r="112" spans="1:46" x14ac:dyDescent="0.25">
      <c r="A112" s="44" t="s">
        <v>124</v>
      </c>
      <c r="B112" s="45" t="s">
        <v>125</v>
      </c>
      <c r="C112" s="46" t="s">
        <v>56</v>
      </c>
      <c r="D112" s="46" t="s">
        <v>48</v>
      </c>
      <c r="E112" s="47">
        <v>39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>
        <v>8500</v>
      </c>
      <c r="Y112" s="49"/>
      <c r="Z112" s="49">
        <v>8500</v>
      </c>
      <c r="AA112" s="49"/>
      <c r="AB112" s="49">
        <v>8500</v>
      </c>
      <c r="AC112" s="49"/>
      <c r="AD112" s="49">
        <v>8500</v>
      </c>
      <c r="AE112" s="50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0</v>
      </c>
      <c r="AJ112" s="19">
        <f>Programacion[[#This Row],[DEVENGADO ABRIL]]+Programacion[[#This Row],[DEVENGADO MAYO]]+Programacion[[#This Row],[DEVENGADO JUNIO]]</f>
        <v>0</v>
      </c>
      <c r="AK112" s="19">
        <f>Programacion[[#This Row],[JULIO]]+Programacion[[#This Row],[AGOSTO]]+Programacion[[#This Row],[SEPTIEMBRE]]</f>
        <v>8500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25500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2" s="116"/>
    </row>
    <row r="113" spans="1:46" x14ac:dyDescent="0.25">
      <c r="A113" s="44" t="s">
        <v>124</v>
      </c>
      <c r="B113" s="45" t="s">
        <v>112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>
        <v>11760</v>
      </c>
      <c r="M113" s="49">
        <v>11760</v>
      </c>
      <c r="N113" s="49">
        <v>5880</v>
      </c>
      <c r="O113" s="49">
        <v>5880</v>
      </c>
      <c r="P113" s="49">
        <v>5880</v>
      </c>
      <c r="Q113" s="49">
        <v>5880</v>
      </c>
      <c r="R113" s="49">
        <v>5880</v>
      </c>
      <c r="S113" s="49">
        <v>5880</v>
      </c>
      <c r="T113" s="49">
        <v>6300</v>
      </c>
      <c r="U113" s="49">
        <v>6300</v>
      </c>
      <c r="V113" s="49">
        <v>6300</v>
      </c>
      <c r="W113" s="49">
        <v>6300</v>
      </c>
      <c r="X113" s="49"/>
      <c r="Y113" s="49"/>
      <c r="Z113" s="49"/>
      <c r="AA113" s="49"/>
      <c r="AB113" s="49"/>
      <c r="AC113" s="49"/>
      <c r="AD113" s="49"/>
      <c r="AE113" s="4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13" s="19">
        <f>Programacion[[#This Row],[ENERO]]+Programacion[[#This Row],[FEBRERO]]+Programacion[[#This Row],[MARZO]]</f>
        <v>11760</v>
      </c>
      <c r="AH113" s="19">
        <f>Programacion[[#This Row],[DEVENGADO ENERO]]+Programacion[[#This Row],[DEVENGADO FEBRERO]]+Programacion[[#This Row],[DEVENGADO MARZO]]</f>
        <v>11760</v>
      </c>
      <c r="AI113" s="19">
        <f>Programacion[[#This Row],[ABRIL]]+Programacion[[#This Row],[MAYO]]+Programacion[[#This Row],[JUNIO]]</f>
        <v>17640</v>
      </c>
      <c r="AJ113" s="19">
        <f>Programacion[[#This Row],[DEVENGADO ABRIL]]+Programacion[[#This Row],[DEVENGADO MAYO]]+Programacion[[#This Row],[DEVENGADO JUNIO]]</f>
        <v>17640</v>
      </c>
      <c r="AK113" s="19">
        <f>Programacion[[#This Row],[JULIO]]+Programacion[[#This Row],[AGOSTO]]+Programacion[[#This Row],[SEPTIEMBRE]]</f>
        <v>12600</v>
      </c>
      <c r="AL113" s="19">
        <f>Programacion[[#This Row],[DEVENGADO JULIO]]+Programacion[[#This Row],[DEVENGADO AGOSTO]]+Programacion[[#This Row],[DEVENGADO SEPTIEMBRE]]</f>
        <v>12600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29400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13" s="116"/>
    </row>
    <row r="114" spans="1:46" x14ac:dyDescent="0.25">
      <c r="A114" s="44" t="s">
        <v>124</v>
      </c>
      <c r="B114" s="45" t="s">
        <v>112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71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>
        <v>6000</v>
      </c>
      <c r="Y114" s="49"/>
      <c r="Z114" s="49">
        <v>6000</v>
      </c>
      <c r="AA114" s="49"/>
      <c r="AB114" s="49">
        <v>6000</v>
      </c>
      <c r="AC114" s="49"/>
      <c r="AD114" s="49">
        <v>6000</v>
      </c>
      <c r="AE114" s="4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0</v>
      </c>
      <c r="AJ114" s="19">
        <f>Programacion[[#This Row],[DEVENGADO ABRIL]]+Programacion[[#This Row],[DEVENGADO MAYO]]+Programacion[[#This Row],[DEVENGADO JUNIO]]</f>
        <v>0</v>
      </c>
      <c r="AK114" s="19">
        <f>Programacion[[#This Row],[JULIO]]+Programacion[[#This Row],[AGOSTO]]+Programacion[[#This Row],[SEPTIEMBRE]]</f>
        <v>6000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18000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116"/>
    </row>
    <row r="115" spans="1:46" ht="30" x14ac:dyDescent="0.25">
      <c r="A115" s="51" t="s">
        <v>124</v>
      </c>
      <c r="B115" s="45" t="s">
        <v>127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71</v>
      </c>
      <c r="H115" s="49"/>
      <c r="I115" s="49"/>
      <c r="J115" s="49"/>
      <c r="K115" s="49"/>
      <c r="L115" s="49">
        <v>8000</v>
      </c>
      <c r="M115" s="49">
        <v>8000</v>
      </c>
      <c r="N115" s="49">
        <v>4000</v>
      </c>
      <c r="O115" s="49">
        <v>4000</v>
      </c>
      <c r="P115" s="49">
        <v>4000</v>
      </c>
      <c r="Q115" s="49">
        <v>4000</v>
      </c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5" s="19">
        <f>Programacion[[#This Row],[ENERO]]+Programacion[[#This Row],[FEBRERO]]+Programacion[[#This Row],[MARZO]]</f>
        <v>8000</v>
      </c>
      <c r="AH115" s="19">
        <f>Programacion[[#This Row],[DEVENGADO ENERO]]+Programacion[[#This Row],[DEVENGADO FEBRERO]]+Programacion[[#This Row],[DEVENGADO MARZO]]</f>
        <v>8000</v>
      </c>
      <c r="AI115" s="19">
        <f>Programacion[[#This Row],[ABRIL]]+Programacion[[#This Row],[MAYO]]+Programacion[[#This Row],[JUNIO]]</f>
        <v>8000</v>
      </c>
      <c r="AJ115" s="19">
        <f>Programacion[[#This Row],[DEVENGADO ABRIL]]+Programacion[[#This Row],[DEVENGADO MAYO]]+Programacion[[#This Row],[DEVENGADO JUNIO]]</f>
        <v>8000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16000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5" s="116"/>
    </row>
    <row r="116" spans="1:46" ht="30" x14ac:dyDescent="0.25">
      <c r="A116" s="51" t="s">
        <v>124</v>
      </c>
      <c r="B116" s="45" t="s">
        <v>127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71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>
        <v>4000</v>
      </c>
      <c r="S116" s="49">
        <v>4000</v>
      </c>
      <c r="T116" s="49">
        <v>4000</v>
      </c>
      <c r="U116" s="49">
        <v>4000</v>
      </c>
      <c r="V116" s="49">
        <v>4000</v>
      </c>
      <c r="W116" s="49">
        <v>4000</v>
      </c>
      <c r="X116" s="49">
        <v>4000</v>
      </c>
      <c r="Y116" s="49"/>
      <c r="Z116" s="49">
        <v>4000</v>
      </c>
      <c r="AA116" s="49"/>
      <c r="AB116" s="49"/>
      <c r="AC116" s="49"/>
      <c r="AD116" s="49"/>
      <c r="AE116" s="4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4000</v>
      </c>
      <c r="AJ116" s="19">
        <f>Programacion[[#This Row],[DEVENGADO ABRIL]]+Programacion[[#This Row],[DEVENGADO MAYO]]+Programacion[[#This Row],[DEVENGADO JUNIO]]</f>
        <v>4000</v>
      </c>
      <c r="AK116" s="19">
        <f>Programacion[[#This Row],[JULIO]]+Programacion[[#This Row],[AGOSTO]]+Programacion[[#This Row],[SEPTIEMBRE]]</f>
        <v>12000</v>
      </c>
      <c r="AL116" s="19">
        <f>Programacion[[#This Row],[DEVENGADO JULIO]]+Programacion[[#This Row],[DEVENGADO AGOSTO]]+Programacion[[#This Row],[DEVENGADO SEPTIEMBRE]]</f>
        <v>8000</v>
      </c>
      <c r="AM116" s="19">
        <f>Programacion[[#This Row],[OCTUBRE]]+Programacion[[#This Row],[NOVIEMBRE]]+Programacion[[#This Row],[DICIEMBRE]]</f>
        <v>4000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4000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16" s="116"/>
    </row>
    <row r="117" spans="1:46" x14ac:dyDescent="0.25">
      <c r="A117" s="52" t="s">
        <v>124</v>
      </c>
      <c r="B117" s="45" t="s">
        <v>128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71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>
        <v>10800</v>
      </c>
      <c r="AC117" s="49"/>
      <c r="AD117" s="49">
        <v>10800</v>
      </c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0</v>
      </c>
      <c r="AJ117" s="19">
        <f>Programacion[[#This Row],[DEVENGADO ABRIL]]+Programacion[[#This Row],[DEVENGADO MAYO]]+Programacion[[#This Row],[DEVENGADO JUNIO]]</f>
        <v>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21600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7" s="116"/>
    </row>
    <row r="118" spans="1:46" x14ac:dyDescent="0.25">
      <c r="A118" s="52" t="s">
        <v>124</v>
      </c>
      <c r="B118" s="45" t="s">
        <v>129</v>
      </c>
      <c r="C118" s="46" t="s">
        <v>56</v>
      </c>
      <c r="D118" s="46" t="s">
        <v>48</v>
      </c>
      <c r="E118" s="47">
        <v>3</v>
      </c>
      <c r="F118" s="48">
        <v>2.2999999999999998</v>
      </c>
      <c r="G118" s="46" t="s">
        <v>130</v>
      </c>
      <c r="H118" s="49"/>
      <c r="I118" s="49"/>
      <c r="J118" s="49"/>
      <c r="K118" s="49"/>
      <c r="L118" s="49"/>
      <c r="M118" s="49"/>
      <c r="N118" s="49"/>
      <c r="O118" s="49"/>
      <c r="P118" s="49">
        <v>7500</v>
      </c>
      <c r="Q118" s="49">
        <v>7500</v>
      </c>
      <c r="R118" s="49">
        <v>7500</v>
      </c>
      <c r="S118" s="49">
        <v>7500</v>
      </c>
      <c r="T118" s="49">
        <v>7500</v>
      </c>
      <c r="U118" s="49">
        <v>7500</v>
      </c>
      <c r="V118" s="49">
        <v>7500</v>
      </c>
      <c r="W118" s="49">
        <v>7500</v>
      </c>
      <c r="X118" s="49"/>
      <c r="Y118" s="49"/>
      <c r="Z118" s="49"/>
      <c r="AA118" s="49"/>
      <c r="AB118" s="49"/>
      <c r="AC118" s="49"/>
      <c r="AD118" s="49"/>
      <c r="AE118" s="50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15000</v>
      </c>
      <c r="AJ118" s="19">
        <f>Programacion[[#This Row],[DEVENGADO ABRIL]]+Programacion[[#This Row],[DEVENGADO MAYO]]+Programacion[[#This Row],[DEVENGADO JUNIO]]</f>
        <v>15000</v>
      </c>
      <c r="AK118" s="19">
        <f>Programacion[[#This Row],[JULIO]]+Programacion[[#This Row],[AGOSTO]]+Programacion[[#This Row],[SEPTIEMBRE]]</f>
        <v>15000</v>
      </c>
      <c r="AL118" s="19">
        <f>Programacion[[#This Row],[DEVENGADO JULIO]]+Programacion[[#This Row],[DEVENGADO AGOSTO]]+Programacion[[#This Row],[DEVENGADO SEPTIEMBRE]]</f>
        <v>15000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15000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8" s="116"/>
    </row>
    <row r="119" spans="1:46" x14ac:dyDescent="0.25">
      <c r="A119" s="52" t="s">
        <v>124</v>
      </c>
      <c r="B119" s="45" t="s">
        <v>131</v>
      </c>
      <c r="C119" s="46" t="s">
        <v>56</v>
      </c>
      <c r="D119" s="46" t="s">
        <v>48</v>
      </c>
      <c r="E119" s="47">
        <v>3</v>
      </c>
      <c r="F119" s="48">
        <v>2.2999999999999998</v>
      </c>
      <c r="G119" s="46" t="s">
        <v>130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>
        <v>7500</v>
      </c>
      <c r="Y119" s="49"/>
      <c r="Z119" s="49">
        <v>7500</v>
      </c>
      <c r="AA119" s="49"/>
      <c r="AB119" s="49">
        <v>7500</v>
      </c>
      <c r="AC119" s="49"/>
      <c r="AD119" s="49">
        <v>7500</v>
      </c>
      <c r="AE119" s="50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7500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22500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52" t="s">
        <v>124</v>
      </c>
      <c r="B120" s="45" t="s">
        <v>132</v>
      </c>
      <c r="C120" s="46" t="s">
        <v>56</v>
      </c>
      <c r="D120" s="46" t="s">
        <v>48</v>
      </c>
      <c r="E120" s="47">
        <v>3</v>
      </c>
      <c r="F120" s="48">
        <v>2.2999999999999998</v>
      </c>
      <c r="G120" s="46" t="s">
        <v>130</v>
      </c>
      <c r="H120" s="49"/>
      <c r="I120" s="49"/>
      <c r="J120" s="49"/>
      <c r="K120" s="49"/>
      <c r="L120" s="49"/>
      <c r="M120" s="49"/>
      <c r="N120" s="49">
        <v>7500</v>
      </c>
      <c r="O120" s="49">
        <v>7500</v>
      </c>
      <c r="P120" s="49">
        <v>7500</v>
      </c>
      <c r="Q120" s="49">
        <v>7500</v>
      </c>
      <c r="R120" s="49">
        <v>7500</v>
      </c>
      <c r="S120" s="49">
        <v>7500</v>
      </c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50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22500</v>
      </c>
      <c r="AJ120" s="19">
        <f>Programacion[[#This Row],[DEVENGADO ABRIL]]+Programacion[[#This Row],[DEVENGADO MAYO]]+Programacion[[#This Row],[DEVENGADO JUNIO]]</f>
        <v>22500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22500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0" s="116"/>
    </row>
    <row r="121" spans="1:46" x14ac:dyDescent="0.25">
      <c r="A121" s="52" t="s">
        <v>124</v>
      </c>
      <c r="B121" s="45" t="s">
        <v>133</v>
      </c>
      <c r="C121" s="46" t="s">
        <v>56</v>
      </c>
      <c r="D121" s="46" t="s">
        <v>48</v>
      </c>
      <c r="E121" s="47">
        <v>3</v>
      </c>
      <c r="F121" s="48">
        <v>2.2999999999999998</v>
      </c>
      <c r="G121" s="46" t="s">
        <v>130</v>
      </c>
      <c r="H121" s="49"/>
      <c r="I121" s="49"/>
      <c r="J121" s="49"/>
      <c r="K121" s="49"/>
      <c r="L121" s="49"/>
      <c r="M121" s="49"/>
      <c r="N121" s="49"/>
      <c r="O121" s="49"/>
      <c r="P121" s="49">
        <v>7500</v>
      </c>
      <c r="Q121" s="49">
        <v>7500</v>
      </c>
      <c r="R121" s="49">
        <v>7500</v>
      </c>
      <c r="S121" s="49">
        <v>7500</v>
      </c>
      <c r="T121" s="49">
        <v>7500</v>
      </c>
      <c r="U121" s="49">
        <v>7500</v>
      </c>
      <c r="V121" s="49"/>
      <c r="W121" s="49"/>
      <c r="X121" s="49"/>
      <c r="Y121" s="49"/>
      <c r="Z121" s="49"/>
      <c r="AA121" s="49"/>
      <c r="AB121" s="49"/>
      <c r="AC121" s="49"/>
      <c r="AD121" s="49"/>
      <c r="AE121" s="50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15000</v>
      </c>
      <c r="AJ121" s="19">
        <f>Programacion[[#This Row],[DEVENGADO ABRIL]]+Programacion[[#This Row],[DEVENGADO MAYO]]+Programacion[[#This Row],[DEVENGADO JUNIO]]</f>
        <v>15000</v>
      </c>
      <c r="AK121" s="19">
        <f>Programacion[[#This Row],[JULIO]]+Programacion[[#This Row],[AGOSTO]]+Programacion[[#This Row],[SEPTIEMBRE]]</f>
        <v>7500</v>
      </c>
      <c r="AL121" s="19">
        <f>Programacion[[#This Row],[DEVENGADO JULIO]]+Programacion[[#This Row],[DEVENGADO AGOSTO]]+Programacion[[#This Row],[DEVENGADO SEPTIEMBRE]]</f>
        <v>7500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15000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1" s="116"/>
    </row>
    <row r="122" spans="1:46" x14ac:dyDescent="0.25">
      <c r="A122" s="131" t="s">
        <v>124</v>
      </c>
      <c r="B122" s="131" t="s">
        <v>266</v>
      </c>
      <c r="C122" s="131" t="s">
        <v>258</v>
      </c>
      <c r="D122" s="131" t="s">
        <v>48</v>
      </c>
      <c r="E122" s="131">
        <v>39</v>
      </c>
      <c r="F122" s="131">
        <v>23</v>
      </c>
      <c r="G122" s="131" t="s">
        <v>71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>
        <v>7000</v>
      </c>
      <c r="AA122" s="33"/>
      <c r="AB122" s="33">
        <v>7000</v>
      </c>
      <c r="AC122" s="33"/>
      <c r="AD122" s="33">
        <v>5608.17</v>
      </c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19608.169999999998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ht="30" x14ac:dyDescent="0.25">
      <c r="A123" s="52" t="s">
        <v>124</v>
      </c>
      <c r="B123" s="45" t="s">
        <v>292</v>
      </c>
      <c r="C123" s="46" t="s">
        <v>47</v>
      </c>
      <c r="D123" s="46" t="s">
        <v>48</v>
      </c>
      <c r="E123" s="47">
        <v>39</v>
      </c>
      <c r="F123" s="48">
        <v>2.2999999999999998</v>
      </c>
      <c r="G123" s="46" t="s">
        <v>49</v>
      </c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>
        <v>800</v>
      </c>
      <c r="W123" s="33">
        <v>800</v>
      </c>
      <c r="X123" s="33"/>
      <c r="Y123" s="33"/>
      <c r="Z123" s="33"/>
      <c r="AA123" s="33"/>
      <c r="AB123" s="33"/>
      <c r="AC123" s="33"/>
      <c r="AD123" s="33"/>
      <c r="AE123" s="33"/>
      <c r="AF1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23" s="33">
        <f>Programacion[[#This Row],[ENERO]]+Programacion[[#This Row],[FEBRERO]]+Programacion[[#This Row],[MARZO]]</f>
        <v>0</v>
      </c>
      <c r="AH123" s="33">
        <f>Programacion[[#This Row],[DEVENGADO ENERO]]+Programacion[[#This Row],[DEVENGADO FEBRERO]]+Programacion[[#This Row],[DEVENGADO MARZO]]</f>
        <v>0</v>
      </c>
      <c r="AI123" s="33">
        <f>Programacion[[#This Row],[ABRIL]]+Programacion[[#This Row],[MAYO]]+Programacion[[#This Row],[JUNIO]]</f>
        <v>0</v>
      </c>
      <c r="AJ123" s="33">
        <f>Programacion[[#This Row],[DEVENGADO ABRIL]]+Programacion[[#This Row],[DEVENGADO MAYO]]+Programacion[[#This Row],[DEVENGADO JUNIO]]</f>
        <v>0</v>
      </c>
      <c r="AK123" s="33">
        <f>Programacion[[#This Row],[JULIO]]+Programacion[[#This Row],[AGOSTO]]+Programacion[[#This Row],[SEPTIEMBRE]]</f>
        <v>800</v>
      </c>
      <c r="AL123" s="33">
        <f>Programacion[[#This Row],[DEVENGADO JULIO]]+Programacion[[#This Row],[DEVENGADO AGOSTO]]+Programacion[[#This Row],[DEVENGADO SEPTIEMBRE]]</f>
        <v>800</v>
      </c>
      <c r="AM123" s="33">
        <f>Programacion[[#This Row],[OCTUBRE]]+Programacion[[#This Row],[NOVIEMBRE]]+Programacion[[#This Row],[DICIEMBRE]]</f>
        <v>0</v>
      </c>
      <c r="AN123" s="21">
        <f>Programacion[[#This Row],[DEVENGADO OCTUBRE]]+Programacion[[#This Row],[DEVENGADO NOVIEMBRE]]+Programacion[[#This Row],[DEVENGADO DICIEMBRE]]</f>
        <v>0</v>
      </c>
      <c r="AO123" s="21">
        <f>Programacion[[#This Row],[ENERO]]+Programacion[[#This Row],[FEBRERO]]+Programacion[[#This Row],[MARZO]]+Programacion[[#This Row],[ABRIL]]+Programacion[[#This Row],[MAYO]]+Programacion[[#This Row],[JUNIO]]</f>
        <v>0</v>
      </c>
      <c r="AP1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23" s="116"/>
    </row>
    <row r="124" spans="1:46" x14ac:dyDescent="0.25">
      <c r="A124" s="52" t="s">
        <v>124</v>
      </c>
      <c r="B124" s="45" t="s">
        <v>293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51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>
        <v>540</v>
      </c>
      <c r="W124" s="33">
        <v>540</v>
      </c>
      <c r="X124" s="33"/>
      <c r="Y124" s="33"/>
      <c r="Z124" s="33"/>
      <c r="AA124" s="33"/>
      <c r="AB124" s="33"/>
      <c r="AC124" s="33"/>
      <c r="AD124" s="33"/>
      <c r="AE124" s="33"/>
      <c r="AF12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24" s="33">
        <f>Programacion[[#This Row],[ENERO]]+Programacion[[#This Row],[FEBRERO]]+Programacion[[#This Row],[MARZO]]</f>
        <v>0</v>
      </c>
      <c r="AH124" s="33">
        <f>Programacion[[#This Row],[DEVENGADO ENERO]]+Programacion[[#This Row],[DEVENGADO FEBRERO]]+Programacion[[#This Row],[DEVENGADO MARZO]]</f>
        <v>0</v>
      </c>
      <c r="AI124" s="33">
        <f>Programacion[[#This Row],[ABRIL]]+Programacion[[#This Row],[MAYO]]+Programacion[[#This Row],[JUNIO]]</f>
        <v>0</v>
      </c>
      <c r="AJ124" s="33">
        <f>Programacion[[#This Row],[DEVENGADO ABRIL]]+Programacion[[#This Row],[DEVENGADO MAYO]]+Programacion[[#This Row],[DEVENGADO JUNIO]]</f>
        <v>0</v>
      </c>
      <c r="AK124" s="33">
        <f>Programacion[[#This Row],[JULIO]]+Programacion[[#This Row],[AGOSTO]]+Programacion[[#This Row],[SEPTIEMBRE]]</f>
        <v>540</v>
      </c>
      <c r="AL124" s="33">
        <f>Programacion[[#This Row],[DEVENGADO JULIO]]+Programacion[[#This Row],[DEVENGADO AGOSTO]]+Programacion[[#This Row],[DEVENGADO SEPTIEMBRE]]</f>
        <v>540</v>
      </c>
      <c r="AM124" s="33">
        <f>Programacion[[#This Row],[OCTUBRE]]+Programacion[[#This Row],[NOVIEMBRE]]+Programacion[[#This Row],[DICIEMBRE]]</f>
        <v>0</v>
      </c>
      <c r="AN124" s="21">
        <f>Programacion[[#This Row],[DEVENGADO OCTUBRE]]+Programacion[[#This Row],[DEVENGADO NOVIEMBRE]]+Programacion[[#This Row],[DEVENGADO DICIEMBRE]]</f>
        <v>0</v>
      </c>
      <c r="AO124" s="21">
        <f>Programacion[[#This Row],[ENERO]]+Programacion[[#This Row],[FEBRERO]]+Programacion[[#This Row],[MARZO]]+Programacion[[#This Row],[ABRIL]]+Programacion[[#This Row],[MAYO]]+Programacion[[#This Row],[JUNIO]]</f>
        <v>0</v>
      </c>
      <c r="AP1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2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24" s="116"/>
    </row>
    <row r="125" spans="1:46" ht="30" x14ac:dyDescent="0.25">
      <c r="A125" s="132" t="s">
        <v>124</v>
      </c>
      <c r="B125" s="132" t="s">
        <v>294</v>
      </c>
      <c r="C125" s="36" t="s">
        <v>74</v>
      </c>
      <c r="D125" s="103" t="s">
        <v>48</v>
      </c>
      <c r="E125" s="104">
        <v>39</v>
      </c>
      <c r="F125" s="105">
        <v>2.2999999999999998</v>
      </c>
      <c r="G125" s="103" t="s">
        <v>75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>
        <v>1000</v>
      </c>
      <c r="Y125" s="33"/>
      <c r="Z125" s="33"/>
      <c r="AA125" s="33"/>
      <c r="AB125" s="33"/>
      <c r="AC125" s="33"/>
      <c r="AD125" s="33"/>
      <c r="AE125" s="33"/>
      <c r="AF12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25" s="33">
        <f>Programacion[[#This Row],[ENERO]]+Programacion[[#This Row],[FEBRERO]]+Programacion[[#This Row],[MARZO]]</f>
        <v>0</v>
      </c>
      <c r="AH125" s="33">
        <f>Programacion[[#This Row],[DEVENGADO ENERO]]+Programacion[[#This Row],[DEVENGADO FEBRERO]]+Programacion[[#This Row],[DEVENGADO MARZO]]</f>
        <v>0</v>
      </c>
      <c r="AI125" s="33">
        <f>Programacion[[#This Row],[ABRIL]]+Programacion[[#This Row],[MAYO]]+Programacion[[#This Row],[JUNIO]]</f>
        <v>0</v>
      </c>
      <c r="AJ125" s="33">
        <f>Programacion[[#This Row],[DEVENGADO ABRIL]]+Programacion[[#This Row],[DEVENGADO MAYO]]+Programacion[[#This Row],[DEVENGADO JUNIO]]</f>
        <v>0</v>
      </c>
      <c r="AK125" s="33">
        <f>Programacion[[#This Row],[JULIO]]+Programacion[[#This Row],[AGOSTO]]+Programacion[[#This Row],[SEPTIEMBRE]]</f>
        <v>1000</v>
      </c>
      <c r="AL125" s="33">
        <f>Programacion[[#This Row],[DEVENGADO JULIO]]+Programacion[[#This Row],[DEVENGADO AGOSTO]]+Programacion[[#This Row],[DEVENGADO SEPTIEMBRE]]</f>
        <v>0</v>
      </c>
      <c r="AM125" s="33">
        <f>Programacion[[#This Row],[OCTUBRE]]+Programacion[[#This Row],[NOVIEMBRE]]+Programacion[[#This Row],[DICIEMBRE]]</f>
        <v>0</v>
      </c>
      <c r="AN125" s="21">
        <f>Programacion[[#This Row],[DEVENGADO OCTUBRE]]+Programacion[[#This Row],[DEVENGADO NOVIEMBRE]]+Programacion[[#This Row],[DEVENGADO DICIEMBRE]]</f>
        <v>0</v>
      </c>
      <c r="AO125" s="21">
        <f>Programacion[[#This Row],[ENERO]]+Programacion[[#This Row],[FEBRERO]]+Programacion[[#This Row],[MARZO]]+Programacion[[#This Row],[ABRIL]]+Programacion[[#This Row],[MAYO]]+Programacion[[#This Row],[JUNIO]]</f>
        <v>0</v>
      </c>
      <c r="AP1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21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6"/>
    </row>
    <row r="126" spans="1:46" x14ac:dyDescent="0.25">
      <c r="A126" s="132" t="s">
        <v>124</v>
      </c>
      <c r="B126" s="132" t="s">
        <v>267</v>
      </c>
      <c r="C126" s="132" t="s">
        <v>268</v>
      </c>
      <c r="D126" s="133" t="s">
        <v>48</v>
      </c>
      <c r="E126" s="134">
        <v>39</v>
      </c>
      <c r="F126" s="134">
        <v>23</v>
      </c>
      <c r="G126" s="133" t="s">
        <v>71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>
        <v>7000</v>
      </c>
      <c r="Y126" s="33"/>
      <c r="Z126" s="33"/>
      <c r="AA126" s="33"/>
      <c r="AB126" s="33"/>
      <c r="AC126" s="33"/>
      <c r="AD126" s="33"/>
      <c r="AE126" s="33"/>
      <c r="AF1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6" s="33">
        <f>Programacion[[#This Row],[ENERO]]+Programacion[[#This Row],[FEBRERO]]+Programacion[[#This Row],[MARZO]]</f>
        <v>0</v>
      </c>
      <c r="AH126" s="33">
        <f>Programacion[[#This Row],[DEVENGADO ENERO]]+Programacion[[#This Row],[DEVENGADO FEBRERO]]+Programacion[[#This Row],[DEVENGADO MARZO]]</f>
        <v>0</v>
      </c>
      <c r="AI126" s="33">
        <f>Programacion[[#This Row],[ABRIL]]+Programacion[[#This Row],[MAYO]]+Programacion[[#This Row],[JUNIO]]</f>
        <v>0</v>
      </c>
      <c r="AJ126" s="33">
        <f>Programacion[[#This Row],[DEVENGADO ABRIL]]+Programacion[[#This Row],[DEVENGADO MAYO]]+Programacion[[#This Row],[DEVENGADO JUNIO]]</f>
        <v>0</v>
      </c>
      <c r="AK126" s="33">
        <f>Programacion[[#This Row],[JULIO]]+Programacion[[#This Row],[AGOSTO]]+Programacion[[#This Row],[SEPTIEMBRE]]</f>
        <v>7000</v>
      </c>
      <c r="AL126" s="33">
        <f>Programacion[[#This Row],[DEVENGADO JULIO]]+Programacion[[#This Row],[DEVENGADO AGOSTO]]+Programacion[[#This Row],[DEVENGADO SEPTIEMBRE]]</f>
        <v>0</v>
      </c>
      <c r="AM126" s="33">
        <f>Programacion[[#This Row],[OCTUBRE]]+Programacion[[#This Row],[NOVIEMBRE]]+Programacion[[#This Row],[DICIEMBRE]]</f>
        <v>0</v>
      </c>
      <c r="AN126" s="21">
        <f>Programacion[[#This Row],[DEVENGADO OCTUBRE]]+Programacion[[#This Row],[DEVENGADO NOVIEMBRE]]+Programacion[[#This Row],[DEVENGADO DICIEMBRE]]</f>
        <v>0</v>
      </c>
      <c r="AO126" s="21">
        <f>Programacion[[#This Row],[ENERO]]+Programacion[[#This Row],[FEBRERO]]+Programacion[[#This Row],[MARZO]]+Programacion[[#This Row],[ABRIL]]+Programacion[[#This Row],[MAYO]]+Programacion[[#This Row],[JUNIO]]</f>
        <v>0</v>
      </c>
      <c r="AP1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6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6" s="116"/>
    </row>
    <row r="127" spans="1:46" x14ac:dyDescent="0.25">
      <c r="A127" s="132" t="s">
        <v>124</v>
      </c>
      <c r="B127" s="132" t="s">
        <v>295</v>
      </c>
      <c r="C127" s="46" t="s">
        <v>65</v>
      </c>
      <c r="D127" s="103" t="s">
        <v>48</v>
      </c>
      <c r="E127" s="104">
        <v>39</v>
      </c>
      <c r="F127" s="105">
        <v>2.2999999999999998</v>
      </c>
      <c r="G127" s="103" t="s">
        <v>75</v>
      </c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>
        <v>2700</v>
      </c>
      <c r="W127" s="33">
        <v>2700</v>
      </c>
      <c r="X127" s="33"/>
      <c r="Y127" s="33"/>
      <c r="Z127" s="33"/>
      <c r="AA127" s="33"/>
      <c r="AB127" s="33"/>
      <c r="AC127" s="33"/>
      <c r="AD127" s="33"/>
      <c r="AE127" s="33"/>
      <c r="AF1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27" s="33">
        <f>Programacion[[#This Row],[ENERO]]+Programacion[[#This Row],[FEBRERO]]+Programacion[[#This Row],[MARZO]]</f>
        <v>0</v>
      </c>
      <c r="AH127" s="33">
        <f>Programacion[[#This Row],[DEVENGADO ENERO]]+Programacion[[#This Row],[DEVENGADO FEBRERO]]+Programacion[[#This Row],[DEVENGADO MARZO]]</f>
        <v>0</v>
      </c>
      <c r="AI127" s="33">
        <f>Programacion[[#This Row],[ABRIL]]+Programacion[[#This Row],[MAYO]]+Programacion[[#This Row],[JUNIO]]</f>
        <v>0</v>
      </c>
      <c r="AJ127" s="33">
        <f>Programacion[[#This Row],[DEVENGADO ABRIL]]+Programacion[[#This Row],[DEVENGADO MAYO]]+Programacion[[#This Row],[DEVENGADO JUNIO]]</f>
        <v>0</v>
      </c>
      <c r="AK127" s="33">
        <f>Programacion[[#This Row],[JULIO]]+Programacion[[#This Row],[AGOSTO]]+Programacion[[#This Row],[SEPTIEMBRE]]</f>
        <v>2700</v>
      </c>
      <c r="AL127" s="33">
        <f>Programacion[[#This Row],[DEVENGADO JULIO]]+Programacion[[#This Row],[DEVENGADO AGOSTO]]+Programacion[[#This Row],[DEVENGADO SEPTIEMBRE]]</f>
        <v>2700</v>
      </c>
      <c r="AM127" s="33">
        <f>Programacion[[#This Row],[OCTUBRE]]+Programacion[[#This Row],[NOVIEMBRE]]+Programacion[[#This Row],[DICIEMBRE]]</f>
        <v>0</v>
      </c>
      <c r="AN127" s="21">
        <f>Programacion[[#This Row],[DEVENGADO OCTUBRE]]+Programacion[[#This Row],[DEVENGADO NOVIEMBRE]]+Programacion[[#This Row],[DEVENGADO DICIEMBRE]]</f>
        <v>0</v>
      </c>
      <c r="AO127" s="21">
        <f>Programacion[[#This Row],[ENERO]]+Programacion[[#This Row],[FEBRERO]]+Programacion[[#This Row],[MARZO]]+Programacion[[#This Row],[ABRIL]]+Programacion[[#This Row],[MAYO]]+Programacion[[#This Row],[JUNIO]]</f>
        <v>0</v>
      </c>
      <c r="AP1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27" s="116"/>
    </row>
    <row r="128" spans="1:46" x14ac:dyDescent="0.25">
      <c r="A128" s="132" t="s">
        <v>124</v>
      </c>
      <c r="B128" s="132" t="s">
        <v>296</v>
      </c>
      <c r="C128" s="128" t="s">
        <v>265</v>
      </c>
      <c r="D128" s="103" t="s">
        <v>48</v>
      </c>
      <c r="E128" s="104">
        <v>39</v>
      </c>
      <c r="F128" s="105">
        <v>2.2999999999999998</v>
      </c>
      <c r="G128" s="103" t="s">
        <v>193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>
        <v>150</v>
      </c>
      <c r="W128" s="33">
        <v>150</v>
      </c>
      <c r="X128" s="33"/>
      <c r="Y128" s="33"/>
      <c r="Z128" s="33"/>
      <c r="AA128" s="33"/>
      <c r="AB128" s="33"/>
      <c r="AC128" s="33"/>
      <c r="AD128" s="33"/>
      <c r="AE128" s="33"/>
      <c r="AF1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28" s="33">
        <f>Programacion[[#This Row],[ENERO]]+Programacion[[#This Row],[FEBRERO]]+Programacion[[#This Row],[MARZO]]</f>
        <v>0</v>
      </c>
      <c r="AH128" s="33">
        <f>Programacion[[#This Row],[DEVENGADO ENERO]]+Programacion[[#This Row],[DEVENGADO FEBRERO]]+Programacion[[#This Row],[DEVENGADO MARZO]]</f>
        <v>0</v>
      </c>
      <c r="AI128" s="33">
        <f>Programacion[[#This Row],[ABRIL]]+Programacion[[#This Row],[MAYO]]+Programacion[[#This Row],[JUNIO]]</f>
        <v>0</v>
      </c>
      <c r="AJ128" s="33">
        <f>Programacion[[#This Row],[DEVENGADO ABRIL]]+Programacion[[#This Row],[DEVENGADO MAYO]]+Programacion[[#This Row],[DEVENGADO JUNIO]]</f>
        <v>0</v>
      </c>
      <c r="AK128" s="33">
        <f>Programacion[[#This Row],[JULIO]]+Programacion[[#This Row],[AGOSTO]]+Programacion[[#This Row],[SEPTIEMBRE]]</f>
        <v>150</v>
      </c>
      <c r="AL128" s="33">
        <f>Programacion[[#This Row],[DEVENGADO JULIO]]+Programacion[[#This Row],[DEVENGADO AGOSTO]]+Programacion[[#This Row],[DEVENGADO SEPTIEMBRE]]</f>
        <v>150</v>
      </c>
      <c r="AM128" s="33">
        <f>Programacion[[#This Row],[OCTUBRE]]+Programacion[[#This Row],[NOVIEMBRE]]+Programacion[[#This Row],[DICIEMBRE]]</f>
        <v>0</v>
      </c>
      <c r="AN128" s="21">
        <f>Programacion[[#This Row],[DEVENGADO OCTUBRE]]+Programacion[[#This Row],[DEVENGADO NOVIEMBRE]]+Programacion[[#This Row],[DEVENGADO DICIEMBRE]]</f>
        <v>0</v>
      </c>
      <c r="AO128" s="21">
        <f>Programacion[[#This Row],[ENERO]]+Programacion[[#This Row],[FEBRERO]]+Programacion[[#This Row],[MARZO]]+Programacion[[#This Row],[ABRIL]]+Programacion[[#This Row],[MAYO]]+Programacion[[#This Row],[JUNIO]]</f>
        <v>0</v>
      </c>
      <c r="AP1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8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28" s="116"/>
    </row>
    <row r="129" spans="1:46" ht="30" x14ac:dyDescent="0.25">
      <c r="A129" s="132" t="s">
        <v>124</v>
      </c>
      <c r="B129" s="132" t="s">
        <v>269</v>
      </c>
      <c r="C129" s="132" t="s">
        <v>251</v>
      </c>
      <c r="D129" s="133" t="s">
        <v>48</v>
      </c>
      <c r="E129" s="134">
        <v>39</v>
      </c>
      <c r="F129" s="134">
        <v>23</v>
      </c>
      <c r="G129" s="133" t="s">
        <v>49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>
        <v>1600</v>
      </c>
      <c r="Y129" s="33"/>
      <c r="Z129" s="33"/>
      <c r="AA129" s="33"/>
      <c r="AB129" s="33"/>
      <c r="AC129" s="33"/>
      <c r="AD129" s="33"/>
      <c r="AE129" s="33"/>
      <c r="AF1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29" s="33">
        <f>Programacion[[#This Row],[ENERO]]+Programacion[[#This Row],[FEBRERO]]+Programacion[[#This Row],[MARZO]]</f>
        <v>0</v>
      </c>
      <c r="AH129" s="33">
        <f>Programacion[[#This Row],[DEVENGADO ENERO]]+Programacion[[#This Row],[DEVENGADO FEBRERO]]+Programacion[[#This Row],[DEVENGADO MARZO]]</f>
        <v>0</v>
      </c>
      <c r="AI129" s="33">
        <f>Programacion[[#This Row],[ABRIL]]+Programacion[[#This Row],[MAYO]]+Programacion[[#This Row],[JUNIO]]</f>
        <v>0</v>
      </c>
      <c r="AJ129" s="33">
        <f>Programacion[[#This Row],[DEVENGADO ABRIL]]+Programacion[[#This Row],[DEVENGADO MAYO]]+Programacion[[#This Row],[DEVENGADO JUNIO]]</f>
        <v>0</v>
      </c>
      <c r="AK129" s="33">
        <f>Programacion[[#This Row],[JULIO]]+Programacion[[#This Row],[AGOSTO]]+Programacion[[#This Row],[SEPTIEMBRE]]</f>
        <v>1600</v>
      </c>
      <c r="AL129" s="33">
        <f>Programacion[[#This Row],[DEVENGADO JULIO]]+Programacion[[#This Row],[DEVENGADO AGOSTO]]+Programacion[[#This Row],[DEVENGADO SEPTIEMBRE]]</f>
        <v>0</v>
      </c>
      <c r="AM129" s="33">
        <f>Programacion[[#This Row],[OCTUBRE]]+Programacion[[#This Row],[NOVIEMBRE]]+Programacion[[#This Row],[DICIEMBRE]]</f>
        <v>0</v>
      </c>
      <c r="AN129" s="21">
        <f>Programacion[[#This Row],[DEVENGADO OCTUBRE]]+Programacion[[#This Row],[DEVENGADO NOVIEMBRE]]+Programacion[[#This Row],[DEVENGADO DICIEMBRE]]</f>
        <v>0</v>
      </c>
      <c r="AO129" s="21">
        <f>Programacion[[#This Row],[ENERO]]+Programacion[[#This Row],[FEBRERO]]+Programacion[[#This Row],[MARZO]]+Programacion[[#This Row],[ABRIL]]+Programacion[[#This Row],[MAYO]]+Programacion[[#This Row],[JUNIO]]</f>
        <v>0</v>
      </c>
      <c r="AP1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9" s="116"/>
    </row>
    <row r="130" spans="1:46" x14ac:dyDescent="0.25">
      <c r="A130" s="132" t="s">
        <v>124</v>
      </c>
      <c r="B130" s="132" t="s">
        <v>270</v>
      </c>
      <c r="C130" s="132" t="s">
        <v>249</v>
      </c>
      <c r="D130" s="133" t="s">
        <v>48</v>
      </c>
      <c r="E130" s="134">
        <v>39</v>
      </c>
      <c r="F130" s="134">
        <v>23</v>
      </c>
      <c r="G130" s="133" t="s">
        <v>51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>
        <v>1200</v>
      </c>
      <c r="W130" s="33">
        <v>1200</v>
      </c>
      <c r="X130" s="33"/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1200</v>
      </c>
      <c r="AL130" s="33">
        <f>Programacion[[#This Row],[DEVENGADO JULIO]]+Programacion[[#This Row],[DEVENGADO AGOSTO]]+Programacion[[#This Row],[DEVENGADO SEPTIEMBRE]]</f>
        <v>1200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0" s="116"/>
    </row>
    <row r="131" spans="1:46" ht="30" x14ac:dyDescent="0.25">
      <c r="A131" s="52" t="s">
        <v>124</v>
      </c>
      <c r="B131" s="45" t="s">
        <v>46</v>
      </c>
      <c r="C131" s="46" t="s">
        <v>47</v>
      </c>
      <c r="D131" s="46" t="s">
        <v>48</v>
      </c>
      <c r="E131" s="47">
        <v>39</v>
      </c>
      <c r="F131" s="48">
        <v>2.2999999999999998</v>
      </c>
      <c r="G131" s="46" t="s">
        <v>49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>
        <v>6000</v>
      </c>
      <c r="AA131" s="49"/>
      <c r="AB131" s="49"/>
      <c r="AC131" s="49"/>
      <c r="AD131" s="49"/>
      <c r="AE131" s="4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6000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16"/>
    </row>
    <row r="132" spans="1:46" x14ac:dyDescent="0.25">
      <c r="A132" s="52" t="s">
        <v>124</v>
      </c>
      <c r="B132" s="45" t="s">
        <v>84</v>
      </c>
      <c r="C132" s="46" t="s">
        <v>47</v>
      </c>
      <c r="D132" s="46" t="s">
        <v>48</v>
      </c>
      <c r="E132" s="47">
        <v>39</v>
      </c>
      <c r="F132" s="48">
        <v>2.2999999999999998</v>
      </c>
      <c r="G132" s="46" t="s">
        <v>51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>
        <v>4000</v>
      </c>
      <c r="AA132" s="49"/>
      <c r="AB132" s="49"/>
      <c r="AC132" s="49"/>
      <c r="AD132" s="49"/>
      <c r="AE132" s="50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0</v>
      </c>
      <c r="AJ132" s="19">
        <f>Programacion[[#This Row],[DEVENGADO ABRIL]]+Programacion[[#This Row],[DEVENGADO MAYO]]+Programacion[[#This Row],[DEVENGADO JUNIO]]</f>
        <v>0</v>
      </c>
      <c r="AK132" s="19">
        <f>Programacion[[#This Row],[JULIO]]+Programacion[[#This Row],[AGOSTO]]+Programacion[[#This Row],[SEPTIEMBRE]]</f>
        <v>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4000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2" s="116"/>
    </row>
    <row r="133" spans="1:46" x14ac:dyDescent="0.25">
      <c r="A133" s="52" t="s">
        <v>124</v>
      </c>
      <c r="B133" s="45" t="s">
        <v>134</v>
      </c>
      <c r="C133" s="46" t="s">
        <v>65</v>
      </c>
      <c r="D133" s="46" t="s">
        <v>48</v>
      </c>
      <c r="E133" s="47">
        <v>39</v>
      </c>
      <c r="F133" s="48">
        <v>2.2999999999999998</v>
      </c>
      <c r="G133" s="46" t="s">
        <v>68</v>
      </c>
      <c r="H133" s="49"/>
      <c r="I133" s="49"/>
      <c r="J133" s="49"/>
      <c r="K133" s="49"/>
      <c r="L133" s="53">
        <v>4500</v>
      </c>
      <c r="M133" s="53">
        <v>4500</v>
      </c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50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33" s="19">
        <f>Programacion[[#This Row],[ENERO]]+Programacion[[#This Row],[FEBRERO]]+Programacion[[#This Row],[MARZO]]</f>
        <v>4500</v>
      </c>
      <c r="AH133" s="19">
        <f>Programacion[[#This Row],[DEVENGADO ENERO]]+Programacion[[#This Row],[DEVENGADO FEBRERO]]+Programacion[[#This Row],[DEVENGADO MARZO]]</f>
        <v>4500</v>
      </c>
      <c r="AI133" s="19">
        <f>Programacion[[#This Row],[ABRIL]]+Programacion[[#This Row],[MAYO]]+Programacion[[#This Row],[JUNIO]]</f>
        <v>0</v>
      </c>
      <c r="AJ133" s="19">
        <f>Programacion[[#This Row],[DEVENGADO ABRIL]]+Programacion[[#This Row],[DEVENGADO MAYO]]+Programacion[[#This Row],[DEVENGADO JUNIO]]</f>
        <v>0</v>
      </c>
      <c r="AK133" s="19">
        <f>Programacion[[#This Row],[JULIO]]+Programacion[[#This Row],[AGOSTO]]+Programacion[[#This Row],[SEPTIEMBRE]]</f>
        <v>0</v>
      </c>
      <c r="AL133" s="19">
        <f>Programacion[[#This Row],[DEVENGADO JULIO]]+Programacion[[#This Row],[DEVENGADO AGOSTO]]+Programacion[[#This Row],[DEVENGADO SEPTIEMBRE]]</f>
        <v>0</v>
      </c>
      <c r="AM133" s="19">
        <f>Programacion[[#This Row],[OCTUBRE]]+Programacion[[#This Row],[NOVIEMBRE]]+Programacion[[#This Row],[DICIEMBRE]]</f>
        <v>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4500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33" s="116"/>
    </row>
    <row r="134" spans="1:46" x14ac:dyDescent="0.25">
      <c r="A134" s="52" t="s">
        <v>124</v>
      </c>
      <c r="B134" s="45" t="s">
        <v>135</v>
      </c>
      <c r="C134" s="46" t="s">
        <v>56</v>
      </c>
      <c r="D134" s="46" t="s">
        <v>48</v>
      </c>
      <c r="E134" s="47">
        <v>3</v>
      </c>
      <c r="F134" s="48">
        <v>2.2999999999999998</v>
      </c>
      <c r="G134" s="46" t="s">
        <v>71</v>
      </c>
      <c r="H134" s="49"/>
      <c r="I134" s="49"/>
      <c r="J134" s="49"/>
      <c r="K134" s="49"/>
      <c r="L134" s="49"/>
      <c r="M134" s="49"/>
      <c r="N134" s="49">
        <v>15000</v>
      </c>
      <c r="O134" s="49">
        <v>15000</v>
      </c>
      <c r="P134" s="49">
        <v>7500</v>
      </c>
      <c r="Q134" s="49">
        <v>7500</v>
      </c>
      <c r="R134" s="49">
        <v>7500</v>
      </c>
      <c r="S134" s="49">
        <v>7500</v>
      </c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50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30000</v>
      </c>
      <c r="AJ134" s="19">
        <f>Programacion[[#This Row],[DEVENGADO ABRIL]]+Programacion[[#This Row],[DEVENGADO MAYO]]+Programacion[[#This Row],[DEVENGADO JUNIO]]</f>
        <v>30000</v>
      </c>
      <c r="AK134" s="19">
        <f>Programacion[[#This Row],[JULIO]]+Programacion[[#This Row],[AGOSTO]]+Programacion[[#This Row],[SEPTIEMBRE]]</f>
        <v>0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30000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4" s="116"/>
    </row>
    <row r="135" spans="1:46" ht="30" x14ac:dyDescent="0.25">
      <c r="A135" s="51" t="s">
        <v>124</v>
      </c>
      <c r="B135" s="45" t="s">
        <v>136</v>
      </c>
      <c r="C135" s="46" t="s">
        <v>56</v>
      </c>
      <c r="D135" s="46" t="s">
        <v>48</v>
      </c>
      <c r="E135" s="47">
        <v>3</v>
      </c>
      <c r="F135" s="48">
        <v>2.2999999999999998</v>
      </c>
      <c r="G135" s="46" t="s">
        <v>71</v>
      </c>
      <c r="H135" s="49"/>
      <c r="I135" s="49"/>
      <c r="J135" s="49"/>
      <c r="K135" s="49"/>
      <c r="L135" s="49"/>
      <c r="M135" s="49"/>
      <c r="N135" s="49">
        <v>10000</v>
      </c>
      <c r="O135" s="49">
        <v>10000</v>
      </c>
      <c r="P135" s="49">
        <v>5000</v>
      </c>
      <c r="Q135" s="49">
        <v>5000</v>
      </c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15000</v>
      </c>
      <c r="AJ135" s="19">
        <f>Programacion[[#This Row],[DEVENGADO ABRIL]]+Programacion[[#This Row],[DEVENGADO MAYO]]+Programacion[[#This Row],[DEVENGADO JUNIO]]</f>
        <v>15000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15000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5" s="116"/>
    </row>
    <row r="136" spans="1:46" x14ac:dyDescent="0.25">
      <c r="A136" s="54" t="s">
        <v>137</v>
      </c>
      <c r="B136" s="55" t="s">
        <v>112</v>
      </c>
      <c r="C136" s="54" t="s">
        <v>56</v>
      </c>
      <c r="D136" s="56" t="s">
        <v>48</v>
      </c>
      <c r="E136" s="57">
        <v>64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>
        <v>10000</v>
      </c>
      <c r="M136" s="59">
        <v>10000</v>
      </c>
      <c r="N136" s="59">
        <v>5000</v>
      </c>
      <c r="O136" s="59">
        <v>5000</v>
      </c>
      <c r="P136" s="59">
        <v>5000</v>
      </c>
      <c r="Q136" s="59">
        <v>5000</v>
      </c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6" s="19">
        <f>Programacion[[#This Row],[ENERO]]+Programacion[[#This Row],[FEBRERO]]+Programacion[[#This Row],[MARZO]]</f>
        <v>10000</v>
      </c>
      <c r="AH136" s="19">
        <f>Programacion[[#This Row],[DEVENGADO ENERO]]+Programacion[[#This Row],[DEVENGADO FEBRERO]]+Programacion[[#This Row],[DEVENGADO MARZO]]</f>
        <v>10000</v>
      </c>
      <c r="AI136" s="19">
        <f>Programacion[[#This Row],[ABRIL]]+Programacion[[#This Row],[MAYO]]+Programacion[[#This Row],[JUNIO]]</f>
        <v>10000</v>
      </c>
      <c r="AJ136" s="19">
        <f>Programacion[[#This Row],[DEVENGADO ABRIL]]+Programacion[[#This Row],[DEVENGADO MAYO]]+Programacion[[#This Row],[DEVENGADO JUNIO]]</f>
        <v>10000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20000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6" s="116"/>
    </row>
    <row r="137" spans="1:46" x14ac:dyDescent="0.25">
      <c r="A137" s="54" t="s">
        <v>137</v>
      </c>
      <c r="B137" s="55" t="s">
        <v>138</v>
      </c>
      <c r="C137" s="54" t="s">
        <v>56</v>
      </c>
      <c r="D137" s="56" t="s">
        <v>48</v>
      </c>
      <c r="E137" s="57">
        <v>64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>
        <v>5000</v>
      </c>
      <c r="S137" s="59">
        <v>5000</v>
      </c>
      <c r="T137" s="59">
        <v>5000</v>
      </c>
      <c r="U137" s="59">
        <v>5000</v>
      </c>
      <c r="V137" s="59">
        <v>5000</v>
      </c>
      <c r="W137" s="59">
        <v>5000</v>
      </c>
      <c r="X137" s="59">
        <v>5000</v>
      </c>
      <c r="Y137" s="59"/>
      <c r="Z137" s="59">
        <v>5000</v>
      </c>
      <c r="AA137" s="59"/>
      <c r="AB137" s="59">
        <v>5000</v>
      </c>
      <c r="AC137" s="59"/>
      <c r="AD137" s="59">
        <v>5000</v>
      </c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5000</v>
      </c>
      <c r="AJ137" s="19">
        <f>Programacion[[#This Row],[DEVENGADO ABRIL]]+Programacion[[#This Row],[DEVENGADO MAYO]]+Programacion[[#This Row],[DEVENGADO JUNIO]]</f>
        <v>5000</v>
      </c>
      <c r="AK137" s="19">
        <f>Programacion[[#This Row],[JULIO]]+Programacion[[#This Row],[AGOSTO]]+Programacion[[#This Row],[SEPTIEMBRE]]</f>
        <v>15000</v>
      </c>
      <c r="AL137" s="19">
        <f>Programacion[[#This Row],[DEVENGADO JULIO]]+Programacion[[#This Row],[DEVENGADO AGOSTO]]+Programacion[[#This Row],[DEVENGADO SEPTIEMBRE]]</f>
        <v>10000</v>
      </c>
      <c r="AM137" s="19">
        <f>Programacion[[#This Row],[OCTUBRE]]+Programacion[[#This Row],[NOVIEMBRE]]+Programacion[[#This Row],[DICIEMBRE]]</f>
        <v>15000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7" s="116"/>
    </row>
    <row r="138" spans="1:46" x14ac:dyDescent="0.25">
      <c r="A138" s="54" t="s">
        <v>137</v>
      </c>
      <c r="B138" s="27" t="s">
        <v>85</v>
      </c>
      <c r="C138" s="28" t="s">
        <v>47</v>
      </c>
      <c r="D138" s="28" t="s">
        <v>48</v>
      </c>
      <c r="E138" s="29">
        <v>39</v>
      </c>
      <c r="F138" s="30">
        <v>2.2999999999999998</v>
      </c>
      <c r="G138" s="28" t="s">
        <v>86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>
        <v>1200</v>
      </c>
      <c r="W138" s="33">
        <v>1200</v>
      </c>
      <c r="X138" s="33"/>
      <c r="Y138" s="33"/>
      <c r="Z138" s="33"/>
      <c r="AA138" s="33"/>
      <c r="AB138" s="33"/>
      <c r="AC138" s="33"/>
      <c r="AD138" s="33"/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1200</v>
      </c>
      <c r="AL138" s="33">
        <f>Programacion[[#This Row],[DEVENGADO JULIO]]+Programacion[[#This Row],[DEVENGADO AGOSTO]]+Programacion[[#This Row],[DEVENGADO SEPTIEMBRE]]</f>
        <v>1200</v>
      </c>
      <c r="AM138" s="33">
        <f>Programacion[[#This Row],[OCTUBRE]]+Programacion[[#This Row],[NOVIEMBRE]]+Programacion[[#This Row],[DICIEMBRE]]</f>
        <v>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8" s="116"/>
    </row>
    <row r="139" spans="1:46" ht="30" x14ac:dyDescent="0.25">
      <c r="A139" s="54" t="s">
        <v>137</v>
      </c>
      <c r="B139" s="55" t="s">
        <v>46</v>
      </c>
      <c r="C139" s="54" t="s">
        <v>47</v>
      </c>
      <c r="D139" s="56" t="s">
        <v>48</v>
      </c>
      <c r="E139" s="57">
        <v>39</v>
      </c>
      <c r="F139" s="58">
        <v>2.2999999999999998</v>
      </c>
      <c r="G139" s="56" t="s">
        <v>49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>
        <v>2000</v>
      </c>
      <c r="S139" s="59">
        <v>2000</v>
      </c>
      <c r="T139" s="59"/>
      <c r="U139" s="59"/>
      <c r="V139" s="59">
        <v>2200</v>
      </c>
      <c r="W139" s="59">
        <v>2200</v>
      </c>
      <c r="X139" s="59"/>
      <c r="Y139" s="59"/>
      <c r="Z139" s="59"/>
      <c r="AA139" s="59"/>
      <c r="AB139" s="59"/>
      <c r="AC139" s="59"/>
      <c r="AD139" s="59"/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9" s="19">
        <f>Programacion[[#This Row],[ENERO]]+Programacion[[#This Row],[FEBRERO]]+Programacion[[#This Row],[MARZO]]</f>
        <v>0</v>
      </c>
      <c r="AH139" s="19">
        <f>Programacion[[#This Row],[DEVENGADO ENERO]]+Programacion[[#This Row],[DEVENGADO FEBRERO]]+Programacion[[#This Row],[DEVENGADO MARZO]]</f>
        <v>0</v>
      </c>
      <c r="AI139" s="19">
        <f>Programacion[[#This Row],[ABRIL]]+Programacion[[#This Row],[MAYO]]+Programacion[[#This Row],[JUNIO]]</f>
        <v>2000</v>
      </c>
      <c r="AJ139" s="19">
        <f>Programacion[[#This Row],[DEVENGADO ABRIL]]+Programacion[[#This Row],[DEVENGADO MAYO]]+Programacion[[#This Row],[DEVENGADO JUNIO]]</f>
        <v>2000</v>
      </c>
      <c r="AK139" s="19">
        <f>Programacion[[#This Row],[JULIO]]+Programacion[[#This Row],[AGOSTO]]+Programacion[[#This Row],[SEPTIEMBRE]]</f>
        <v>2200</v>
      </c>
      <c r="AL139" s="19">
        <f>Programacion[[#This Row],[DEVENGADO JULIO]]+Programacion[[#This Row],[DEVENGADO AGOSTO]]+Programacion[[#This Row],[DEVENGADO SEPTIEMBRE]]</f>
        <v>2200</v>
      </c>
      <c r="AM139" s="19">
        <f>Programacion[[#This Row],[OCTUBRE]]+Programacion[[#This Row],[NOVIEMBRE]]+Programacion[[#This Row],[DICIEMBRE]]</f>
        <v>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2000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9" s="116"/>
    </row>
    <row r="140" spans="1:46" x14ac:dyDescent="0.25">
      <c r="A140" s="54" t="s">
        <v>137</v>
      </c>
      <c r="B140" s="55" t="s">
        <v>50</v>
      </c>
      <c r="C140" s="54" t="s">
        <v>47</v>
      </c>
      <c r="D140" s="56" t="s">
        <v>48</v>
      </c>
      <c r="E140" s="57">
        <v>39</v>
      </c>
      <c r="F140" s="58">
        <v>2.2999999999999998</v>
      </c>
      <c r="G140" s="56" t="s">
        <v>51</v>
      </c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>
        <v>1080</v>
      </c>
      <c r="S140" s="59">
        <v>1080</v>
      </c>
      <c r="T140" s="59"/>
      <c r="U140" s="59"/>
      <c r="V140" s="59">
        <v>4000</v>
      </c>
      <c r="W140" s="59">
        <v>4000</v>
      </c>
      <c r="X140" s="59"/>
      <c r="Y140" s="59"/>
      <c r="Z140" s="59"/>
      <c r="AA140" s="59"/>
      <c r="AB140" s="59"/>
      <c r="AC140" s="59"/>
      <c r="AD140" s="59"/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40" s="19">
        <f>Programacion[[#This Row],[ENERO]]+Programacion[[#This Row],[FEBRERO]]+Programacion[[#This Row],[MARZO]]</f>
        <v>0</v>
      </c>
      <c r="AH140" s="19">
        <f>Programacion[[#This Row],[DEVENGADO ENERO]]+Programacion[[#This Row],[DEVENGADO FEBRERO]]+Programacion[[#This Row],[DEVENGADO MARZO]]</f>
        <v>0</v>
      </c>
      <c r="AI140" s="19">
        <f>Programacion[[#This Row],[ABRIL]]+Programacion[[#This Row],[MAYO]]+Programacion[[#This Row],[JUNIO]]</f>
        <v>1080</v>
      </c>
      <c r="AJ140" s="19">
        <f>Programacion[[#This Row],[DEVENGADO ABRIL]]+Programacion[[#This Row],[DEVENGADO MAYO]]+Programacion[[#This Row],[DEVENGADO JUNIO]]</f>
        <v>1080</v>
      </c>
      <c r="AK140" s="19">
        <f>Programacion[[#This Row],[JULIO]]+Programacion[[#This Row],[AGOSTO]]+Programacion[[#This Row],[SEPTIEMBRE]]</f>
        <v>4000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1080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40" s="116"/>
    </row>
    <row r="141" spans="1:46" ht="30" x14ac:dyDescent="0.25">
      <c r="A141" s="54" t="s">
        <v>137</v>
      </c>
      <c r="B141" s="55" t="s">
        <v>139</v>
      </c>
      <c r="C141" s="54" t="s">
        <v>74</v>
      </c>
      <c r="D141" s="56" t="s">
        <v>48</v>
      </c>
      <c r="E141" s="57">
        <v>39</v>
      </c>
      <c r="F141" s="58">
        <v>2.2999999999999998</v>
      </c>
      <c r="G141" s="56" t="s">
        <v>75</v>
      </c>
      <c r="H141" s="59"/>
      <c r="I141" s="59"/>
      <c r="J141" s="59"/>
      <c r="K141" s="59"/>
      <c r="L141" s="59">
        <v>1680</v>
      </c>
      <c r="M141" s="59">
        <v>1680</v>
      </c>
      <c r="N141" s="59">
        <v>1724.8</v>
      </c>
      <c r="O141" s="59">
        <v>1724.8</v>
      </c>
      <c r="P141" s="59"/>
      <c r="Q141" s="59"/>
      <c r="R141" s="59">
        <v>3460.8</v>
      </c>
      <c r="S141" s="59">
        <v>3460.8</v>
      </c>
      <c r="T141" s="59">
        <v>1730.4</v>
      </c>
      <c r="U141" s="59">
        <v>1730.4</v>
      </c>
      <c r="V141" s="59">
        <v>1730.4</v>
      </c>
      <c r="W141" s="59">
        <v>1730.4</v>
      </c>
      <c r="X141" s="59">
        <v>1730.4</v>
      </c>
      <c r="Y141" s="59"/>
      <c r="Z141" s="59">
        <v>1730.4</v>
      </c>
      <c r="AA141" s="59"/>
      <c r="AB141" s="59">
        <v>1730.4</v>
      </c>
      <c r="AC141" s="59"/>
      <c r="AD141" s="59">
        <v>1730.4</v>
      </c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41" s="19">
        <f>Programacion[[#This Row],[ENERO]]+Programacion[[#This Row],[FEBRERO]]+Programacion[[#This Row],[MARZO]]</f>
        <v>1680</v>
      </c>
      <c r="AH141" s="19">
        <f>Programacion[[#This Row],[DEVENGADO ENERO]]+Programacion[[#This Row],[DEVENGADO FEBRERO]]+Programacion[[#This Row],[DEVENGADO MARZO]]</f>
        <v>1680</v>
      </c>
      <c r="AI141" s="19">
        <f>Programacion[[#This Row],[ABRIL]]+Programacion[[#This Row],[MAYO]]+Programacion[[#This Row],[JUNIO]]</f>
        <v>5185.6000000000004</v>
      </c>
      <c r="AJ141" s="19">
        <f>Programacion[[#This Row],[DEVENGADO ABRIL]]+Programacion[[#This Row],[DEVENGADO MAYO]]+Programacion[[#This Row],[DEVENGADO JUNIO]]</f>
        <v>5185.6000000000004</v>
      </c>
      <c r="AK141" s="19">
        <f>Programacion[[#This Row],[JULIO]]+Programacion[[#This Row],[AGOSTO]]+Programacion[[#This Row],[SEPTIEMBRE]]</f>
        <v>5191.2000000000007</v>
      </c>
      <c r="AL141" s="19">
        <f>Programacion[[#This Row],[DEVENGADO JULIO]]+Programacion[[#This Row],[DEVENGADO AGOSTO]]+Programacion[[#This Row],[DEVENGADO SEPTIEMBRE]]</f>
        <v>3460.8</v>
      </c>
      <c r="AM141" s="19">
        <f>Programacion[[#This Row],[OCTUBRE]]+Programacion[[#This Row],[NOVIEMBRE]]+Programacion[[#This Row],[DICIEMBRE]]</f>
        <v>5191.2000000000007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6865.6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41" s="116"/>
    </row>
    <row r="142" spans="1:46" ht="30" x14ac:dyDescent="0.25">
      <c r="A142" s="54" t="s">
        <v>137</v>
      </c>
      <c r="B142" s="55" t="s">
        <v>140</v>
      </c>
      <c r="C142" s="54" t="s">
        <v>74</v>
      </c>
      <c r="D142" s="56" t="s">
        <v>48</v>
      </c>
      <c r="E142" s="57">
        <v>39</v>
      </c>
      <c r="F142" s="58">
        <v>2.2999999999999998</v>
      </c>
      <c r="G142" s="56" t="s">
        <v>75</v>
      </c>
      <c r="H142" s="59">
        <v>810</v>
      </c>
      <c r="I142" s="59">
        <v>810</v>
      </c>
      <c r="J142" s="59">
        <v>810</v>
      </c>
      <c r="K142" s="59">
        <v>810</v>
      </c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2" s="19">
        <f>Programacion[[#This Row],[ENERO]]+Programacion[[#This Row],[FEBRERO]]+Programacion[[#This Row],[MARZO]]</f>
        <v>1620</v>
      </c>
      <c r="AH142" s="19">
        <f>Programacion[[#This Row],[DEVENGADO ENERO]]+Programacion[[#This Row],[DEVENGADO FEBRERO]]+Programacion[[#This Row],[DEVENGADO MARZO]]</f>
        <v>1620</v>
      </c>
      <c r="AI142" s="19">
        <f>Programacion[[#This Row],[ABRIL]]+Programacion[[#This Row],[MAYO]]+Programacion[[#This Row],[JUNIO]]</f>
        <v>0</v>
      </c>
      <c r="AJ142" s="19">
        <f>Programacion[[#This Row],[DEVENGADO ABRIL]]+Programacion[[#This Row],[DEVENGADO MAYO]]+Programacion[[#This Row],[DEVENGADO JUNIO]]</f>
        <v>0</v>
      </c>
      <c r="AK142" s="19">
        <f>Programacion[[#This Row],[JULIO]]+Programacion[[#This Row],[AGOSTO]]+Programacion[[#This Row],[SEPTIEMBRE]]</f>
        <v>0</v>
      </c>
      <c r="AL142" s="19">
        <f>Programacion[[#This Row],[DEVENGADO JULIO]]+Programacion[[#This Row],[DEVENGADO AGOSTO]]+Programacion[[#This Row],[DEVENGADO SEPTIEMBRE]]</f>
        <v>0</v>
      </c>
      <c r="AM142" s="19">
        <f>Programacion[[#This Row],[OCTUBRE]]+Programacion[[#This Row],[NOVIEMBRE]]+Programacion[[#This Row],[DICIEMBRE]]</f>
        <v>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1620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42" s="116"/>
    </row>
    <row r="143" spans="1:46" ht="30" x14ac:dyDescent="0.25">
      <c r="A143" s="54" t="s">
        <v>137</v>
      </c>
      <c r="B143" s="55" t="s">
        <v>141</v>
      </c>
      <c r="C143" s="54" t="s">
        <v>56</v>
      </c>
      <c r="D143" s="56" t="s">
        <v>48</v>
      </c>
      <c r="E143" s="57">
        <v>3</v>
      </c>
      <c r="F143" s="58">
        <v>2.2999999999999998</v>
      </c>
      <c r="G143" s="56" t="s">
        <v>71</v>
      </c>
      <c r="H143" s="59"/>
      <c r="I143" s="59"/>
      <c r="J143" s="59"/>
      <c r="K143" s="59"/>
      <c r="L143" s="59">
        <v>10000</v>
      </c>
      <c r="M143" s="59">
        <v>10000</v>
      </c>
      <c r="N143" s="59">
        <v>5000</v>
      </c>
      <c r="O143" s="59">
        <v>5000</v>
      </c>
      <c r="P143" s="59">
        <v>5000</v>
      </c>
      <c r="Q143" s="59">
        <v>5000</v>
      </c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3" s="19">
        <f>Programacion[[#This Row],[ENERO]]+Programacion[[#This Row],[FEBRERO]]+Programacion[[#This Row],[MARZO]]</f>
        <v>10000</v>
      </c>
      <c r="AH143" s="19">
        <f>Programacion[[#This Row],[DEVENGADO ENERO]]+Programacion[[#This Row],[DEVENGADO FEBRERO]]+Programacion[[#This Row],[DEVENGADO MARZO]]</f>
        <v>10000</v>
      </c>
      <c r="AI143" s="19">
        <f>Programacion[[#This Row],[ABRIL]]+Programacion[[#This Row],[MAYO]]+Programacion[[#This Row],[JUNIO]]</f>
        <v>10000</v>
      </c>
      <c r="AJ143" s="19">
        <f>Programacion[[#This Row],[DEVENGADO ABRIL]]+Programacion[[#This Row],[DEVENGADO MAYO]]+Programacion[[#This Row],[DEVENGADO JUNIO]]</f>
        <v>10000</v>
      </c>
      <c r="AK143" s="19">
        <f>Programacion[[#This Row],[JULIO]]+Programacion[[#This Row],[AGOSTO]]+Programacion[[#This Row],[SEPTIEMBRE]]</f>
        <v>0</v>
      </c>
      <c r="AL143" s="19">
        <f>Programacion[[#This Row],[DEVENGADO JULIO]]+Programacion[[#This Row],[DEVENGADO AGOSTO]]+Programacion[[#This Row],[DEVENGADO SEPTIEMBRE]]</f>
        <v>0</v>
      </c>
      <c r="AM143" s="19">
        <f>Programacion[[#This Row],[OCTUBRE]]+Programacion[[#This Row],[NOVIEMBRE]]+Programacion[[#This Row],[DICIEMBRE]]</f>
        <v>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20000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3" s="116"/>
    </row>
    <row r="144" spans="1:46" x14ac:dyDescent="0.25">
      <c r="A144" s="54" t="s">
        <v>137</v>
      </c>
      <c r="B144" s="55" t="s">
        <v>142</v>
      </c>
      <c r="C144" s="54" t="s">
        <v>56</v>
      </c>
      <c r="D144" s="56" t="s">
        <v>48</v>
      </c>
      <c r="E144" s="57">
        <v>3</v>
      </c>
      <c r="F144" s="58">
        <v>2.2999999999999998</v>
      </c>
      <c r="G144" s="56" t="s">
        <v>71</v>
      </c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>
        <v>5000</v>
      </c>
      <c r="S144" s="59">
        <v>5000</v>
      </c>
      <c r="T144" s="59">
        <v>5000</v>
      </c>
      <c r="U144" s="59">
        <v>5000</v>
      </c>
      <c r="V144" s="59">
        <v>5000</v>
      </c>
      <c r="W144" s="59">
        <v>5000</v>
      </c>
      <c r="X144" s="59">
        <v>5000</v>
      </c>
      <c r="Y144" s="59"/>
      <c r="Z144" s="59">
        <v>5000</v>
      </c>
      <c r="AA144" s="59"/>
      <c r="AB144" s="59">
        <v>5000</v>
      </c>
      <c r="AC144" s="59"/>
      <c r="AD144" s="59">
        <v>5000</v>
      </c>
      <c r="AE144" s="59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5000</v>
      </c>
      <c r="AJ144" s="19">
        <f>Programacion[[#This Row],[DEVENGADO ABRIL]]+Programacion[[#This Row],[DEVENGADO MAYO]]+Programacion[[#This Row],[DEVENGADO JUNIO]]</f>
        <v>5000</v>
      </c>
      <c r="AK144" s="19">
        <f>Programacion[[#This Row],[JULIO]]+Programacion[[#This Row],[AGOSTO]]+Programacion[[#This Row],[SEPTIEMBRE]]</f>
        <v>15000</v>
      </c>
      <c r="AL144" s="19">
        <f>Programacion[[#This Row],[DEVENGADO JULIO]]+Programacion[[#This Row],[DEVENGADO AGOSTO]]+Programacion[[#This Row],[DEVENGADO SEPTIEMBRE]]</f>
        <v>10000</v>
      </c>
      <c r="AM144" s="19">
        <f>Programacion[[#This Row],[OCTUBRE]]+Programacion[[#This Row],[NOVIEMBRE]]+Programacion[[#This Row],[DICIEMBRE]]</f>
        <v>15000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5000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4" s="116"/>
    </row>
    <row r="145" spans="1:46" ht="30" x14ac:dyDescent="0.25">
      <c r="A145" s="54" t="s">
        <v>137</v>
      </c>
      <c r="B145" s="55" t="s">
        <v>143</v>
      </c>
      <c r="C145" s="54" t="s">
        <v>56</v>
      </c>
      <c r="D145" s="56" t="s">
        <v>48</v>
      </c>
      <c r="E145" s="57">
        <v>3</v>
      </c>
      <c r="F145" s="58">
        <v>2.2999999999999998</v>
      </c>
      <c r="G145" s="56" t="s">
        <v>71</v>
      </c>
      <c r="H145" s="59"/>
      <c r="I145" s="59"/>
      <c r="J145" s="59"/>
      <c r="K145" s="59"/>
      <c r="L145" s="59">
        <v>10000</v>
      </c>
      <c r="M145" s="59">
        <v>10000</v>
      </c>
      <c r="N145" s="59">
        <v>5000</v>
      </c>
      <c r="O145" s="59">
        <v>5000</v>
      </c>
      <c r="P145" s="59">
        <v>5000</v>
      </c>
      <c r="Q145" s="59">
        <v>5000</v>
      </c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5" s="19">
        <f>Programacion[[#This Row],[ENERO]]+Programacion[[#This Row],[FEBRERO]]+Programacion[[#This Row],[MARZO]]</f>
        <v>10000</v>
      </c>
      <c r="AH145" s="19">
        <f>Programacion[[#This Row],[DEVENGADO ENERO]]+Programacion[[#This Row],[DEVENGADO FEBRERO]]+Programacion[[#This Row],[DEVENGADO MARZO]]</f>
        <v>10000</v>
      </c>
      <c r="AI145" s="19">
        <f>Programacion[[#This Row],[ABRIL]]+Programacion[[#This Row],[MAYO]]+Programacion[[#This Row],[JUNIO]]</f>
        <v>10000</v>
      </c>
      <c r="AJ145" s="19">
        <f>Programacion[[#This Row],[DEVENGADO ABRIL]]+Programacion[[#This Row],[DEVENGADO MAYO]]+Programacion[[#This Row],[DEVENGADO JUNIO]]</f>
        <v>10000</v>
      </c>
      <c r="AK145" s="19">
        <f>Programacion[[#This Row],[JULIO]]+Programacion[[#This Row],[AGOSTO]]+Programacion[[#This Row],[SEPTIEMBRE]]</f>
        <v>0</v>
      </c>
      <c r="AL145" s="19">
        <f>Programacion[[#This Row],[DEVENGADO JULIO]]+Programacion[[#This Row],[DEVENGADO AGOSTO]]+Programacion[[#This Row],[DEVENGADO SEPTIEMBRE]]</f>
        <v>0</v>
      </c>
      <c r="AM145" s="19">
        <f>Programacion[[#This Row],[OCTUBRE]]+Programacion[[#This Row],[NOVIEMBRE]]+Programacion[[#This Row],[DICIEMBRE]]</f>
        <v>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20000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5" s="116"/>
    </row>
    <row r="146" spans="1:46" x14ac:dyDescent="0.25">
      <c r="A146" s="54" t="s">
        <v>137</v>
      </c>
      <c r="B146" s="55" t="s">
        <v>142</v>
      </c>
      <c r="C146" s="54" t="s">
        <v>56</v>
      </c>
      <c r="D146" s="56" t="s">
        <v>48</v>
      </c>
      <c r="E146" s="57">
        <v>3</v>
      </c>
      <c r="F146" s="58">
        <v>2.2999999999999998</v>
      </c>
      <c r="G146" s="56" t="s">
        <v>71</v>
      </c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>
        <v>5000</v>
      </c>
      <c r="S146" s="59">
        <v>5000</v>
      </c>
      <c r="T146" s="59">
        <v>5000</v>
      </c>
      <c r="U146" s="59">
        <v>5000</v>
      </c>
      <c r="V146" s="59">
        <v>5000</v>
      </c>
      <c r="W146" s="59">
        <v>5000</v>
      </c>
      <c r="X146" s="59">
        <v>5000</v>
      </c>
      <c r="Y146" s="59"/>
      <c r="Z146" s="59">
        <v>5000</v>
      </c>
      <c r="AA146" s="59"/>
      <c r="AB146" s="59">
        <v>5000</v>
      </c>
      <c r="AC146" s="59"/>
      <c r="AD146" s="59">
        <v>5000</v>
      </c>
      <c r="AE146" s="59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6" s="19">
        <f>Programacion[[#This Row],[ENERO]]+Programacion[[#This Row],[FEBRERO]]+Programacion[[#This Row],[MARZO]]</f>
        <v>0</v>
      </c>
      <c r="AH146" s="19">
        <f>Programacion[[#This Row],[DEVENGADO ENERO]]+Programacion[[#This Row],[DEVENGADO FEBRERO]]+Programacion[[#This Row],[DEVENGADO MARZO]]</f>
        <v>0</v>
      </c>
      <c r="AI146" s="19">
        <f>Programacion[[#This Row],[ABRIL]]+Programacion[[#This Row],[MAYO]]+Programacion[[#This Row],[JUNIO]]</f>
        <v>5000</v>
      </c>
      <c r="AJ146" s="19">
        <f>Programacion[[#This Row],[DEVENGADO ABRIL]]+Programacion[[#This Row],[DEVENGADO MAYO]]+Programacion[[#This Row],[DEVENGADO JUNIO]]</f>
        <v>5000</v>
      </c>
      <c r="AK146" s="19">
        <f>Programacion[[#This Row],[JULIO]]+Programacion[[#This Row],[AGOSTO]]+Programacion[[#This Row],[SEPTIEMBRE]]</f>
        <v>15000</v>
      </c>
      <c r="AL146" s="19">
        <f>Programacion[[#This Row],[DEVENGADO JULIO]]+Programacion[[#This Row],[DEVENGADO AGOSTO]]+Programacion[[#This Row],[DEVENGADO SEPTIEMBRE]]</f>
        <v>10000</v>
      </c>
      <c r="AM146" s="19">
        <f>Programacion[[#This Row],[OCTUBRE]]+Programacion[[#This Row],[NOVIEMBRE]]+Programacion[[#This Row],[DICIEMBRE]]</f>
        <v>15000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5000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6" s="116"/>
    </row>
    <row r="147" spans="1:46" x14ac:dyDescent="0.25">
      <c r="A147" s="54" t="s">
        <v>137</v>
      </c>
      <c r="B147" s="55" t="s">
        <v>144</v>
      </c>
      <c r="C147" s="54" t="s">
        <v>56</v>
      </c>
      <c r="D147" s="56" t="s">
        <v>48</v>
      </c>
      <c r="E147" s="57">
        <v>39</v>
      </c>
      <c r="F147" s="58">
        <v>2.2999999999999998</v>
      </c>
      <c r="G147" s="56" t="s">
        <v>71</v>
      </c>
      <c r="H147" s="59"/>
      <c r="I147" s="59"/>
      <c r="J147" s="59"/>
      <c r="K147" s="59"/>
      <c r="L147" s="59">
        <v>4000</v>
      </c>
      <c r="M147" s="59">
        <v>4000</v>
      </c>
      <c r="N147" s="59">
        <v>4000</v>
      </c>
      <c r="O147" s="59">
        <v>4000</v>
      </c>
      <c r="P147" s="59">
        <v>4000</v>
      </c>
      <c r="Q147" s="59">
        <v>4000</v>
      </c>
      <c r="R147" s="59">
        <v>4000</v>
      </c>
      <c r="S147" s="59">
        <v>4000</v>
      </c>
      <c r="T147" s="59">
        <v>4000</v>
      </c>
      <c r="U147" s="59">
        <v>4000</v>
      </c>
      <c r="V147" s="59">
        <v>4000</v>
      </c>
      <c r="W147" s="59">
        <v>4000</v>
      </c>
      <c r="X147" s="59">
        <v>4000</v>
      </c>
      <c r="Y147" s="59"/>
      <c r="Z147" s="59">
        <v>4000</v>
      </c>
      <c r="AA147" s="59"/>
      <c r="AB147" s="59">
        <v>4000</v>
      </c>
      <c r="AC147" s="59"/>
      <c r="AD147" s="59">
        <v>4000</v>
      </c>
      <c r="AE147" s="59"/>
      <c r="AF1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7" s="19">
        <f>Programacion[[#This Row],[ENERO]]+Programacion[[#This Row],[FEBRERO]]+Programacion[[#This Row],[MARZO]]</f>
        <v>4000</v>
      </c>
      <c r="AH147" s="19">
        <f>Programacion[[#This Row],[DEVENGADO ENERO]]+Programacion[[#This Row],[DEVENGADO FEBRERO]]+Programacion[[#This Row],[DEVENGADO MARZO]]</f>
        <v>4000</v>
      </c>
      <c r="AI147" s="19">
        <f>Programacion[[#This Row],[ABRIL]]+Programacion[[#This Row],[MAYO]]+Programacion[[#This Row],[JUNIO]]</f>
        <v>12000</v>
      </c>
      <c r="AJ147" s="19">
        <f>Programacion[[#This Row],[DEVENGADO ABRIL]]+Programacion[[#This Row],[DEVENGADO MAYO]]+Programacion[[#This Row],[DEVENGADO JUNIO]]</f>
        <v>12000</v>
      </c>
      <c r="AK147" s="19">
        <f>Programacion[[#This Row],[JULIO]]+Programacion[[#This Row],[AGOSTO]]+Programacion[[#This Row],[SEPTIEMBRE]]</f>
        <v>12000</v>
      </c>
      <c r="AL147" s="19">
        <f>Programacion[[#This Row],[DEVENGADO JULIO]]+Programacion[[#This Row],[DEVENGADO AGOSTO]]+Programacion[[#This Row],[DEVENGADO SEPTIEMBRE]]</f>
        <v>8000</v>
      </c>
      <c r="AM147" s="19">
        <f>Programacion[[#This Row],[OCTUBRE]]+Programacion[[#This Row],[NOVIEMBRE]]+Programacion[[#This Row],[DICIEMBRE]]</f>
        <v>12000</v>
      </c>
      <c r="AN147" s="20">
        <f>Programacion[[#This Row],[DEVENGADO OCTUBRE]]+Programacion[[#This Row],[DEVENGADO NOVIEMBRE]]+Programacion[[#This Row],[DEVENGADO DICIEMBRE]]</f>
        <v>0</v>
      </c>
      <c r="AO147" s="20">
        <f>Programacion[[#This Row],[ENERO]]+Programacion[[#This Row],[FEBRERO]]+Programacion[[#This Row],[MARZO]]+Programacion[[#This Row],[ABRIL]]+Programacion[[#This Row],[MAYO]]+Programacion[[#This Row],[JUNIO]]</f>
        <v>16000</v>
      </c>
      <c r="AP1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7" s="116"/>
    </row>
    <row r="148" spans="1:46" x14ac:dyDescent="0.25">
      <c r="A148" s="54" t="s">
        <v>137</v>
      </c>
      <c r="B148" s="55" t="s">
        <v>145</v>
      </c>
      <c r="C148" s="54" t="s">
        <v>56</v>
      </c>
      <c r="D148" s="56" t="s">
        <v>48</v>
      </c>
      <c r="E148" s="57">
        <v>39</v>
      </c>
      <c r="F148" s="58">
        <v>2.2999999999999998</v>
      </c>
      <c r="G148" s="56" t="s">
        <v>71</v>
      </c>
      <c r="H148" s="59"/>
      <c r="I148" s="59"/>
      <c r="J148" s="59"/>
      <c r="K148" s="59"/>
      <c r="L148" s="59">
        <v>4000</v>
      </c>
      <c r="M148" s="59">
        <v>4000</v>
      </c>
      <c r="N148" s="59">
        <v>4000</v>
      </c>
      <c r="O148" s="59">
        <v>4000</v>
      </c>
      <c r="P148" s="59">
        <v>4000</v>
      </c>
      <c r="Q148" s="59">
        <v>4000</v>
      </c>
      <c r="R148" s="59">
        <v>4000</v>
      </c>
      <c r="S148" s="59">
        <v>4000</v>
      </c>
      <c r="T148" s="59">
        <v>4000</v>
      </c>
      <c r="U148" s="59">
        <v>4000</v>
      </c>
      <c r="V148" s="59">
        <v>4000</v>
      </c>
      <c r="W148" s="59">
        <v>4000</v>
      </c>
      <c r="X148" s="59">
        <v>4000</v>
      </c>
      <c r="Y148" s="59"/>
      <c r="Z148" s="59">
        <v>4000</v>
      </c>
      <c r="AA148" s="59"/>
      <c r="AB148" s="59">
        <v>4000</v>
      </c>
      <c r="AC148" s="59"/>
      <c r="AD148" s="59">
        <v>4000</v>
      </c>
      <c r="AE148" s="59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8" s="19">
        <f>Programacion[[#This Row],[ENERO]]+Programacion[[#This Row],[FEBRERO]]+Programacion[[#This Row],[MARZO]]</f>
        <v>4000</v>
      </c>
      <c r="AH148" s="19">
        <f>Programacion[[#This Row],[DEVENGADO ENERO]]+Programacion[[#This Row],[DEVENGADO FEBRERO]]+Programacion[[#This Row],[DEVENGADO MARZO]]</f>
        <v>4000</v>
      </c>
      <c r="AI148" s="19">
        <f>Programacion[[#This Row],[ABRIL]]+Programacion[[#This Row],[MAYO]]+Programacion[[#This Row],[JUNIO]]</f>
        <v>12000</v>
      </c>
      <c r="AJ148" s="19">
        <f>Programacion[[#This Row],[DEVENGADO ABRIL]]+Programacion[[#This Row],[DEVENGADO MAYO]]+Programacion[[#This Row],[DEVENGADO JUNIO]]</f>
        <v>12000</v>
      </c>
      <c r="AK148" s="19">
        <f>Programacion[[#This Row],[JULIO]]+Programacion[[#This Row],[AGOSTO]]+Programacion[[#This Row],[SEPTIEMBRE]]</f>
        <v>12000</v>
      </c>
      <c r="AL148" s="19">
        <f>Programacion[[#This Row],[DEVENGADO JULIO]]+Programacion[[#This Row],[DEVENGADO AGOSTO]]+Programacion[[#This Row],[DEVENGADO SEPTIEMBRE]]</f>
        <v>8000</v>
      </c>
      <c r="AM148" s="19">
        <f>Programacion[[#This Row],[OCTUBRE]]+Programacion[[#This Row],[NOVIEMBRE]]+Programacion[[#This Row],[DICIEMBRE]]</f>
        <v>12000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16000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8" s="116"/>
    </row>
    <row r="149" spans="1:46" ht="45" x14ac:dyDescent="0.25">
      <c r="A149" s="54" t="s">
        <v>137</v>
      </c>
      <c r="B149" s="55" t="s">
        <v>146</v>
      </c>
      <c r="C149" s="54" t="s">
        <v>56</v>
      </c>
      <c r="D149" s="56" t="s">
        <v>48</v>
      </c>
      <c r="E149" s="57">
        <v>39</v>
      </c>
      <c r="F149" s="58">
        <v>2.2999999999999998</v>
      </c>
      <c r="G149" s="56" t="s">
        <v>71</v>
      </c>
      <c r="H149" s="59"/>
      <c r="I149" s="59"/>
      <c r="J149" s="59"/>
      <c r="K149" s="59"/>
      <c r="L149" s="59">
        <v>10000</v>
      </c>
      <c r="M149" s="59">
        <v>10000</v>
      </c>
      <c r="N149" s="59">
        <v>5000</v>
      </c>
      <c r="O149" s="59">
        <v>5000</v>
      </c>
      <c r="P149" s="59">
        <v>5000</v>
      </c>
      <c r="Q149" s="59">
        <v>5000</v>
      </c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9" s="19">
        <f>Programacion[[#This Row],[ENERO]]+Programacion[[#This Row],[FEBRERO]]+Programacion[[#This Row],[MARZO]]</f>
        <v>10000</v>
      </c>
      <c r="AH149" s="19">
        <f>Programacion[[#This Row],[DEVENGADO ENERO]]+Programacion[[#This Row],[DEVENGADO FEBRERO]]+Programacion[[#This Row],[DEVENGADO MARZO]]</f>
        <v>10000</v>
      </c>
      <c r="AI149" s="19">
        <f>Programacion[[#This Row],[ABRIL]]+Programacion[[#This Row],[MAYO]]+Programacion[[#This Row],[JUNIO]]</f>
        <v>10000</v>
      </c>
      <c r="AJ149" s="19">
        <f>Programacion[[#This Row],[DEVENGADO ABRIL]]+Programacion[[#This Row],[DEVENGADO MAYO]]+Programacion[[#This Row],[DEVENGADO JUNIO]]</f>
        <v>10000</v>
      </c>
      <c r="AK149" s="19">
        <f>Programacion[[#This Row],[JULIO]]+Programacion[[#This Row],[AGOSTO]]+Programacion[[#This Row],[SEPTIEMBRE]]</f>
        <v>0</v>
      </c>
      <c r="AL149" s="19">
        <f>Programacion[[#This Row],[DEVENGADO JULIO]]+Programacion[[#This Row],[DEVENGADO AGOSTO]]+Programacion[[#This Row],[DEVENGADO SEPTIEMBRE]]</f>
        <v>0</v>
      </c>
      <c r="AM149" s="19">
        <f>Programacion[[#This Row],[OCTUBRE]]+Programacion[[#This Row],[NOVIEMBRE]]+Programacion[[#This Row],[DICIEMBRE]]</f>
        <v>0</v>
      </c>
      <c r="AN149" s="20">
        <f>Programacion[[#This Row],[DEVENGADO OCTUBRE]]+Programacion[[#This Row],[DEVENGADO NOVIEMBRE]]+Programacion[[#This Row],[DEVENGADO DICIEMBRE]]</f>
        <v>0</v>
      </c>
      <c r="AO149" s="20">
        <f>Programacion[[#This Row],[ENERO]]+Programacion[[#This Row],[FEBRERO]]+Programacion[[#This Row],[MARZO]]+Programacion[[#This Row],[ABRIL]]+Programacion[[#This Row],[MAYO]]+Programacion[[#This Row],[JUNIO]]</f>
        <v>20000</v>
      </c>
      <c r="AP1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9" s="116"/>
    </row>
    <row r="150" spans="1:46" ht="45" x14ac:dyDescent="0.25">
      <c r="A150" s="54" t="s">
        <v>137</v>
      </c>
      <c r="B150" s="55" t="s">
        <v>147</v>
      </c>
      <c r="C150" s="54" t="s">
        <v>56</v>
      </c>
      <c r="D150" s="56" t="s">
        <v>48</v>
      </c>
      <c r="E150" s="57">
        <v>39</v>
      </c>
      <c r="F150" s="58">
        <v>2.2999999999999998</v>
      </c>
      <c r="G150" s="56" t="s">
        <v>71</v>
      </c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>
        <v>5000</v>
      </c>
      <c r="S150" s="59">
        <v>5000</v>
      </c>
      <c r="T150" s="59">
        <v>5000</v>
      </c>
      <c r="U150" s="59">
        <v>5000</v>
      </c>
      <c r="V150" s="59">
        <v>5000</v>
      </c>
      <c r="W150" s="59">
        <v>5000</v>
      </c>
      <c r="X150" s="59">
        <v>5000</v>
      </c>
      <c r="Y150" s="59"/>
      <c r="Z150" s="59">
        <v>5000</v>
      </c>
      <c r="AA150" s="59"/>
      <c r="AB150" s="59">
        <v>5000</v>
      </c>
      <c r="AC150" s="59"/>
      <c r="AD150" s="59">
        <v>5000</v>
      </c>
      <c r="AE150" s="59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5000</v>
      </c>
      <c r="AJ150" s="19">
        <f>Programacion[[#This Row],[DEVENGADO ABRIL]]+Programacion[[#This Row],[DEVENGADO MAYO]]+Programacion[[#This Row],[DEVENGADO JUNIO]]</f>
        <v>5000</v>
      </c>
      <c r="AK150" s="19">
        <f>Programacion[[#This Row],[JULIO]]+Programacion[[#This Row],[AGOSTO]]+Programacion[[#This Row],[SEPTIEMBRE]]</f>
        <v>15000</v>
      </c>
      <c r="AL150" s="19">
        <f>Programacion[[#This Row],[DEVENGADO JULIO]]+Programacion[[#This Row],[DEVENGADO AGOSTO]]+Programacion[[#This Row],[DEVENGADO SEPTIEMBRE]]</f>
        <v>10000</v>
      </c>
      <c r="AM150" s="19">
        <f>Programacion[[#This Row],[OCTUBRE]]+Programacion[[#This Row],[NOVIEMBRE]]+Programacion[[#This Row],[DICIEMBRE]]</f>
        <v>15000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5000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0" s="116"/>
    </row>
    <row r="151" spans="1:46" ht="45" x14ac:dyDescent="0.25">
      <c r="A151" s="54" t="s">
        <v>137</v>
      </c>
      <c r="B151" s="60" t="s">
        <v>148</v>
      </c>
      <c r="C151" s="54" t="s">
        <v>56</v>
      </c>
      <c r="D151" s="61" t="s">
        <v>48</v>
      </c>
      <c r="E151" s="62">
        <v>39</v>
      </c>
      <c r="F151" s="58">
        <v>2.2999999999999998</v>
      </c>
      <c r="G151" s="61" t="s">
        <v>71</v>
      </c>
      <c r="H151" s="63"/>
      <c r="I151" s="63"/>
      <c r="J151" s="63"/>
      <c r="K151" s="63"/>
      <c r="L151" s="63">
        <v>10000</v>
      </c>
      <c r="M151" s="63">
        <v>10000</v>
      </c>
      <c r="N151" s="63">
        <v>5000</v>
      </c>
      <c r="O151" s="63">
        <v>5000</v>
      </c>
      <c r="P151" s="63">
        <v>5000</v>
      </c>
      <c r="Q151" s="63">
        <v>5000</v>
      </c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1" s="19">
        <f>Programacion[[#This Row],[ENERO]]+Programacion[[#This Row],[FEBRERO]]+Programacion[[#This Row],[MARZO]]</f>
        <v>10000</v>
      </c>
      <c r="AH151" s="19">
        <f>Programacion[[#This Row],[DEVENGADO ENERO]]+Programacion[[#This Row],[DEVENGADO FEBRERO]]+Programacion[[#This Row],[DEVENGADO MARZO]]</f>
        <v>10000</v>
      </c>
      <c r="AI151" s="19">
        <f>Programacion[[#This Row],[ABRIL]]+Programacion[[#This Row],[MAYO]]+Programacion[[#This Row],[JUNIO]]</f>
        <v>10000</v>
      </c>
      <c r="AJ151" s="19">
        <f>Programacion[[#This Row],[DEVENGADO ABRIL]]+Programacion[[#This Row],[DEVENGADO MAYO]]+Programacion[[#This Row],[DEVENGADO JUNIO]]</f>
        <v>10000</v>
      </c>
      <c r="AK151" s="19">
        <f>Programacion[[#This Row],[JULIO]]+Programacion[[#This Row],[AGOSTO]]+Programacion[[#This Row],[SEPTIEMBRE]]</f>
        <v>0</v>
      </c>
      <c r="AL151" s="19">
        <f>Programacion[[#This Row],[DEVENGADO JULIO]]+Programacion[[#This Row],[DEVENGADO AGOSTO]]+Programacion[[#This Row],[DEVENGADO SEPTIEMBRE]]</f>
        <v>0</v>
      </c>
      <c r="AM151" s="19">
        <f>Programacion[[#This Row],[OCTUBRE]]+Programacion[[#This Row],[NOVIEMBRE]]+Programacion[[#This Row],[DICIEMBRE]]</f>
        <v>0</v>
      </c>
      <c r="AN151" s="20">
        <f>Programacion[[#This Row],[DEVENGADO OCTUBRE]]+Programacion[[#This Row],[DEVENGADO NOVIEMBRE]]+Programacion[[#This Row],[DEVENGADO DICIEMBRE]]</f>
        <v>0</v>
      </c>
      <c r="AO151" s="20">
        <f>Programacion[[#This Row],[ENERO]]+Programacion[[#This Row],[FEBRERO]]+Programacion[[#This Row],[MARZO]]+Programacion[[#This Row],[ABRIL]]+Programacion[[#This Row],[MAYO]]+Programacion[[#This Row],[JUNIO]]</f>
        <v>20000</v>
      </c>
      <c r="AP1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51" s="116"/>
    </row>
    <row r="152" spans="1:46" ht="45" x14ac:dyDescent="0.25">
      <c r="A152" s="64" t="s">
        <v>137</v>
      </c>
      <c r="B152" s="65" t="s">
        <v>149</v>
      </c>
      <c r="C152" s="54" t="s">
        <v>56</v>
      </c>
      <c r="D152" s="66" t="s">
        <v>48</v>
      </c>
      <c r="E152" s="67">
        <v>39</v>
      </c>
      <c r="F152" s="68">
        <v>2.2999999999999998</v>
      </c>
      <c r="G152" s="69" t="s">
        <v>71</v>
      </c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>
        <v>5000</v>
      </c>
      <c r="S152" s="70">
        <v>5000</v>
      </c>
      <c r="T152" s="70">
        <v>5000</v>
      </c>
      <c r="U152" s="70">
        <v>5000</v>
      </c>
      <c r="V152" s="70">
        <v>5000</v>
      </c>
      <c r="W152" s="70">
        <v>5000</v>
      </c>
      <c r="X152" s="70">
        <v>5000</v>
      </c>
      <c r="Y152" s="70"/>
      <c r="Z152" s="70">
        <v>5000</v>
      </c>
      <c r="AA152" s="70"/>
      <c r="AB152" s="70">
        <v>5000</v>
      </c>
      <c r="AC152" s="70"/>
      <c r="AD152" s="70">
        <v>5000</v>
      </c>
      <c r="AE152" s="70"/>
      <c r="AF1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2" s="19">
        <f>Programacion[[#This Row],[ENERO]]+Programacion[[#This Row],[FEBRERO]]+Programacion[[#This Row],[MARZO]]</f>
        <v>0</v>
      </c>
      <c r="AH152" s="19">
        <f>Programacion[[#This Row],[DEVENGADO ENERO]]+Programacion[[#This Row],[DEVENGADO FEBRERO]]+Programacion[[#This Row],[DEVENGADO MARZO]]</f>
        <v>0</v>
      </c>
      <c r="AI152" s="19">
        <f>Programacion[[#This Row],[ABRIL]]+Programacion[[#This Row],[MAYO]]+Programacion[[#This Row],[JUNIO]]</f>
        <v>5000</v>
      </c>
      <c r="AJ152" s="19">
        <f>Programacion[[#This Row],[DEVENGADO ABRIL]]+Programacion[[#This Row],[DEVENGADO MAYO]]+Programacion[[#This Row],[DEVENGADO JUNIO]]</f>
        <v>5000</v>
      </c>
      <c r="AK152" s="19">
        <f>Programacion[[#This Row],[JULIO]]+Programacion[[#This Row],[AGOSTO]]+Programacion[[#This Row],[SEPTIEMBRE]]</f>
        <v>15000</v>
      </c>
      <c r="AL152" s="19">
        <f>Programacion[[#This Row],[DEVENGADO JULIO]]+Programacion[[#This Row],[DEVENGADO AGOSTO]]+Programacion[[#This Row],[DEVENGADO SEPTIEMBRE]]</f>
        <v>10000</v>
      </c>
      <c r="AM152" s="19">
        <f>Programacion[[#This Row],[OCTUBRE]]+Programacion[[#This Row],[NOVIEMBRE]]+Programacion[[#This Row],[DICIEMBRE]]</f>
        <v>15000</v>
      </c>
      <c r="AN152" s="20">
        <f>Programacion[[#This Row],[DEVENGADO OCTUBRE]]+Programacion[[#This Row],[DEVENGADO NOVIEMBRE]]+Programacion[[#This Row],[DEVENGADO DICIEMBRE]]</f>
        <v>0</v>
      </c>
      <c r="AO152" s="20">
        <f>Programacion[[#This Row],[ENERO]]+Programacion[[#This Row],[FEBRERO]]+Programacion[[#This Row],[MARZO]]+Programacion[[#This Row],[ABRIL]]+Programacion[[#This Row],[MAYO]]+Programacion[[#This Row],[JUNIO]]</f>
        <v>5000</v>
      </c>
      <c r="AP1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2" s="116"/>
    </row>
    <row r="153" spans="1:46" x14ac:dyDescent="0.25">
      <c r="A153" s="135" t="s">
        <v>137</v>
      </c>
      <c r="B153" s="136" t="s">
        <v>248</v>
      </c>
      <c r="C153" s="135" t="s">
        <v>258</v>
      </c>
      <c r="D153" s="137" t="s">
        <v>48</v>
      </c>
      <c r="E153" s="136">
        <v>39</v>
      </c>
      <c r="F153" s="138">
        <v>23</v>
      </c>
      <c r="G153" s="136" t="s">
        <v>66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>
        <v>7300</v>
      </c>
      <c r="W153" s="33">
        <v>7300</v>
      </c>
      <c r="X153" s="33"/>
      <c r="Y153" s="33"/>
      <c r="Z153" s="33"/>
      <c r="AA153" s="33"/>
      <c r="AB153" s="33"/>
      <c r="AC153" s="33"/>
      <c r="AD153" s="33"/>
      <c r="AE153" s="33"/>
      <c r="AF1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53" s="33">
        <f>Programacion[[#This Row],[ENERO]]+Programacion[[#This Row],[FEBRERO]]+Programacion[[#This Row],[MARZO]]</f>
        <v>0</v>
      </c>
      <c r="AH153" s="33">
        <f>Programacion[[#This Row],[DEVENGADO ENERO]]+Programacion[[#This Row],[DEVENGADO FEBRERO]]+Programacion[[#This Row],[DEVENGADO MARZO]]</f>
        <v>0</v>
      </c>
      <c r="AI153" s="33">
        <f>Programacion[[#This Row],[ABRIL]]+Programacion[[#This Row],[MAYO]]+Programacion[[#This Row],[JUNIO]]</f>
        <v>0</v>
      </c>
      <c r="AJ153" s="33">
        <f>Programacion[[#This Row],[DEVENGADO ABRIL]]+Programacion[[#This Row],[DEVENGADO MAYO]]+Programacion[[#This Row],[DEVENGADO JUNIO]]</f>
        <v>0</v>
      </c>
      <c r="AK153" s="33">
        <f>Programacion[[#This Row],[JULIO]]+Programacion[[#This Row],[AGOSTO]]+Programacion[[#This Row],[SEPTIEMBRE]]</f>
        <v>7300</v>
      </c>
      <c r="AL153" s="33">
        <f>Programacion[[#This Row],[DEVENGADO JULIO]]+Programacion[[#This Row],[DEVENGADO AGOSTO]]+Programacion[[#This Row],[DEVENGADO SEPTIEMBRE]]</f>
        <v>7300</v>
      </c>
      <c r="AM153" s="33">
        <f>Programacion[[#This Row],[OCTUBRE]]+Programacion[[#This Row],[NOVIEMBRE]]+Programacion[[#This Row],[DICIEMBRE]]</f>
        <v>0</v>
      </c>
      <c r="AN153" s="21">
        <f>Programacion[[#This Row],[DEVENGADO OCTUBRE]]+Programacion[[#This Row],[DEVENGADO NOVIEMBRE]]+Programacion[[#This Row],[DEVENGADO DICIEMBRE]]</f>
        <v>0</v>
      </c>
      <c r="AO153" s="21">
        <f>Programacion[[#This Row],[ENERO]]+Programacion[[#This Row],[FEBRERO]]+Programacion[[#This Row],[MARZO]]+Programacion[[#This Row],[ABRIL]]+Programacion[[#This Row],[MAYO]]+Programacion[[#This Row],[JUNIO]]</f>
        <v>0</v>
      </c>
      <c r="AP1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53" s="116"/>
    </row>
    <row r="154" spans="1:46" x14ac:dyDescent="0.25">
      <c r="A154" s="135" t="s">
        <v>137</v>
      </c>
      <c r="B154" s="136" t="s">
        <v>288</v>
      </c>
      <c r="C154" s="135" t="s">
        <v>258</v>
      </c>
      <c r="D154" s="137" t="s">
        <v>48</v>
      </c>
      <c r="E154" s="136">
        <v>39</v>
      </c>
      <c r="F154" s="138">
        <v>23</v>
      </c>
      <c r="G154" s="136" t="s">
        <v>66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>
        <v>2147</v>
      </c>
      <c r="AE154" s="33"/>
      <c r="AF15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2147</v>
      </c>
      <c r="AG154" s="33">
        <f>Programacion[[#This Row],[ENERO]]+Programacion[[#This Row],[FEBRERO]]+Programacion[[#This Row],[MARZO]]</f>
        <v>0</v>
      </c>
      <c r="AH154" s="33">
        <f>Programacion[[#This Row],[DEVENGADO ENERO]]+Programacion[[#This Row],[DEVENGADO FEBRERO]]+Programacion[[#This Row],[DEVENGADO MARZO]]</f>
        <v>0</v>
      </c>
      <c r="AI154" s="33">
        <f>Programacion[[#This Row],[ABRIL]]+Programacion[[#This Row],[MAYO]]+Programacion[[#This Row],[JUNIO]]</f>
        <v>0</v>
      </c>
      <c r="AJ154" s="33">
        <f>Programacion[[#This Row],[DEVENGADO ABRIL]]+Programacion[[#This Row],[DEVENGADO MAYO]]+Programacion[[#This Row],[DEVENGADO JUNIO]]</f>
        <v>0</v>
      </c>
      <c r="AK154" s="33">
        <f>Programacion[[#This Row],[JULIO]]+Programacion[[#This Row],[AGOSTO]]+Programacion[[#This Row],[SEPTIEMBRE]]</f>
        <v>0</v>
      </c>
      <c r="AL154" s="33">
        <f>Programacion[[#This Row],[DEVENGADO JULIO]]+Programacion[[#This Row],[DEVENGADO AGOSTO]]+Programacion[[#This Row],[DEVENGADO SEPTIEMBRE]]</f>
        <v>0</v>
      </c>
      <c r="AM154" s="33">
        <f>Programacion[[#This Row],[OCTUBRE]]+Programacion[[#This Row],[NOVIEMBRE]]+Programacion[[#This Row],[DICIEMBRE]]</f>
        <v>2147</v>
      </c>
      <c r="AN154" s="21">
        <f>Programacion[[#This Row],[DEVENGADO OCTUBRE]]+Programacion[[#This Row],[DEVENGADO NOVIEMBRE]]+Programacion[[#This Row],[DEVENGADO DICIEMBRE]]</f>
        <v>0</v>
      </c>
      <c r="AO154" s="21">
        <f>Programacion[[#This Row],[ENERO]]+Programacion[[#This Row],[FEBRERO]]+Programacion[[#This Row],[MARZO]]+Programacion[[#This Row],[ABRIL]]+Programacion[[#This Row],[MAYO]]+Programacion[[#This Row],[JUNIO]]</f>
        <v>0</v>
      </c>
      <c r="AP1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21">
        <f>Programacion[[#This Row],[JULIO]]+Programacion[[#This Row],[AGOSTO]]+Programacion[[#This Row],[SEPTIEMBRE]]+Programacion[[#This Row],[OCTUBRE]]+Programacion[[#This Row],[NOVIEMBRE]]+Programacion[[#This Row],[DICIEMBRE]]</f>
        <v>2147</v>
      </c>
      <c r="AR1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x14ac:dyDescent="0.25">
      <c r="A155" s="71" t="s">
        <v>137</v>
      </c>
      <c r="B155" s="72" t="s">
        <v>150</v>
      </c>
      <c r="C155" s="54" t="s">
        <v>81</v>
      </c>
      <c r="D155" s="73" t="s">
        <v>48</v>
      </c>
      <c r="E155" s="73">
        <v>39</v>
      </c>
      <c r="F155" s="74">
        <v>2.6</v>
      </c>
      <c r="G155" s="71" t="s">
        <v>121</v>
      </c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>
        <v>15587.09</v>
      </c>
      <c r="W155" s="75">
        <v>15587.09</v>
      </c>
      <c r="X155" s="75"/>
      <c r="Y155" s="75"/>
      <c r="Z155" s="75"/>
      <c r="AA155" s="75"/>
      <c r="AB155" s="75"/>
      <c r="AC155" s="75"/>
      <c r="AD155" s="75"/>
      <c r="AE155" s="75"/>
      <c r="AF1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55" s="19">
        <f>Programacion[[#This Row],[ENERO]]+Programacion[[#This Row],[FEBRERO]]+Programacion[[#This Row],[MARZO]]</f>
        <v>0</v>
      </c>
      <c r="AH155" s="19">
        <f>Programacion[[#This Row],[DEVENGADO ENERO]]+Programacion[[#This Row],[DEVENGADO FEBRERO]]+Programacion[[#This Row],[DEVENGADO MARZO]]</f>
        <v>0</v>
      </c>
      <c r="AI155" s="19">
        <f>Programacion[[#This Row],[ABRIL]]+Programacion[[#This Row],[MAYO]]+Programacion[[#This Row],[JUNIO]]</f>
        <v>0</v>
      </c>
      <c r="AJ155" s="19">
        <f>Programacion[[#This Row],[DEVENGADO ABRIL]]+Programacion[[#This Row],[DEVENGADO MAYO]]+Programacion[[#This Row],[DEVENGADO JUNIO]]</f>
        <v>0</v>
      </c>
      <c r="AK155" s="19">
        <f>Programacion[[#This Row],[JULIO]]+Programacion[[#This Row],[AGOSTO]]+Programacion[[#This Row],[SEPTIEMBRE]]</f>
        <v>15587.09</v>
      </c>
      <c r="AL155" s="19">
        <f>Programacion[[#This Row],[DEVENGADO JULIO]]+Programacion[[#This Row],[DEVENGADO AGOSTO]]+Programacion[[#This Row],[DEVENGADO SEPTIEMBRE]]</f>
        <v>15587.09</v>
      </c>
      <c r="AM155" s="19">
        <f>Programacion[[#This Row],[OCTUBRE]]+Programacion[[#This Row],[NOVIEMBRE]]+Programacion[[#This Row],[DICIEMBRE]]</f>
        <v>0</v>
      </c>
      <c r="AN155" s="20">
        <f>Programacion[[#This Row],[DEVENGADO OCTUBRE]]+Programacion[[#This Row],[DEVENGADO NOVIEMBRE]]+Programacion[[#This Row],[DEVENGADO DICIEMBRE]]</f>
        <v>0</v>
      </c>
      <c r="AO155" s="20">
        <f>Programacion[[#This Row],[ENERO]]+Programacion[[#This Row],[FEBRERO]]+Programacion[[#This Row],[MARZO]]+Programacion[[#This Row],[ABRIL]]+Programacion[[#This Row],[MAYO]]+Programacion[[#This Row],[JUNIO]]</f>
        <v>0</v>
      </c>
      <c r="AP1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55" s="116"/>
    </row>
    <row r="156" spans="1:46" x14ac:dyDescent="0.25">
      <c r="A156" s="135" t="s">
        <v>137</v>
      </c>
      <c r="B156" s="135" t="s">
        <v>271</v>
      </c>
      <c r="C156" s="136" t="s">
        <v>262</v>
      </c>
      <c r="D156" s="136" t="s">
        <v>48</v>
      </c>
      <c r="E156" s="136">
        <v>3</v>
      </c>
      <c r="F156" s="139">
        <v>26</v>
      </c>
      <c r="G156" s="136" t="s">
        <v>272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>
        <v>44000</v>
      </c>
      <c r="AC156" s="33"/>
      <c r="AD156" s="33"/>
      <c r="AE156" s="33"/>
      <c r="AF1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56" s="33">
        <f>Programacion[[#This Row],[ENERO]]+Programacion[[#This Row],[FEBRERO]]+Programacion[[#This Row],[MARZO]]</f>
        <v>0</v>
      </c>
      <c r="AH156" s="33">
        <f>Programacion[[#This Row],[DEVENGADO ENERO]]+Programacion[[#This Row],[DEVENGADO FEBRERO]]+Programacion[[#This Row],[DEVENGADO MARZO]]</f>
        <v>0</v>
      </c>
      <c r="AI156" s="33">
        <f>Programacion[[#This Row],[ABRIL]]+Programacion[[#This Row],[MAYO]]+Programacion[[#This Row],[JUNIO]]</f>
        <v>0</v>
      </c>
      <c r="AJ156" s="33">
        <f>Programacion[[#This Row],[DEVENGADO ABRIL]]+Programacion[[#This Row],[DEVENGADO MAYO]]+Programacion[[#This Row],[DEVENGADO JUNIO]]</f>
        <v>0</v>
      </c>
      <c r="AK156" s="33">
        <f>Programacion[[#This Row],[JULIO]]+Programacion[[#This Row],[AGOSTO]]+Programacion[[#This Row],[SEPTIEMBRE]]</f>
        <v>0</v>
      </c>
      <c r="AL156" s="33">
        <f>Programacion[[#This Row],[DEVENGADO JULIO]]+Programacion[[#This Row],[DEVENGADO AGOSTO]]+Programacion[[#This Row],[DEVENGADO SEPTIEMBRE]]</f>
        <v>0</v>
      </c>
      <c r="AM156" s="33">
        <f>Programacion[[#This Row],[OCTUBRE]]+Programacion[[#This Row],[NOVIEMBRE]]+Programacion[[#This Row],[DICIEMBRE]]</f>
        <v>44000</v>
      </c>
      <c r="AN156" s="21">
        <f>Programacion[[#This Row],[DEVENGADO OCTUBRE]]+Programacion[[#This Row],[DEVENGADO NOVIEMBRE]]+Programacion[[#This Row],[DEVENGADO DICIEMBRE]]</f>
        <v>0</v>
      </c>
      <c r="AO156" s="21">
        <f>Programacion[[#This Row],[ENERO]]+Programacion[[#This Row],[FEBRERO]]+Programacion[[#This Row],[MARZO]]+Programacion[[#This Row],[ABRIL]]+Programacion[[#This Row],[MAYO]]+Programacion[[#This Row],[JUNIO]]</f>
        <v>0</v>
      </c>
      <c r="AP1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x14ac:dyDescent="0.25">
      <c r="A157" s="76" t="s">
        <v>137</v>
      </c>
      <c r="B157" s="65" t="s">
        <v>151</v>
      </c>
      <c r="C157" s="54" t="s">
        <v>115</v>
      </c>
      <c r="D157" s="54" t="s">
        <v>48</v>
      </c>
      <c r="E157" s="54">
        <v>39</v>
      </c>
      <c r="F157" s="77">
        <v>2.2999999999999998</v>
      </c>
      <c r="G157" s="76" t="s">
        <v>116</v>
      </c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>
        <v>42500</v>
      </c>
      <c r="AC157" s="78"/>
      <c r="AD157" s="78"/>
      <c r="AE157" s="78"/>
      <c r="AF1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57" s="19">
        <f>Programacion[[#This Row],[ENERO]]+Programacion[[#This Row],[FEBRERO]]+Programacion[[#This Row],[MARZO]]</f>
        <v>0</v>
      </c>
      <c r="AH157" s="19">
        <f>Programacion[[#This Row],[DEVENGADO ENERO]]+Programacion[[#This Row],[DEVENGADO FEBRERO]]+Programacion[[#This Row],[DEVENGADO MARZO]]</f>
        <v>0</v>
      </c>
      <c r="AI157" s="19">
        <f>Programacion[[#This Row],[ABRIL]]+Programacion[[#This Row],[MAYO]]+Programacion[[#This Row],[JUNIO]]</f>
        <v>0</v>
      </c>
      <c r="AJ157" s="19">
        <f>Programacion[[#This Row],[DEVENGADO ABRIL]]+Programacion[[#This Row],[DEVENGADO MAYO]]+Programacion[[#This Row],[DEVENGADO JUNIO]]</f>
        <v>0</v>
      </c>
      <c r="AK157" s="19">
        <f>Programacion[[#This Row],[JULIO]]+Programacion[[#This Row],[AGOSTO]]+Programacion[[#This Row],[SEPTIEMBRE]]</f>
        <v>0</v>
      </c>
      <c r="AL157" s="19">
        <f>Programacion[[#This Row],[DEVENGADO JULIO]]+Programacion[[#This Row],[DEVENGADO AGOSTO]]+Programacion[[#This Row],[DEVENGADO SEPTIEMBRE]]</f>
        <v>0</v>
      </c>
      <c r="AM157" s="19">
        <f>Programacion[[#This Row],[OCTUBRE]]+Programacion[[#This Row],[NOVIEMBRE]]+Programacion[[#This Row],[DICIEMBRE]]</f>
        <v>42500</v>
      </c>
      <c r="AN157" s="20">
        <f>Programacion[[#This Row],[DEVENGADO OCTUBRE]]+Programacion[[#This Row],[DEVENGADO NOVIEMBRE]]+Programacion[[#This Row],[DEVENGADO DICIEMBRE]]</f>
        <v>0</v>
      </c>
      <c r="AO157" s="20">
        <f>Programacion[[#This Row],[ENERO]]+Programacion[[#This Row],[FEBRERO]]+Programacion[[#This Row],[MARZO]]+Programacion[[#This Row],[ABRIL]]+Programacion[[#This Row],[MAYO]]+Programacion[[#This Row],[JUNIO]]</f>
        <v>0</v>
      </c>
      <c r="AP1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6"/>
    </row>
    <row r="158" spans="1:46" ht="45" x14ac:dyDescent="0.25">
      <c r="A158" s="79" t="s">
        <v>152</v>
      </c>
      <c r="B158" s="80" t="s">
        <v>153</v>
      </c>
      <c r="C158" s="81" t="s">
        <v>56</v>
      </c>
      <c r="D158" s="81" t="s">
        <v>154</v>
      </c>
      <c r="E158" s="82">
        <v>34</v>
      </c>
      <c r="F158" s="83">
        <v>2.2999999999999998</v>
      </c>
      <c r="G158" s="81" t="s">
        <v>57</v>
      </c>
      <c r="H158" s="81"/>
      <c r="I158" s="84"/>
      <c r="J158" s="84"/>
      <c r="K158" s="84"/>
      <c r="L158" s="84">
        <v>7000</v>
      </c>
      <c r="M158" s="84">
        <v>7000</v>
      </c>
      <c r="N158" s="84">
        <v>7000</v>
      </c>
      <c r="O158" s="84">
        <v>7000</v>
      </c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5"/>
      <c r="AB158" s="86"/>
      <c r="AC158" s="86"/>
      <c r="AD158" s="86"/>
      <c r="AE158" s="86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58" s="88">
        <f>Programacion[[#This Row],[ENERO]]+Programacion[[#This Row],[FEBRERO]]+Programacion[[#This Row],[MARZO]]</f>
        <v>7000</v>
      </c>
      <c r="AH158" s="88">
        <f>Programacion[[#This Row],[DEVENGADO ENERO]]+Programacion[[#This Row],[DEVENGADO FEBRERO]]+Programacion[[#This Row],[DEVENGADO MARZO]]</f>
        <v>7000</v>
      </c>
      <c r="AI158" s="88">
        <f>Programacion[[#This Row],[ABRIL]]+Programacion[[#This Row],[MAYO]]+Programacion[[#This Row],[JUNIO]]</f>
        <v>7000</v>
      </c>
      <c r="AJ158" s="88">
        <f>Programacion[[#This Row],[DEVENGADO ABRIL]]+Programacion[[#This Row],[DEVENGADO MAYO]]+Programacion[[#This Row],[DEVENGADO JUNIO]]</f>
        <v>7000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14000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58" s="116"/>
    </row>
    <row r="159" spans="1:46" x14ac:dyDescent="0.25">
      <c r="A159" s="79" t="s">
        <v>152</v>
      </c>
      <c r="B159" s="90" t="s">
        <v>155</v>
      </c>
      <c r="C159" s="91" t="s">
        <v>47</v>
      </c>
      <c r="D159" s="81" t="s">
        <v>154</v>
      </c>
      <c r="E159" s="92">
        <v>34</v>
      </c>
      <c r="F159" s="93">
        <v>2.2999999999999998</v>
      </c>
      <c r="G159" s="94" t="s">
        <v>49</v>
      </c>
      <c r="H159" s="88"/>
      <c r="I159" s="88"/>
      <c r="J159" s="88"/>
      <c r="K159" s="88"/>
      <c r="L159" s="88"/>
      <c r="M159" s="88"/>
      <c r="N159" s="88"/>
      <c r="O159" s="88"/>
      <c r="P159" s="88">
        <v>3564.19</v>
      </c>
      <c r="Q159" s="88">
        <v>3564.19</v>
      </c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9" s="88">
        <f>Programacion[[#This Row],[ENERO]]+Programacion[[#This Row],[FEBRERO]]+Programacion[[#This Row],[MARZO]]</f>
        <v>0</v>
      </c>
      <c r="AH159" s="88">
        <f>Programacion[[#This Row],[DEVENGADO ENERO]]+Programacion[[#This Row],[DEVENGADO FEBRERO]]+Programacion[[#This Row],[DEVENGADO MARZO]]</f>
        <v>0</v>
      </c>
      <c r="AI159" s="88">
        <f>Programacion[[#This Row],[ABRIL]]+Programacion[[#This Row],[MAYO]]+Programacion[[#This Row],[JUNIO]]</f>
        <v>3564.19</v>
      </c>
      <c r="AJ159" s="88">
        <f>Programacion[[#This Row],[DEVENGADO ABRIL]]+Programacion[[#This Row],[DEVENGADO MAYO]]+Programacion[[#This Row],[DEVENGADO JUNIO]]</f>
        <v>3564.19</v>
      </c>
      <c r="AK159" s="88">
        <f>Programacion[[#This Row],[JULIO]]+Programacion[[#This Row],[AGOSTO]]+Programacion[[#This Row],[SEPTIEMBRE]]</f>
        <v>0</v>
      </c>
      <c r="AL159" s="88">
        <f>Programacion[[#This Row],[DEVENGADO JULIO]]+Programacion[[#This Row],[DEVENGADO AGOSTO]]+Programacion[[#This Row],[DEVENGADO SEPTIEMBRE]]</f>
        <v>0</v>
      </c>
      <c r="AM159" s="88">
        <f>Programacion[[#This Row],[OCTUBRE]]+Programacion[[#This Row],[NOVIEMBRE]]+Programacion[[#This Row],[DICIEMBRE]]</f>
        <v>0</v>
      </c>
      <c r="AN159" s="88">
        <f>Programacion[[#This Row],[DEVENGADO OCTUBRE]]+Programacion[[#This Row],[DEVENGADO NOVIEMBRE]]+Programacion[[#This Row],[DEVENGADO DICIEMBRE]]</f>
        <v>0</v>
      </c>
      <c r="AO159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9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9" s="116"/>
    </row>
    <row r="160" spans="1:46" x14ac:dyDescent="0.25">
      <c r="A160" s="79" t="s">
        <v>152</v>
      </c>
      <c r="B160" s="90" t="s">
        <v>156</v>
      </c>
      <c r="C160" s="91" t="s">
        <v>47</v>
      </c>
      <c r="D160" s="81" t="s">
        <v>154</v>
      </c>
      <c r="E160" s="92">
        <v>34</v>
      </c>
      <c r="F160" s="93">
        <v>2.2999999999999998</v>
      </c>
      <c r="G160" s="94" t="s">
        <v>51</v>
      </c>
      <c r="H160" s="88"/>
      <c r="I160" s="88"/>
      <c r="J160" s="88"/>
      <c r="K160" s="88"/>
      <c r="L160" s="88"/>
      <c r="M160" s="88"/>
      <c r="N160" s="88"/>
      <c r="O160" s="88"/>
      <c r="P160" s="88">
        <v>1806</v>
      </c>
      <c r="Q160" s="88">
        <v>1806</v>
      </c>
      <c r="R160" s="88">
        <v>-317</v>
      </c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1489</v>
      </c>
      <c r="AJ160" s="88">
        <f>Programacion[[#This Row],[DEVENGADO ABRIL]]+Programacion[[#This Row],[DEVENGADO MAYO]]+Programacion[[#This Row],[DEVENGADO JUNIO]]</f>
        <v>1806</v>
      </c>
      <c r="AK160" s="88">
        <f>Programacion[[#This Row],[JULIO]]+Programacion[[#This Row],[AGOSTO]]+Programacion[[#This Row],[SEPTIEMBRE]]</f>
        <v>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</v>
      </c>
      <c r="AN160" s="88">
        <f>Programacion[[#This Row],[DEVENGADO OCTUBRE]]+Programacion[[#This Row],[DEVENGADO NOVIEMBRE]]+Programacion[[#This Row],[DEVENGADO DICIEMBRE]]</f>
        <v>0</v>
      </c>
      <c r="AO160" s="88">
        <f>Programacion[[#This Row],[ENERO]]+Programacion[[#This Row],[FEBRERO]]+Programacion[[#This Row],[MARZO]]+Programacion[[#This Row],[ABRIL]]+Programacion[[#This Row],[MAYO]]+Programacion[[#This Row],[JUNIO]]</f>
        <v>1489</v>
      </c>
      <c r="AP16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6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60" s="116"/>
    </row>
    <row r="161" spans="1:46" x14ac:dyDescent="0.25">
      <c r="A161" s="79" t="s">
        <v>152</v>
      </c>
      <c r="B161" s="90" t="s">
        <v>157</v>
      </c>
      <c r="C161" s="91" t="s">
        <v>74</v>
      </c>
      <c r="D161" s="81" t="s">
        <v>154</v>
      </c>
      <c r="E161" s="92">
        <v>34</v>
      </c>
      <c r="F161" s="93">
        <v>2.2999999999999998</v>
      </c>
      <c r="G161" s="94" t="s">
        <v>75</v>
      </c>
      <c r="H161" s="88"/>
      <c r="I161" s="88"/>
      <c r="J161" s="88"/>
      <c r="K161" s="88"/>
      <c r="L161" s="88"/>
      <c r="M161" s="88"/>
      <c r="N161" s="88"/>
      <c r="O161" s="88"/>
      <c r="P161" s="88">
        <v>500</v>
      </c>
      <c r="Q161" s="88">
        <v>500</v>
      </c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500</v>
      </c>
      <c r="AJ161" s="88">
        <f>Programacion[[#This Row],[DEVENGADO ABRIL]]+Programacion[[#This Row],[DEVENGADO MAYO]]+Programacion[[#This Row],[DEVENGADO JUNIO]]</f>
        <v>500</v>
      </c>
      <c r="AK161" s="88">
        <f>Programacion[[#This Row],[JULIO]]+Programacion[[#This Row],[AGOSTO]]+Programacion[[#This Row],[SEPTIEMBRE]]</f>
        <v>0</v>
      </c>
      <c r="AL161" s="88">
        <f>Programacion[[#This Row],[DEVENGADO JULIO]]+Programacion[[#This Row],[DEVENGADO AGOSTO]]+Programacion[[#This Row],[DEVENGADO SEPTIEMBRE]]</f>
        <v>0</v>
      </c>
      <c r="AM161" s="88">
        <f>Programacion[[#This Row],[OCTUBRE]]+Programacion[[#This Row],[NOVIEMBRE]]+Programacion[[#This Row],[DICIEMBRE]]</f>
        <v>0</v>
      </c>
      <c r="AN161" s="88">
        <f>Programacion[[#This Row],[DEVENGADO OCTUBRE]]+Programacion[[#This Row],[DEVENGADO NOVIEMBRE]]+Programacion[[#This Row],[DEVENGADO DICIEMBRE]]</f>
        <v>0</v>
      </c>
      <c r="AO161" s="88">
        <f>Programacion[[#This Row],[ENERO]]+Programacion[[#This Row],[FEBRERO]]+Programacion[[#This Row],[MARZO]]+Programacion[[#This Row],[ABRIL]]+Programacion[[#This Row],[MAYO]]+Programacion[[#This Row],[JUNIO]]</f>
        <v>500</v>
      </c>
      <c r="AP16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61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61" s="116"/>
    </row>
    <row r="162" spans="1:46" x14ac:dyDescent="0.25">
      <c r="A162" s="95" t="s">
        <v>152</v>
      </c>
      <c r="B162" s="90" t="s">
        <v>158</v>
      </c>
      <c r="C162" s="91" t="s">
        <v>56</v>
      </c>
      <c r="D162" s="94" t="s">
        <v>154</v>
      </c>
      <c r="E162" s="92">
        <v>34</v>
      </c>
      <c r="F162" s="93">
        <v>2.2999999999999998</v>
      </c>
      <c r="G162" s="94" t="s">
        <v>57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>
        <v>7045.58</v>
      </c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0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7045.58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ht="30" x14ac:dyDescent="0.25">
      <c r="A163" s="95" t="s">
        <v>152</v>
      </c>
      <c r="B163" s="90" t="s">
        <v>159</v>
      </c>
      <c r="C163" s="91" t="s">
        <v>56</v>
      </c>
      <c r="D163" s="94" t="s">
        <v>154</v>
      </c>
      <c r="E163" s="92">
        <v>34</v>
      </c>
      <c r="F163" s="93">
        <v>2.2999999999999998</v>
      </c>
      <c r="G163" s="94" t="s">
        <v>57</v>
      </c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>
        <v>13530</v>
      </c>
      <c r="Y163" s="88"/>
      <c r="Z163" s="88">
        <v>6970</v>
      </c>
      <c r="AA163" s="88"/>
      <c r="AB163" s="88"/>
      <c r="AC163" s="88"/>
      <c r="AD163" s="88"/>
      <c r="AE163" s="88"/>
      <c r="AF16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63" s="88">
        <f>Programacion[[#This Row],[ENERO]]+Programacion[[#This Row],[FEBRERO]]+Programacion[[#This Row],[MARZO]]</f>
        <v>0</v>
      </c>
      <c r="AH163" s="88">
        <f>Programacion[[#This Row],[DEVENGADO ENERO]]+Programacion[[#This Row],[DEVENGADO FEBRERO]]+Programacion[[#This Row],[DEVENGADO MARZO]]</f>
        <v>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13530</v>
      </c>
      <c r="AL163" s="88">
        <f>Programacion[[#This Row],[DEVENGADO JULIO]]+Programacion[[#This Row],[DEVENGADO AGOSTO]]+Programacion[[#This Row],[DEVENGADO SEPTIEMBRE]]</f>
        <v>0</v>
      </c>
      <c r="AM163" s="88">
        <f>Programacion[[#This Row],[OCTUBRE]]+Programacion[[#This Row],[NOVIEMBRE]]+Programacion[[#This Row],[DICIEMBRE]]</f>
        <v>6970</v>
      </c>
      <c r="AN163" s="97">
        <f>Programacion[[#This Row],[DEVENGADO OCTUBRE]]+Programacion[[#This Row],[DEVENGADO NOVIEMBRE]]+Programacion[[#This Row],[DEVENGADO DICIEMBRE]]</f>
        <v>0</v>
      </c>
      <c r="AO163" s="97">
        <f>Programacion[[#This Row],[ENERO]]+Programacion[[#This Row],[FEBRERO]]+Programacion[[#This Row],[MARZO]]+Programacion[[#This Row],[ABRIL]]+Programacion[[#This Row],[MAYO]]+Programacion[[#This Row],[JUNIO]]</f>
        <v>0</v>
      </c>
      <c r="AP16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97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6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16"/>
    </row>
    <row r="164" spans="1:46" ht="30" x14ac:dyDescent="0.25">
      <c r="A164" s="99" t="s">
        <v>152</v>
      </c>
      <c r="B164" s="90" t="s">
        <v>160</v>
      </c>
      <c r="C164" s="81" t="s">
        <v>56</v>
      </c>
      <c r="D164" s="81" t="s">
        <v>154</v>
      </c>
      <c r="E164" s="82">
        <v>34</v>
      </c>
      <c r="F164" s="83">
        <v>2.2999999999999998</v>
      </c>
      <c r="G164" s="81" t="s">
        <v>130</v>
      </c>
      <c r="H164" s="81"/>
      <c r="I164" s="84"/>
      <c r="J164" s="84">
        <v>4500</v>
      </c>
      <c r="K164" s="84">
        <v>4500</v>
      </c>
      <c r="L164" s="84">
        <v>10500</v>
      </c>
      <c r="M164" s="84">
        <v>10500</v>
      </c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5"/>
      <c r="AB164" s="100"/>
      <c r="AC164" s="100"/>
      <c r="AD164" s="100"/>
      <c r="AE164" s="100"/>
      <c r="AF16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4" s="88">
        <f>Programacion[[#This Row],[ENERO]]+Programacion[[#This Row],[FEBRERO]]+Programacion[[#This Row],[MARZO]]</f>
        <v>15000</v>
      </c>
      <c r="AH164" s="88">
        <f>Programacion[[#This Row],[DEVENGADO ENERO]]+Programacion[[#This Row],[DEVENGADO FEBRERO]]+Programacion[[#This Row],[DEVENGADO MARZO]]</f>
        <v>15000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0</v>
      </c>
      <c r="AL164" s="88">
        <f>Programacion[[#This Row],[DEVENGADO JULIO]]+Programacion[[#This Row],[DEVENGADO AGOSTO]]+Programacion[[#This Row],[DEVENGADO SEPTIEMBRE]]</f>
        <v>0</v>
      </c>
      <c r="AM164" s="88">
        <f>Programacion[[#This Row],[OCTUBRE]]+Programacion[[#This Row],[NOVIEMBRE]]+Programacion[[#This Row],[DICIEMBRE]]</f>
        <v>0</v>
      </c>
      <c r="AN164" s="89">
        <f>Programacion[[#This Row],[DEVENGADO OCTUBRE]]+Programacion[[#This Row],[DEVENGADO NOVIEMBRE]]+Programacion[[#This Row],[DEVENGADO DICIEMBRE]]</f>
        <v>0</v>
      </c>
      <c r="AO164" s="89">
        <f>Programacion[[#This Row],[ENERO]]+Programacion[[#This Row],[FEBRERO]]+Programacion[[#This Row],[MARZO]]+Programacion[[#This Row],[ABRIL]]+Programacion[[#This Row],[MAYO]]+Programacion[[#This Row],[JUNIO]]</f>
        <v>15000</v>
      </c>
      <c r="AP16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4" s="116"/>
    </row>
    <row r="165" spans="1:46" x14ac:dyDescent="0.25">
      <c r="A165" s="99" t="s">
        <v>152</v>
      </c>
      <c r="B165" s="90" t="s">
        <v>161</v>
      </c>
      <c r="C165" s="81" t="s">
        <v>47</v>
      </c>
      <c r="D165" s="81" t="s">
        <v>154</v>
      </c>
      <c r="E165" s="82">
        <v>34</v>
      </c>
      <c r="F165" s="83">
        <v>2.2999999999999998</v>
      </c>
      <c r="G165" s="81" t="s">
        <v>51</v>
      </c>
      <c r="H165" s="81"/>
      <c r="I165" s="84"/>
      <c r="J165" s="84">
        <v>170</v>
      </c>
      <c r="K165" s="84">
        <v>170</v>
      </c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65" s="88">
        <f>Programacion[[#This Row],[ENERO]]+Programacion[[#This Row],[FEBRERO]]+Programacion[[#This Row],[MARZO]]</f>
        <v>170</v>
      </c>
      <c r="AH165" s="88">
        <f>Programacion[[#This Row],[DEVENGADO ENERO]]+Programacion[[#This Row],[DEVENGADO FEBRERO]]+Programacion[[#This Row],[DEVENGADO MARZO]]</f>
        <v>170</v>
      </c>
      <c r="AI165" s="88">
        <f>Programacion[[#This Row],[ABRIL]]+Programacion[[#This Row],[MAYO]]+Programacion[[#This Row],[JUNIO]]</f>
        <v>0</v>
      </c>
      <c r="AJ165" s="88">
        <f>Programacion[[#This Row],[DEVENGADO ABRIL]]+Programacion[[#This Row],[DEVENGADO MAYO]]+Programacion[[#This Row],[DEVENGADO JUNIO]]</f>
        <v>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170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65" s="116"/>
    </row>
    <row r="166" spans="1:46" x14ac:dyDescent="0.25">
      <c r="A166" s="99" t="s">
        <v>152</v>
      </c>
      <c r="B166" s="90" t="s">
        <v>162</v>
      </c>
      <c r="C166" s="81" t="s">
        <v>47</v>
      </c>
      <c r="D166" s="81" t="s">
        <v>154</v>
      </c>
      <c r="E166" s="82">
        <v>34</v>
      </c>
      <c r="F166" s="83">
        <v>2.2999999999999998</v>
      </c>
      <c r="G166" s="81" t="s">
        <v>49</v>
      </c>
      <c r="H166" s="81"/>
      <c r="I166" s="84"/>
      <c r="J166" s="84">
        <v>165</v>
      </c>
      <c r="K166" s="84">
        <v>165</v>
      </c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5"/>
      <c r="AB166" s="100"/>
      <c r="AC166" s="100"/>
      <c r="AD166" s="100"/>
      <c r="AE166" s="100"/>
      <c r="AF16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66" s="88">
        <f>Programacion[[#This Row],[ENERO]]+Programacion[[#This Row],[FEBRERO]]+Programacion[[#This Row],[MARZO]]</f>
        <v>165</v>
      </c>
      <c r="AH166" s="88">
        <f>Programacion[[#This Row],[DEVENGADO ENERO]]+Programacion[[#This Row],[DEVENGADO FEBRERO]]+Programacion[[#This Row],[DEVENGADO MARZO]]</f>
        <v>165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0</v>
      </c>
      <c r="AL166" s="88">
        <f>Programacion[[#This Row],[DEVENGADO JULIO]]+Programacion[[#This Row],[DEVENGADO AGOSTO]]+Programacion[[#This Row],[DEVENGADO SEPTIEMBRE]]</f>
        <v>0</v>
      </c>
      <c r="AM166" s="88">
        <f>Programacion[[#This Row],[OCTUBRE]]+Programacion[[#This Row],[NOVIEMBRE]]+Programacion[[#This Row],[DICIEMBRE]]</f>
        <v>0</v>
      </c>
      <c r="AN166" s="89">
        <f>Programacion[[#This Row],[DEVENGADO OCTUBRE]]+Programacion[[#This Row],[DEVENGADO NOVIEMBRE]]+Programacion[[#This Row],[DEVENGADO DICIEMBRE]]</f>
        <v>0</v>
      </c>
      <c r="AO166" s="89">
        <f>Programacion[[#This Row],[ENERO]]+Programacion[[#This Row],[FEBRERO]]+Programacion[[#This Row],[MARZO]]+Programacion[[#This Row],[ABRIL]]+Programacion[[#This Row],[MAYO]]+Programacion[[#This Row],[JUNIO]]</f>
        <v>165</v>
      </c>
      <c r="AP16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6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66" s="116"/>
    </row>
    <row r="167" spans="1:46" ht="30" x14ac:dyDescent="0.25">
      <c r="A167" s="99" t="s">
        <v>152</v>
      </c>
      <c r="B167" s="90" t="s">
        <v>163</v>
      </c>
      <c r="C167" s="81" t="s">
        <v>56</v>
      </c>
      <c r="D167" s="81" t="s">
        <v>154</v>
      </c>
      <c r="E167" s="82">
        <v>34</v>
      </c>
      <c r="F167" s="83">
        <v>2.2999999999999998</v>
      </c>
      <c r="G167" s="81" t="s">
        <v>57</v>
      </c>
      <c r="H167" s="81"/>
      <c r="I167" s="84"/>
      <c r="J167" s="84"/>
      <c r="K167" s="84"/>
      <c r="L167" s="84"/>
      <c r="M167" s="84"/>
      <c r="N167" s="84">
        <v>5848</v>
      </c>
      <c r="O167" s="84">
        <v>5848</v>
      </c>
      <c r="P167" s="84">
        <v>5848</v>
      </c>
      <c r="Q167" s="84">
        <v>5848</v>
      </c>
      <c r="R167" s="84">
        <v>2924</v>
      </c>
      <c r="S167" s="84">
        <v>2924</v>
      </c>
      <c r="T167" s="84"/>
      <c r="U167" s="84"/>
      <c r="V167" s="84"/>
      <c r="W167" s="84"/>
      <c r="X167" s="84"/>
      <c r="Y167" s="84"/>
      <c r="Z167" s="84">
        <v>0.39</v>
      </c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14620</v>
      </c>
      <c r="AJ167" s="88">
        <f>Programacion[[#This Row],[DEVENGADO ABRIL]]+Programacion[[#This Row],[DEVENGADO MAYO]]+Programacion[[#This Row],[DEVENGADO JUNIO]]</f>
        <v>14620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0.39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14620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67" s="116"/>
    </row>
    <row r="168" spans="1:46" ht="30" x14ac:dyDescent="0.25">
      <c r="A168" s="95" t="s">
        <v>152</v>
      </c>
      <c r="B168" s="90" t="s">
        <v>164</v>
      </c>
      <c r="C168" s="91" t="s">
        <v>56</v>
      </c>
      <c r="D168" s="94" t="s">
        <v>154</v>
      </c>
      <c r="E168" s="92">
        <v>34</v>
      </c>
      <c r="F168" s="93">
        <v>2.2999999999999998</v>
      </c>
      <c r="G168" s="94" t="s">
        <v>57</v>
      </c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>
        <v>6000</v>
      </c>
      <c r="U168" s="88">
        <v>6000</v>
      </c>
      <c r="V168" s="88">
        <v>6000</v>
      </c>
      <c r="W168" s="88">
        <v>6000</v>
      </c>
      <c r="X168" s="88">
        <v>6000</v>
      </c>
      <c r="Y168" s="88"/>
      <c r="Z168" s="88">
        <v>12000</v>
      </c>
      <c r="AA168" s="88"/>
      <c r="AB168" s="88"/>
      <c r="AC168" s="88"/>
      <c r="AD168" s="88"/>
      <c r="AE168" s="88"/>
      <c r="AF16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18000</v>
      </c>
      <c r="AL168" s="88">
        <f>Programacion[[#This Row],[DEVENGADO JULIO]]+Programacion[[#This Row],[DEVENGADO AGOSTO]]+Programacion[[#This Row],[DEVENGADO SEPTIEMBRE]]</f>
        <v>12000</v>
      </c>
      <c r="AM168" s="88">
        <f>Programacion[[#This Row],[OCTUBRE]]+Programacion[[#This Row],[NOVIEMBRE]]+Programacion[[#This Row],[DICIEMBRE]]</f>
        <v>12000</v>
      </c>
      <c r="AN168" s="97">
        <f>Programacion[[#This Row],[DEVENGADO OCTUBRE]]+Programacion[[#This Row],[DEVENGADO NOVIEMBRE]]+Programacion[[#This Row],[DEVENGADO DICIEMBRE]]</f>
        <v>0</v>
      </c>
      <c r="AO168" s="97">
        <f>Programacion[[#This Row],[ENERO]]+Programacion[[#This Row],[FEBRERO]]+Programacion[[#This Row],[MARZO]]+Programacion[[#This Row],[ABRIL]]+Programacion[[#This Row],[MAYO]]+Programacion[[#This Row],[JUNIO]]</f>
        <v>0</v>
      </c>
      <c r="AP16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6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8" s="116"/>
    </row>
    <row r="169" spans="1:46" x14ac:dyDescent="0.25">
      <c r="A169" s="95" t="s">
        <v>152</v>
      </c>
      <c r="B169" s="90" t="s">
        <v>165</v>
      </c>
      <c r="C169" s="91" t="s">
        <v>47</v>
      </c>
      <c r="D169" s="94" t="s">
        <v>154</v>
      </c>
      <c r="E169" s="92">
        <v>95</v>
      </c>
      <c r="F169" s="93">
        <v>2.2999999999999998</v>
      </c>
      <c r="G169" s="94" t="s">
        <v>49</v>
      </c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>
        <v>4368.07</v>
      </c>
      <c r="W169" s="88">
        <v>4368.07</v>
      </c>
      <c r="X169" s="88"/>
      <c r="Y169" s="88"/>
      <c r="Z169" s="88"/>
      <c r="AA169" s="88"/>
      <c r="AB169" s="88"/>
      <c r="AC169" s="88"/>
      <c r="AD169" s="88"/>
      <c r="AE169" s="88"/>
      <c r="AF16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0</v>
      </c>
      <c r="AJ169" s="88">
        <f>Programacion[[#This Row],[DEVENGADO ABRIL]]+Programacion[[#This Row],[DEVENGADO MAYO]]+Programacion[[#This Row],[DEVENGADO JUNIO]]</f>
        <v>0</v>
      </c>
      <c r="AK169" s="88">
        <f>Programacion[[#This Row],[JULIO]]+Programacion[[#This Row],[AGOSTO]]+Programacion[[#This Row],[SEPTIEMBRE]]</f>
        <v>4368.07</v>
      </c>
      <c r="AL169" s="88">
        <f>Programacion[[#This Row],[DEVENGADO JULIO]]+Programacion[[#This Row],[DEVENGADO AGOSTO]]+Programacion[[#This Row],[DEVENGADO SEPTIEMBRE]]</f>
        <v>4368.07</v>
      </c>
      <c r="AM169" s="88">
        <f>Programacion[[#This Row],[OCTUBRE]]+Programacion[[#This Row],[NOVIEMBRE]]+Programacion[[#This Row],[DICIEMBRE]]</f>
        <v>0</v>
      </c>
      <c r="AN169" s="97">
        <f>Programacion[[#This Row],[DEVENGADO OCTUBRE]]+Programacion[[#This Row],[DEVENGADO NOVIEMBRE]]+Programacion[[#This Row],[DEVENGADO DICIEMBRE]]</f>
        <v>0</v>
      </c>
      <c r="AO169" s="97">
        <f>Programacion[[#This Row],[ENERO]]+Programacion[[#This Row],[FEBRERO]]+Programacion[[#This Row],[MARZO]]+Programacion[[#This Row],[ABRIL]]+Programacion[[#This Row],[MAYO]]+Programacion[[#This Row],[JUNIO]]</f>
        <v>0</v>
      </c>
      <c r="AP16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97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16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16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169" s="116"/>
    </row>
    <row r="170" spans="1:46" x14ac:dyDescent="0.25">
      <c r="A170" s="95" t="s">
        <v>152</v>
      </c>
      <c r="B170" s="90" t="s">
        <v>166</v>
      </c>
      <c r="C170" s="91" t="s">
        <v>47</v>
      </c>
      <c r="D170" s="94" t="s">
        <v>154</v>
      </c>
      <c r="E170" s="92">
        <v>95</v>
      </c>
      <c r="F170" s="93">
        <v>2.2999999999999998</v>
      </c>
      <c r="G170" s="94" t="s">
        <v>51</v>
      </c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>
        <v>1656</v>
      </c>
      <c r="W170" s="88">
        <v>1656</v>
      </c>
      <c r="X170" s="88"/>
      <c r="Y170" s="88"/>
      <c r="Z170" s="88"/>
      <c r="AA170" s="88"/>
      <c r="AB170" s="88"/>
      <c r="AC170" s="88"/>
      <c r="AD170" s="88"/>
      <c r="AE170" s="88"/>
      <c r="AF17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170" s="88">
        <f>Programacion[[#This Row],[ENERO]]+Programacion[[#This Row],[FEBRERO]]+Programacion[[#This Row],[MARZO]]</f>
        <v>0</v>
      </c>
      <c r="AH170" s="88">
        <f>Programacion[[#This Row],[DEVENGADO ENERO]]+Programacion[[#This Row],[DEVENGADO FEBRERO]]+Programacion[[#This Row],[DEVENGADO MARZO]]</f>
        <v>0</v>
      </c>
      <c r="AI170" s="88">
        <f>Programacion[[#This Row],[ABRIL]]+Programacion[[#This Row],[MAYO]]+Programacion[[#This Row],[JUNIO]]</f>
        <v>0</v>
      </c>
      <c r="AJ170" s="88">
        <f>Programacion[[#This Row],[DEVENGADO ABRIL]]+Programacion[[#This Row],[DEVENGADO MAYO]]+Programacion[[#This Row],[DEVENGADO JUNIO]]</f>
        <v>0</v>
      </c>
      <c r="AK170" s="88">
        <f>Programacion[[#This Row],[JULIO]]+Programacion[[#This Row],[AGOSTO]]+Programacion[[#This Row],[SEPTIEMBRE]]</f>
        <v>1656</v>
      </c>
      <c r="AL170" s="88">
        <f>Programacion[[#This Row],[DEVENGADO JULIO]]+Programacion[[#This Row],[DEVENGADO AGOSTO]]+Programacion[[#This Row],[DEVENGADO SEPTIEMBRE]]</f>
        <v>1656</v>
      </c>
      <c r="AM170" s="88">
        <f>Programacion[[#This Row],[OCTUBRE]]+Programacion[[#This Row],[NOVIEMBRE]]+Programacion[[#This Row],[DICIEMBRE]]</f>
        <v>0</v>
      </c>
      <c r="AN170" s="88">
        <f>Programacion[[#This Row],[DEVENGADO OCTUBRE]]+Programacion[[#This Row],[DEVENGADO NOVIEMBRE]]+Programacion[[#This Row],[DEVENGADO DICIEMBRE]]</f>
        <v>0</v>
      </c>
      <c r="AO170" s="88">
        <f>Programacion[[#This Row],[ENERO]]+Programacion[[#This Row],[FEBRERO]]+Programacion[[#This Row],[MARZO]]+Programacion[[#This Row],[ABRIL]]+Programacion[[#This Row],[MAYO]]+Programacion[[#This Row],[JUNIO]]</f>
        <v>0</v>
      </c>
      <c r="AP17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88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17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70" s="116"/>
    </row>
    <row r="171" spans="1:46" x14ac:dyDescent="0.25">
      <c r="A171" s="95" t="s">
        <v>152</v>
      </c>
      <c r="B171" s="90" t="s">
        <v>167</v>
      </c>
      <c r="C171" s="91" t="s">
        <v>74</v>
      </c>
      <c r="D171" s="94" t="s">
        <v>154</v>
      </c>
      <c r="E171" s="92">
        <v>95</v>
      </c>
      <c r="F171" s="93">
        <v>2.2999999999999998</v>
      </c>
      <c r="G171" s="94" t="s">
        <v>75</v>
      </c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>
        <v>600</v>
      </c>
      <c r="W171" s="88">
        <v>600</v>
      </c>
      <c r="X171" s="88"/>
      <c r="Y171" s="88"/>
      <c r="Z171" s="88"/>
      <c r="AA171" s="88"/>
      <c r="AB171" s="88"/>
      <c r="AC171" s="88"/>
      <c r="AD171" s="88"/>
      <c r="AE171" s="88"/>
      <c r="AF17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1" s="88">
        <f>Programacion[[#This Row],[ENERO]]+Programacion[[#This Row],[FEBRERO]]+Programacion[[#This Row],[MARZO]]</f>
        <v>0</v>
      </c>
      <c r="AH171" s="88">
        <f>Programacion[[#This Row],[DEVENGADO ENERO]]+Programacion[[#This Row],[DEVENGADO FEBRERO]]+Programacion[[#This Row],[DEVENGADO MARZO]]</f>
        <v>0</v>
      </c>
      <c r="AI171" s="88">
        <f>Programacion[[#This Row],[ABRIL]]+Programacion[[#This Row],[MAYO]]+Programacion[[#This Row],[JUNIO]]</f>
        <v>0</v>
      </c>
      <c r="AJ171" s="88">
        <f>Programacion[[#This Row],[DEVENGADO ABRIL]]+Programacion[[#This Row],[DEVENGADO MAYO]]+Programacion[[#This Row],[DEVENGADO JUNIO]]</f>
        <v>0</v>
      </c>
      <c r="AK171" s="88">
        <f>Programacion[[#This Row],[JULIO]]+Programacion[[#This Row],[AGOSTO]]+Programacion[[#This Row],[SEPTIEMBRE]]</f>
        <v>600</v>
      </c>
      <c r="AL171" s="88">
        <f>Programacion[[#This Row],[DEVENGADO JULIO]]+Programacion[[#This Row],[DEVENGADO AGOSTO]]+Programacion[[#This Row],[DEVENGADO SEPTIEMBRE]]</f>
        <v>600</v>
      </c>
      <c r="AM171" s="88">
        <f>Programacion[[#This Row],[OCTUBRE]]+Programacion[[#This Row],[NOVIEMBRE]]+Programacion[[#This Row],[DICIEMBRE]]</f>
        <v>0</v>
      </c>
      <c r="AN171" s="97">
        <f>Programacion[[#This Row],[DEVENGADO OCTUBRE]]+Programacion[[#This Row],[DEVENGADO NOVIEMBRE]]+Programacion[[#This Row],[DEVENGADO DICIEMBRE]]</f>
        <v>0</v>
      </c>
      <c r="AO171" s="97">
        <f>Programacion[[#This Row],[ENERO]]+Programacion[[#This Row],[FEBRERO]]+Programacion[[#This Row],[MARZO]]+Programacion[[#This Row],[ABRIL]]+Programacion[[#This Row],[MAYO]]+Programacion[[#This Row],[JUNIO]]</f>
        <v>0</v>
      </c>
      <c r="AP17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97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17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17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1" s="116"/>
    </row>
    <row r="172" spans="1:46" ht="30" x14ac:dyDescent="0.25">
      <c r="A172" s="99" t="s">
        <v>152</v>
      </c>
      <c r="B172" s="90" t="s">
        <v>168</v>
      </c>
      <c r="C172" s="81" t="s">
        <v>56</v>
      </c>
      <c r="D172" s="81" t="s">
        <v>154</v>
      </c>
      <c r="E172" s="82">
        <v>95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12000</v>
      </c>
      <c r="M172" s="84">
        <v>12000</v>
      </c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2" s="88">
        <f>Programacion[[#This Row],[ENERO]]+Programacion[[#This Row],[FEBRERO]]+Programacion[[#This Row],[MARZO]]</f>
        <v>12000</v>
      </c>
      <c r="AH172" s="88">
        <f>Programacion[[#This Row],[DEVENGADO ENERO]]+Programacion[[#This Row],[DEVENGADO FEBRERO]]+Programacion[[#This Row],[DEVENGADO MARZO]]</f>
        <v>12000</v>
      </c>
      <c r="AI172" s="88">
        <f>Programacion[[#This Row],[ABRIL]]+Programacion[[#This Row],[MAYO]]+Programacion[[#This Row],[JUNIO]]</f>
        <v>0</v>
      </c>
      <c r="AJ172" s="88">
        <f>Programacion[[#This Row],[DEVENGADO ABRIL]]+Programacion[[#This Row],[DEVENGADO MAYO]]+Programacion[[#This Row],[DEVENGADO JUNIO]]</f>
        <v>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12000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2" s="116"/>
    </row>
    <row r="173" spans="1:46" ht="30" x14ac:dyDescent="0.25">
      <c r="A173" s="99" t="s">
        <v>152</v>
      </c>
      <c r="B173" s="90" t="s">
        <v>169</v>
      </c>
      <c r="C173" s="91" t="s">
        <v>56</v>
      </c>
      <c r="D173" s="94" t="s">
        <v>154</v>
      </c>
      <c r="E173" s="92">
        <v>95</v>
      </c>
      <c r="F173" s="93">
        <v>2.2999999999999998</v>
      </c>
      <c r="G173" s="94" t="s">
        <v>57</v>
      </c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>
        <v>2000</v>
      </c>
      <c r="U173" s="88">
        <v>2000</v>
      </c>
      <c r="V173" s="88">
        <v>2000</v>
      </c>
      <c r="W173" s="88">
        <v>2000</v>
      </c>
      <c r="X173" s="88"/>
      <c r="Y173" s="88"/>
      <c r="Z173" s="88"/>
      <c r="AA173" s="88"/>
      <c r="AB173" s="88"/>
      <c r="AC173" s="88"/>
      <c r="AD173" s="88"/>
      <c r="AE173" s="88"/>
      <c r="AF17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73" s="88">
        <f>Programacion[[#This Row],[ENERO]]+Programacion[[#This Row],[FEBRERO]]+Programacion[[#This Row],[MARZO]]</f>
        <v>0</v>
      </c>
      <c r="AH173" s="88">
        <f>Programacion[[#This Row],[DEVENGADO ENERO]]+Programacion[[#This Row],[DEVENGADO FEBRERO]]+Programacion[[#This Row],[DEVENGADO MARZO]]</f>
        <v>0</v>
      </c>
      <c r="AI173" s="88">
        <f>Programacion[[#This Row],[ABRIL]]+Programacion[[#This Row],[MAYO]]+Programacion[[#This Row],[JUNIO]]</f>
        <v>0</v>
      </c>
      <c r="AJ173" s="88">
        <f>Programacion[[#This Row],[DEVENGADO ABRIL]]+Programacion[[#This Row],[DEVENGADO MAYO]]+Programacion[[#This Row],[DEVENGADO JUNIO]]</f>
        <v>0</v>
      </c>
      <c r="AK173" s="88">
        <f>Programacion[[#This Row],[JULIO]]+Programacion[[#This Row],[AGOSTO]]+Programacion[[#This Row],[SEPTIEMBRE]]</f>
        <v>4000</v>
      </c>
      <c r="AL173" s="88">
        <f>Programacion[[#This Row],[DEVENGADO JULIO]]+Programacion[[#This Row],[DEVENGADO AGOSTO]]+Programacion[[#This Row],[DEVENGADO SEPTIEMBRE]]</f>
        <v>4000</v>
      </c>
      <c r="AM173" s="88">
        <f>Programacion[[#This Row],[OCTUBRE]]+Programacion[[#This Row],[NOVIEMBRE]]+Programacion[[#This Row],[DICIEMBRE]]</f>
        <v>0</v>
      </c>
      <c r="AN173" s="88">
        <f>Programacion[[#This Row],[DEVENGADO OCTUBRE]]+Programacion[[#This Row],[DEVENGADO NOVIEMBRE]]+Programacion[[#This Row],[DEVENGADO DICIEMBRE]]</f>
        <v>0</v>
      </c>
      <c r="AO173" s="88">
        <f>Programacion[[#This Row],[ENERO]]+Programacion[[#This Row],[FEBRERO]]+Programacion[[#This Row],[MARZO]]+Programacion[[#This Row],[ABRIL]]+Programacion[[#This Row],[MAYO]]+Programacion[[#This Row],[JUNIO]]</f>
        <v>0</v>
      </c>
      <c r="AP17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3" s="116"/>
    </row>
    <row r="174" spans="1:46" x14ac:dyDescent="0.25">
      <c r="A174" s="99" t="s">
        <v>152</v>
      </c>
      <c r="B174" s="90" t="s">
        <v>170</v>
      </c>
      <c r="C174" s="81" t="s">
        <v>171</v>
      </c>
      <c r="D174" s="81" t="s">
        <v>154</v>
      </c>
      <c r="E174" s="82">
        <v>95</v>
      </c>
      <c r="F174" s="83">
        <v>2.2999999999999998</v>
      </c>
      <c r="G174" s="81" t="s">
        <v>172</v>
      </c>
      <c r="H174" s="81"/>
      <c r="I174" s="84"/>
      <c r="J174" s="84"/>
      <c r="K174" s="84"/>
      <c r="L174" s="84"/>
      <c r="M174" s="84"/>
      <c r="N174" s="84"/>
      <c r="O174" s="84"/>
      <c r="P174" s="84"/>
      <c r="Q174" s="84"/>
      <c r="R174" s="84">
        <v>600</v>
      </c>
      <c r="S174" s="84">
        <v>600</v>
      </c>
      <c r="T174" s="84"/>
      <c r="U174" s="84"/>
      <c r="V174" s="84"/>
      <c r="W174" s="84"/>
      <c r="X174" s="84"/>
      <c r="Y174" s="84"/>
      <c r="Z174" s="84"/>
      <c r="AA174" s="85"/>
      <c r="AB174" s="100"/>
      <c r="AC174" s="100"/>
      <c r="AD174" s="100"/>
      <c r="AE174" s="100"/>
      <c r="AF17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4" s="88">
        <f>Programacion[[#This Row],[ENERO]]+Programacion[[#This Row],[FEBRERO]]+Programacion[[#This Row],[MARZO]]</f>
        <v>0</v>
      </c>
      <c r="AH174" s="88">
        <f>Programacion[[#This Row],[DEVENGADO ENERO]]+Programacion[[#This Row],[DEVENGADO FEBRERO]]+Programacion[[#This Row],[DEVENGADO MARZO]]</f>
        <v>0</v>
      </c>
      <c r="AI174" s="88">
        <f>Programacion[[#This Row],[ABRIL]]+Programacion[[#This Row],[MAYO]]+Programacion[[#This Row],[JUNIO]]</f>
        <v>600</v>
      </c>
      <c r="AJ174" s="88">
        <f>Programacion[[#This Row],[DEVENGADO ABRIL]]+Programacion[[#This Row],[DEVENGADO MAYO]]+Programacion[[#This Row],[DEVENGADO JUNIO]]</f>
        <v>600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0</v>
      </c>
      <c r="AN174" s="89">
        <f>Programacion[[#This Row],[DEVENGADO OCTUBRE]]+Programacion[[#This Row],[DEVENGADO NOVIEMBRE]]+Programacion[[#This Row],[DEVENGADO DICIEMBRE]]</f>
        <v>0</v>
      </c>
      <c r="AO174" s="89">
        <f>Programacion[[#This Row],[ENERO]]+Programacion[[#This Row],[FEBRERO]]+Programacion[[#This Row],[MARZO]]+Programacion[[#This Row],[ABRIL]]+Programacion[[#This Row],[MAYO]]+Programacion[[#This Row],[JUNIO]]</f>
        <v>600</v>
      </c>
      <c r="AP17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7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4" s="116"/>
    </row>
    <row r="175" spans="1:46" x14ac:dyDescent="0.25">
      <c r="A175" s="99" t="s">
        <v>152</v>
      </c>
      <c r="B175" s="90" t="s">
        <v>173</v>
      </c>
      <c r="C175" s="81" t="s">
        <v>74</v>
      </c>
      <c r="D175" s="81" t="s">
        <v>154</v>
      </c>
      <c r="E175" s="82">
        <v>95</v>
      </c>
      <c r="F175" s="83">
        <v>2.2999999999999998</v>
      </c>
      <c r="G175" s="81" t="s">
        <v>75</v>
      </c>
      <c r="H175" s="81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>
        <v>900</v>
      </c>
      <c r="U175" s="84">
        <v>900</v>
      </c>
      <c r="V175" s="84"/>
      <c r="W175" s="84"/>
      <c r="X175" s="84"/>
      <c r="Y175" s="84"/>
      <c r="Z175" s="84"/>
      <c r="AA175" s="85"/>
      <c r="AB175" s="100"/>
      <c r="AC175" s="100"/>
      <c r="AD175" s="100"/>
      <c r="AE175" s="100"/>
      <c r="AF17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0</v>
      </c>
      <c r="AJ175" s="88">
        <f>Programacion[[#This Row],[DEVENGADO ABRIL]]+Programacion[[#This Row],[DEVENGADO MAYO]]+Programacion[[#This Row],[DEVENGADO JUNIO]]</f>
        <v>0</v>
      </c>
      <c r="AK175" s="88">
        <f>Programacion[[#This Row],[JULIO]]+Programacion[[#This Row],[AGOSTO]]+Programacion[[#This Row],[SEPTIEMBRE]]</f>
        <v>900</v>
      </c>
      <c r="AL175" s="88">
        <f>Programacion[[#This Row],[DEVENGADO JULIO]]+Programacion[[#This Row],[DEVENGADO AGOSTO]]+Programacion[[#This Row],[DEVENGADO SEPTIEMBRE]]</f>
        <v>900</v>
      </c>
      <c r="AM175" s="88">
        <f>Programacion[[#This Row],[OCTUBRE]]+Programacion[[#This Row],[NOVIEMBRE]]+Programacion[[#This Row],[DICIEMBRE]]</f>
        <v>0</v>
      </c>
      <c r="AN175" s="89">
        <f>Programacion[[#This Row],[DEVENGADO OCTUBRE]]+Programacion[[#This Row],[DEVENGADO NOVIEMBRE]]+Programacion[[#This Row],[DEVENGADO DICIEMBRE]]</f>
        <v>0</v>
      </c>
      <c r="AO175" s="89">
        <f>Programacion[[#This Row],[ENERO]]+Programacion[[#This Row],[FEBRERO]]+Programacion[[#This Row],[MARZO]]+Programacion[[#This Row],[ABRIL]]+Programacion[[#This Row],[MAYO]]+Programacion[[#This Row],[JUNIO]]</f>
        <v>0</v>
      </c>
      <c r="AP17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7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75" s="116"/>
    </row>
    <row r="176" spans="1:46" ht="30" x14ac:dyDescent="0.25">
      <c r="A176" s="99" t="s">
        <v>152</v>
      </c>
      <c r="B176" s="90" t="s">
        <v>174</v>
      </c>
      <c r="C176" s="81" t="s">
        <v>56</v>
      </c>
      <c r="D176" s="81" t="s">
        <v>154</v>
      </c>
      <c r="E176" s="82">
        <v>95</v>
      </c>
      <c r="F176" s="83">
        <v>2.2999999999999998</v>
      </c>
      <c r="G176" s="81" t="s">
        <v>57</v>
      </c>
      <c r="H176" s="81"/>
      <c r="I176" s="84"/>
      <c r="J176" s="84"/>
      <c r="K176" s="84"/>
      <c r="L176" s="84"/>
      <c r="M176" s="84"/>
      <c r="N176" s="84">
        <v>5000</v>
      </c>
      <c r="O176" s="84">
        <v>5000</v>
      </c>
      <c r="P176" s="84">
        <v>5000</v>
      </c>
      <c r="Q176" s="84">
        <v>5000</v>
      </c>
      <c r="R176" s="84"/>
      <c r="S176" s="84"/>
      <c r="T176" s="84"/>
      <c r="U176" s="84"/>
      <c r="V176" s="84"/>
      <c r="W176" s="84"/>
      <c r="X176" s="84"/>
      <c r="Y176" s="84"/>
      <c r="Z176" s="84"/>
      <c r="AA176" s="85"/>
      <c r="AB176" s="100"/>
      <c r="AC176" s="100"/>
      <c r="AD176" s="100"/>
      <c r="AE176" s="100"/>
      <c r="AF17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6" s="88">
        <f>Programacion[[#This Row],[ENERO]]+Programacion[[#This Row],[FEBRERO]]+Programacion[[#This Row],[MARZO]]</f>
        <v>0</v>
      </c>
      <c r="AH176" s="88">
        <f>Programacion[[#This Row],[DEVENGADO ENERO]]+Programacion[[#This Row],[DEVENGADO FEBRERO]]+Programacion[[#This Row],[DEVENGADO MARZO]]</f>
        <v>0</v>
      </c>
      <c r="AI176" s="88">
        <f>Programacion[[#This Row],[ABRIL]]+Programacion[[#This Row],[MAYO]]+Programacion[[#This Row],[JUNIO]]</f>
        <v>10000</v>
      </c>
      <c r="AJ176" s="88">
        <f>Programacion[[#This Row],[DEVENGADO ABRIL]]+Programacion[[#This Row],[DEVENGADO MAYO]]+Programacion[[#This Row],[DEVENGADO JUNIO]]</f>
        <v>10000</v>
      </c>
      <c r="AK176" s="88">
        <f>Programacion[[#This Row],[JULIO]]+Programacion[[#This Row],[AGOSTO]]+Programacion[[#This Row],[SEPTIEMBRE]]</f>
        <v>0</v>
      </c>
      <c r="AL176" s="88">
        <f>Programacion[[#This Row],[DEVENGADO JULIO]]+Programacion[[#This Row],[DEVENGADO AGOSTO]]+Programacion[[#This Row],[DEVENGADO SEPTIEMBRE]]</f>
        <v>0</v>
      </c>
      <c r="AM176" s="88">
        <f>Programacion[[#This Row],[OCTUBRE]]+Programacion[[#This Row],[NOVIEMBRE]]+Programacion[[#This Row],[DICIEMBRE]]</f>
        <v>0</v>
      </c>
      <c r="AN176" s="89">
        <f>Programacion[[#This Row],[DEVENGADO OCTUBRE]]+Programacion[[#This Row],[DEVENGADO NOVIEMBRE]]+Programacion[[#This Row],[DEVENGADO DICIEMBRE]]</f>
        <v>0</v>
      </c>
      <c r="AO176" s="89">
        <f>Programacion[[#This Row],[ENERO]]+Programacion[[#This Row],[FEBRERO]]+Programacion[[#This Row],[MARZO]]+Programacion[[#This Row],[ABRIL]]+Programacion[[#This Row],[MAYO]]+Programacion[[#This Row],[JUNIO]]</f>
        <v>10000</v>
      </c>
      <c r="AP17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6" s="116"/>
    </row>
    <row r="177" spans="1:46" ht="45" x14ac:dyDescent="0.25">
      <c r="A177" s="99" t="s">
        <v>152</v>
      </c>
      <c r="B177" s="90" t="s">
        <v>175</v>
      </c>
      <c r="C177" s="91" t="s">
        <v>56</v>
      </c>
      <c r="D177" s="81" t="s">
        <v>154</v>
      </c>
      <c r="E177" s="92">
        <v>95</v>
      </c>
      <c r="F177" s="93">
        <v>2.2999999999999998</v>
      </c>
      <c r="G177" s="94" t="s">
        <v>57</v>
      </c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>
        <v>6000</v>
      </c>
      <c r="Y177" s="88"/>
      <c r="Z177" s="88">
        <v>6000</v>
      </c>
      <c r="AA177" s="88"/>
      <c r="AB177" s="88"/>
      <c r="AC177" s="88"/>
      <c r="AD177" s="88"/>
      <c r="AE177" s="88"/>
      <c r="AF17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7" s="88">
        <f>Programacion[[#This Row],[ENERO]]+Programacion[[#This Row],[FEBRERO]]+Programacion[[#This Row],[MARZO]]</f>
        <v>0</v>
      </c>
      <c r="AH177" s="88">
        <f>Programacion[[#This Row],[DEVENGADO ENERO]]+Programacion[[#This Row],[DEVENGADO FEBRERO]]+Programacion[[#This Row],[DEVENGADO MARZO]]</f>
        <v>0</v>
      </c>
      <c r="AI177" s="88">
        <f>Programacion[[#This Row],[ABRIL]]+Programacion[[#This Row],[MAYO]]+Programacion[[#This Row],[JUNIO]]</f>
        <v>0</v>
      </c>
      <c r="AJ177" s="88">
        <f>Programacion[[#This Row],[DEVENGADO ABRIL]]+Programacion[[#This Row],[DEVENGADO MAYO]]+Programacion[[#This Row],[DEVENGADO JUNIO]]</f>
        <v>0</v>
      </c>
      <c r="AK177" s="88">
        <f>Programacion[[#This Row],[JULIO]]+Programacion[[#This Row],[AGOSTO]]+Programacion[[#This Row],[SEPTIEMBRE]]</f>
        <v>6000</v>
      </c>
      <c r="AL177" s="88">
        <f>Programacion[[#This Row],[DEVENGADO JULIO]]+Programacion[[#This Row],[DEVENGADO AGOSTO]]+Programacion[[#This Row],[DEVENGADO SEPTIEMBRE]]</f>
        <v>0</v>
      </c>
      <c r="AM177" s="88">
        <f>Programacion[[#This Row],[OCTUBRE]]+Programacion[[#This Row],[NOVIEMBRE]]+Programacion[[#This Row],[DICIEMBRE]]</f>
        <v>6000</v>
      </c>
      <c r="AN177" s="97">
        <f>Programacion[[#This Row],[DEVENGADO OCTUBRE]]+Programacion[[#This Row],[DEVENGADO NOVIEMBRE]]+Programacion[[#This Row],[DEVENGADO DICIEMBRE]]</f>
        <v>0</v>
      </c>
      <c r="AO177" s="97">
        <f>Programacion[[#This Row],[ENERO]]+Programacion[[#This Row],[FEBRERO]]+Programacion[[#This Row],[MARZO]]+Programacion[[#This Row],[ABRIL]]+Programacion[[#This Row],[MAYO]]+Programacion[[#This Row],[JUNIO]]</f>
        <v>0</v>
      </c>
      <c r="AP17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7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116"/>
    </row>
    <row r="178" spans="1:46" x14ac:dyDescent="0.25">
      <c r="A178" s="99" t="s">
        <v>152</v>
      </c>
      <c r="B178" s="90" t="s">
        <v>176</v>
      </c>
      <c r="C178" s="81" t="s">
        <v>177</v>
      </c>
      <c r="D178" s="81" t="s">
        <v>154</v>
      </c>
      <c r="E178" s="82">
        <v>95</v>
      </c>
      <c r="F178" s="83">
        <v>2.2999999999999998</v>
      </c>
      <c r="G178" s="81" t="s">
        <v>178</v>
      </c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>
        <v>35</v>
      </c>
      <c r="S178" s="88">
        <v>35</v>
      </c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78" s="88">
        <f>Programacion[[#This Row],[ENERO]]+Programacion[[#This Row],[FEBRERO]]+Programacion[[#This Row],[MARZO]]</f>
        <v>0</v>
      </c>
      <c r="AH178" s="88">
        <f>Programacion[[#This Row],[DEVENGADO ENERO]]+Programacion[[#This Row],[DEVENGADO FEBRERO]]+Programacion[[#This Row],[DEVENGADO MARZO]]</f>
        <v>0</v>
      </c>
      <c r="AI178" s="88">
        <f>Programacion[[#This Row],[ABRIL]]+Programacion[[#This Row],[MAYO]]+Programacion[[#This Row],[JUNIO]]</f>
        <v>35</v>
      </c>
      <c r="AJ178" s="88">
        <f>Programacion[[#This Row],[DEVENGADO ABRIL]]+Programacion[[#This Row],[DEVENGADO MAYO]]+Programacion[[#This Row],[DEVENGADO JUNIO]]</f>
        <v>35</v>
      </c>
      <c r="AK178" s="88">
        <f>Programacion[[#This Row],[JULIO]]+Programacion[[#This Row],[AGOSTO]]+Programacion[[#This Row],[SEPTIEMBRE]]</f>
        <v>0</v>
      </c>
      <c r="AL178" s="88">
        <f>Programacion[[#This Row],[DEVENGADO JULIO]]+Programacion[[#This Row],[DEVENGADO AGOSTO]]+Programacion[[#This Row],[DEVENGADO SEPTIEMBRE]]</f>
        <v>0</v>
      </c>
      <c r="AM178" s="88">
        <f>Programacion[[#This Row],[OCTUBRE]]+Programacion[[#This Row],[NOVIEMBRE]]+Programacion[[#This Row],[DICIEMBRE]]</f>
        <v>0</v>
      </c>
      <c r="AN178" s="89">
        <f>Programacion[[#This Row],[DEVENGADO OCTUBRE]]+Programacion[[#This Row],[DEVENGADO NOVIEMBRE]]+Programacion[[#This Row],[DEVENGADO DICIEMBRE]]</f>
        <v>0</v>
      </c>
      <c r="AO178" s="89">
        <f>Programacion[[#This Row],[ENERO]]+Programacion[[#This Row],[FEBRERO]]+Programacion[[#This Row],[MARZO]]+Programacion[[#This Row],[ABRIL]]+Programacion[[#This Row],[MAYO]]+Programacion[[#This Row],[JUNIO]]</f>
        <v>35</v>
      </c>
      <c r="AP17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7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78" s="116"/>
    </row>
    <row r="179" spans="1:46" x14ac:dyDescent="0.25">
      <c r="A179" s="99" t="s">
        <v>152</v>
      </c>
      <c r="B179" s="90" t="s">
        <v>179</v>
      </c>
      <c r="C179" s="81" t="s">
        <v>56</v>
      </c>
      <c r="D179" s="81" t="s">
        <v>154</v>
      </c>
      <c r="E179" s="82">
        <v>95</v>
      </c>
      <c r="F179" s="83">
        <v>2.2999999999999998</v>
      </c>
      <c r="G179" s="81" t="s">
        <v>57</v>
      </c>
      <c r="H179" s="81"/>
      <c r="I179" s="84"/>
      <c r="J179" s="84"/>
      <c r="K179" s="84"/>
      <c r="L179" s="84">
        <v>2800</v>
      </c>
      <c r="M179" s="84">
        <v>2800</v>
      </c>
      <c r="N179" s="84"/>
      <c r="O179" s="84"/>
      <c r="P179" s="84">
        <v>4200</v>
      </c>
      <c r="Q179" s="84">
        <v>4200</v>
      </c>
      <c r="R179" s="84"/>
      <c r="S179" s="84"/>
      <c r="T179" s="84"/>
      <c r="U179" s="84"/>
      <c r="V179" s="84"/>
      <c r="W179" s="84"/>
      <c r="X179" s="84"/>
      <c r="Y179" s="84"/>
      <c r="Z179" s="84"/>
      <c r="AA179" s="85"/>
      <c r="AB179" s="100"/>
      <c r="AC179" s="100"/>
      <c r="AD179" s="100"/>
      <c r="AE179" s="100"/>
      <c r="AF17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9" s="88">
        <f>Programacion[[#This Row],[ENERO]]+Programacion[[#This Row],[FEBRERO]]+Programacion[[#This Row],[MARZO]]</f>
        <v>2800</v>
      </c>
      <c r="AH179" s="88">
        <f>Programacion[[#This Row],[DEVENGADO ENERO]]+Programacion[[#This Row],[DEVENGADO FEBRERO]]+Programacion[[#This Row],[DEVENGADO MARZO]]</f>
        <v>2800</v>
      </c>
      <c r="AI179" s="88">
        <f>Programacion[[#This Row],[ABRIL]]+Programacion[[#This Row],[MAYO]]+Programacion[[#This Row],[JUNIO]]</f>
        <v>4200</v>
      </c>
      <c r="AJ179" s="88">
        <f>Programacion[[#This Row],[DEVENGADO ABRIL]]+Programacion[[#This Row],[DEVENGADO MAYO]]+Programacion[[#This Row],[DEVENGADO JUNIO]]</f>
        <v>4200</v>
      </c>
      <c r="AK179" s="88">
        <f>Programacion[[#This Row],[JULIO]]+Programacion[[#This Row],[AGOSTO]]+Programacion[[#This Row],[SEPTIEMBRE]]</f>
        <v>0</v>
      </c>
      <c r="AL179" s="88">
        <f>Programacion[[#This Row],[DEVENGADO JULIO]]+Programacion[[#This Row],[DEVENGADO AGOSTO]]+Programacion[[#This Row],[DEVENGADO SEPTIEMBRE]]</f>
        <v>0</v>
      </c>
      <c r="AM179" s="88">
        <f>Programacion[[#This Row],[OCTUBRE]]+Programacion[[#This Row],[NOVIEMBRE]]+Programacion[[#This Row],[DICIEMBRE]]</f>
        <v>0</v>
      </c>
      <c r="AN179" s="89">
        <f>Programacion[[#This Row],[DEVENGADO OCTUBRE]]+Programacion[[#This Row],[DEVENGADO NOVIEMBRE]]+Programacion[[#This Row],[DEVENGADO DICIEMBRE]]</f>
        <v>0</v>
      </c>
      <c r="AO179" s="89">
        <f>Programacion[[#This Row],[ENERO]]+Programacion[[#This Row],[FEBRERO]]+Programacion[[#This Row],[MARZO]]+Programacion[[#This Row],[ABRIL]]+Programacion[[#This Row],[MAYO]]+Programacion[[#This Row],[JUNIO]]</f>
        <v>7000</v>
      </c>
      <c r="AP17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9" s="116"/>
    </row>
    <row r="180" spans="1:46" ht="30" x14ac:dyDescent="0.25">
      <c r="A180" s="99" t="s">
        <v>152</v>
      </c>
      <c r="B180" s="90" t="s">
        <v>180</v>
      </c>
      <c r="C180" s="81" t="s">
        <v>56</v>
      </c>
      <c r="D180" s="81" t="s">
        <v>154</v>
      </c>
      <c r="E180" s="82">
        <v>96</v>
      </c>
      <c r="F180" s="83">
        <v>2.2999999999999998</v>
      </c>
      <c r="G180" s="81" t="s">
        <v>57</v>
      </c>
      <c r="H180" s="81">
        <v>10500</v>
      </c>
      <c r="I180" s="84">
        <v>10500</v>
      </c>
      <c r="J180" s="84"/>
      <c r="K180" s="84"/>
      <c r="L180" s="84">
        <v>10500</v>
      </c>
      <c r="M180" s="84">
        <v>10500</v>
      </c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5"/>
      <c r="AB180" s="100"/>
      <c r="AC180" s="100"/>
      <c r="AD180" s="100"/>
      <c r="AE180" s="100"/>
      <c r="AF18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80" s="88">
        <f>Programacion[[#This Row],[ENERO]]+Programacion[[#This Row],[FEBRERO]]+Programacion[[#This Row],[MARZO]]</f>
        <v>21000</v>
      </c>
      <c r="AH180" s="88">
        <f>Programacion[[#This Row],[DEVENGADO ENERO]]+Programacion[[#This Row],[DEVENGADO FEBRERO]]+Programacion[[#This Row],[DEVENGADO MARZO]]</f>
        <v>21000</v>
      </c>
      <c r="AI180" s="88">
        <f>Programacion[[#This Row],[ABRIL]]+Programacion[[#This Row],[MAYO]]+Programacion[[#This Row],[JUNIO]]</f>
        <v>0</v>
      </c>
      <c r="AJ180" s="88">
        <f>Programacion[[#This Row],[DEVENGADO ABRIL]]+Programacion[[#This Row],[DEVENGADO MAYO]]+Programacion[[#This Row],[DEVENGADO JUNIO]]</f>
        <v>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0</v>
      </c>
      <c r="AN180" s="89">
        <f>Programacion[[#This Row],[DEVENGADO OCTUBRE]]+Programacion[[#This Row],[DEVENGADO NOVIEMBRE]]+Programacion[[#This Row],[DEVENGADO DICIEMBRE]]</f>
        <v>0</v>
      </c>
      <c r="AO180" s="89">
        <f>Programacion[[#This Row],[ENERO]]+Programacion[[#This Row],[FEBRERO]]+Programacion[[#This Row],[MARZO]]+Programacion[[#This Row],[ABRIL]]+Programacion[[#This Row],[MAYO]]+Programacion[[#This Row],[JUNIO]]</f>
        <v>21000</v>
      </c>
      <c r="AP18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8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80" s="116"/>
    </row>
    <row r="181" spans="1:46" ht="30" x14ac:dyDescent="0.25">
      <c r="A181" s="99" t="s">
        <v>152</v>
      </c>
      <c r="B181" s="90" t="s">
        <v>181</v>
      </c>
      <c r="C181" s="81" t="s">
        <v>56</v>
      </c>
      <c r="D181" s="81" t="s">
        <v>154</v>
      </c>
      <c r="E181" s="82">
        <v>96</v>
      </c>
      <c r="F181" s="83">
        <v>2.2999999999999998</v>
      </c>
      <c r="G181" s="81" t="s">
        <v>57</v>
      </c>
      <c r="H181" s="81"/>
      <c r="I181" s="84"/>
      <c r="J181" s="84"/>
      <c r="K181" s="84"/>
      <c r="L181" s="84">
        <v>10800</v>
      </c>
      <c r="M181" s="84">
        <v>10800</v>
      </c>
      <c r="N181" s="84">
        <v>10800</v>
      </c>
      <c r="O181" s="84">
        <v>10800</v>
      </c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5"/>
      <c r="AB181" s="100"/>
      <c r="AC181" s="100"/>
      <c r="AD181" s="100"/>
      <c r="AE181" s="100"/>
      <c r="AF18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1" s="88">
        <f>Programacion[[#This Row],[ENERO]]+Programacion[[#This Row],[FEBRERO]]+Programacion[[#This Row],[MARZO]]</f>
        <v>10800</v>
      </c>
      <c r="AH181" s="88">
        <f>Programacion[[#This Row],[DEVENGADO ENERO]]+Programacion[[#This Row],[DEVENGADO FEBRERO]]+Programacion[[#This Row],[DEVENGADO MARZO]]</f>
        <v>10800</v>
      </c>
      <c r="AI181" s="88">
        <f>Programacion[[#This Row],[ABRIL]]+Programacion[[#This Row],[MAYO]]+Programacion[[#This Row],[JUNIO]]</f>
        <v>10800</v>
      </c>
      <c r="AJ181" s="88">
        <f>Programacion[[#This Row],[DEVENGADO ABRIL]]+Programacion[[#This Row],[DEVENGADO MAYO]]+Programacion[[#This Row],[DEVENGADO JUNIO]]</f>
        <v>10800</v>
      </c>
      <c r="AK181" s="88">
        <f>Programacion[[#This Row],[JULIO]]+Programacion[[#This Row],[AGOSTO]]+Programacion[[#This Row],[SEPTIEMBRE]]</f>
        <v>0</v>
      </c>
      <c r="AL181" s="88">
        <f>Programacion[[#This Row],[DEVENGADO JULIO]]+Programacion[[#This Row],[DEVENGADO AGOSTO]]+Programacion[[#This Row],[DEVENGADO SEPTIEMBRE]]</f>
        <v>0</v>
      </c>
      <c r="AM181" s="88">
        <f>Programacion[[#This Row],[OCTUBRE]]+Programacion[[#This Row],[NOVIEMBRE]]+Programacion[[#This Row],[DICIEMBRE]]</f>
        <v>0</v>
      </c>
      <c r="AN181" s="89">
        <f>Programacion[[#This Row],[DEVENGADO OCTUBRE]]+Programacion[[#This Row],[DEVENGADO NOVIEMBRE]]+Programacion[[#This Row],[DEVENGADO DICIEMBRE]]</f>
        <v>0</v>
      </c>
      <c r="AO181" s="89">
        <f>Programacion[[#This Row],[ENERO]]+Programacion[[#This Row],[FEBRERO]]+Programacion[[#This Row],[MARZO]]+Programacion[[#This Row],[ABRIL]]+Programacion[[#This Row],[MAYO]]+Programacion[[#This Row],[JUNIO]]</f>
        <v>21600</v>
      </c>
      <c r="AP18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1" s="116"/>
    </row>
    <row r="182" spans="1:46" ht="30" x14ac:dyDescent="0.25">
      <c r="A182" s="95" t="s">
        <v>152</v>
      </c>
      <c r="B182" s="90" t="s">
        <v>180</v>
      </c>
      <c r="C182" s="91" t="s">
        <v>56</v>
      </c>
      <c r="D182" s="94" t="s">
        <v>154</v>
      </c>
      <c r="E182" s="92">
        <v>96</v>
      </c>
      <c r="F182" s="93">
        <v>2.2999999999999998</v>
      </c>
      <c r="G182" s="81" t="s">
        <v>57</v>
      </c>
      <c r="H182" s="88"/>
      <c r="I182" s="88"/>
      <c r="J182" s="88"/>
      <c r="K182" s="88"/>
      <c r="L182" s="88"/>
      <c r="M182" s="88"/>
      <c r="N182" s="88"/>
      <c r="O182" s="88"/>
      <c r="P182" s="88">
        <v>10800</v>
      </c>
      <c r="Q182" s="88">
        <v>10800</v>
      </c>
      <c r="R182" s="88">
        <v>10800</v>
      </c>
      <c r="S182" s="88">
        <v>10800</v>
      </c>
      <c r="T182" s="88">
        <v>10800</v>
      </c>
      <c r="U182" s="88">
        <v>10800</v>
      </c>
      <c r="V182" s="88">
        <v>10800</v>
      </c>
      <c r="W182" s="88">
        <v>10800</v>
      </c>
      <c r="X182" s="88"/>
      <c r="Y182" s="88"/>
      <c r="Z182" s="88"/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21600</v>
      </c>
      <c r="AJ182" s="88">
        <f>Programacion[[#This Row],[DEVENGADO ABRIL]]+Programacion[[#This Row],[DEVENGADO MAYO]]+Programacion[[#This Row],[DEVENGADO JUNIO]]</f>
        <v>21600</v>
      </c>
      <c r="AK182" s="88">
        <f>Programacion[[#This Row],[JULIO]]+Programacion[[#This Row],[AGOSTO]]+Programacion[[#This Row],[SEPTIEMBRE]]</f>
        <v>21600</v>
      </c>
      <c r="AL182" s="88">
        <f>Programacion[[#This Row],[DEVENGADO JULIO]]+Programacion[[#This Row],[DEVENGADO AGOSTO]]+Programacion[[#This Row],[DEVENGADO SEPTIEMBRE]]</f>
        <v>21600</v>
      </c>
      <c r="AM182" s="88">
        <f>Programacion[[#This Row],[OCTUBRE]]+Programacion[[#This Row],[NOVIEMBRE]]+Programacion[[#This Row],[DICIEMBRE]]</f>
        <v>0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21600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182" s="116"/>
    </row>
    <row r="183" spans="1:46" ht="30" x14ac:dyDescent="0.25">
      <c r="A183" s="95" t="s">
        <v>152</v>
      </c>
      <c r="B183" s="90" t="s">
        <v>182</v>
      </c>
      <c r="C183" s="91" t="s">
        <v>56</v>
      </c>
      <c r="D183" s="94" t="s">
        <v>154</v>
      </c>
      <c r="E183" s="92">
        <v>96</v>
      </c>
      <c r="F183" s="93">
        <v>2.2999999999999998</v>
      </c>
      <c r="G183" s="81" t="s">
        <v>57</v>
      </c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>
        <v>21600</v>
      </c>
      <c r="AA183" s="88"/>
      <c r="AB183" s="88"/>
      <c r="AC183" s="88"/>
      <c r="AD183" s="88"/>
      <c r="AE183" s="88"/>
      <c r="AF18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3" s="88">
        <f>Programacion[[#This Row],[ENERO]]+Programacion[[#This Row],[FEBRERO]]+Programacion[[#This Row],[MARZO]]</f>
        <v>0</v>
      </c>
      <c r="AH183" s="88">
        <f>Programacion[[#This Row],[DEVENGADO ENERO]]+Programacion[[#This Row],[DEVENGADO FEBRERO]]+Programacion[[#This Row],[DEVENGADO MARZO]]</f>
        <v>0</v>
      </c>
      <c r="AI183" s="88">
        <f>Programacion[[#This Row],[ABRIL]]+Programacion[[#This Row],[MAYO]]+Programacion[[#This Row],[JUNIO]]</f>
        <v>0</v>
      </c>
      <c r="AJ183" s="88">
        <f>Programacion[[#This Row],[DEVENGADO ABRIL]]+Programacion[[#This Row],[DEVENGADO MAYO]]+Programacion[[#This Row],[DEVENGADO JUNIO]]</f>
        <v>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21600</v>
      </c>
      <c r="AN183" s="97">
        <f>Programacion[[#This Row],[DEVENGADO OCTUBRE]]+Programacion[[#This Row],[DEVENGADO NOVIEMBRE]]+Programacion[[#This Row],[DEVENGADO DICIEMBRE]]</f>
        <v>0</v>
      </c>
      <c r="AO183" s="97">
        <f>Programacion[[#This Row],[ENERO]]+Programacion[[#This Row],[FEBRERO]]+Programacion[[#This Row],[MARZO]]+Programacion[[#This Row],[ABRIL]]+Programacion[[#This Row],[MAYO]]+Programacion[[#This Row],[JUNIO]]</f>
        <v>0</v>
      </c>
      <c r="AP18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16"/>
    </row>
    <row r="184" spans="1:46" ht="30" x14ac:dyDescent="0.25">
      <c r="A184" s="95" t="s">
        <v>152</v>
      </c>
      <c r="B184" s="90" t="s">
        <v>183</v>
      </c>
      <c r="C184" s="91" t="s">
        <v>56</v>
      </c>
      <c r="D184" s="94" t="s">
        <v>154</v>
      </c>
      <c r="E184" s="92">
        <v>96</v>
      </c>
      <c r="F184" s="93">
        <v>2.2999999999999998</v>
      </c>
      <c r="G184" s="81" t="s">
        <v>57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>
        <v>5000</v>
      </c>
      <c r="S184" s="88">
        <v>5000</v>
      </c>
      <c r="T184" s="88">
        <v>5000</v>
      </c>
      <c r="U184" s="88">
        <v>5000</v>
      </c>
      <c r="V184" s="88"/>
      <c r="W184" s="88"/>
      <c r="X184" s="88">
        <v>5000</v>
      </c>
      <c r="Y184" s="88"/>
      <c r="Z184" s="88"/>
      <c r="AA184" s="88"/>
      <c r="AB184" s="88"/>
      <c r="AC184" s="88"/>
      <c r="AD184" s="88"/>
      <c r="AE184" s="88"/>
      <c r="AF18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5000</v>
      </c>
      <c r="AJ184" s="88">
        <f>Programacion[[#This Row],[DEVENGADO ABRIL]]+Programacion[[#This Row],[DEVENGADO MAYO]]+Programacion[[#This Row],[DEVENGADO JUNIO]]</f>
        <v>5000</v>
      </c>
      <c r="AK184" s="88">
        <f>Programacion[[#This Row],[JULIO]]+Programacion[[#This Row],[AGOSTO]]+Programacion[[#This Row],[SEPTIEMBRE]]</f>
        <v>10000</v>
      </c>
      <c r="AL184" s="88">
        <f>Programacion[[#This Row],[DEVENGADO JULIO]]+Programacion[[#This Row],[DEVENGADO AGOSTO]]+Programacion[[#This Row],[DEVENGADO SEPTIEMBRE]]</f>
        <v>5000</v>
      </c>
      <c r="AM184" s="88">
        <f>Programacion[[#This Row],[OCTUBRE]]+Programacion[[#This Row],[NOVIEMBRE]]+Programacion[[#This Row],[DICIEMBRE]]</f>
        <v>0</v>
      </c>
      <c r="AN184" s="97">
        <f>Programacion[[#This Row],[DEVENGADO OCTUBRE]]+Programacion[[#This Row],[DEVENGADO NOVIEMBRE]]+Programacion[[#This Row],[DEVENGADO DICIEMBRE]]</f>
        <v>0</v>
      </c>
      <c r="AO184" s="97">
        <f>Programacion[[#This Row],[ENERO]]+Programacion[[#This Row],[FEBRERO]]+Programacion[[#This Row],[MARZO]]+Programacion[[#This Row],[ABRIL]]+Programacion[[#This Row],[MAYO]]+Programacion[[#This Row],[JUNIO]]</f>
        <v>5000</v>
      </c>
      <c r="AP18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4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84" s="116"/>
    </row>
    <row r="185" spans="1:46" ht="30" x14ac:dyDescent="0.25">
      <c r="A185" s="140" t="s">
        <v>152</v>
      </c>
      <c r="B185" s="141" t="s">
        <v>273</v>
      </c>
      <c r="C185" s="142" t="s">
        <v>268</v>
      </c>
      <c r="D185" s="142" t="s">
        <v>274</v>
      </c>
      <c r="E185" s="140">
        <v>96</v>
      </c>
      <c r="F185" s="143">
        <v>23</v>
      </c>
      <c r="G185" s="142" t="s">
        <v>57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>
        <v>10000</v>
      </c>
      <c r="AA185" s="33"/>
      <c r="AB185" s="33"/>
      <c r="AC185" s="33"/>
      <c r="AD185" s="33"/>
      <c r="AE185" s="33"/>
      <c r="AF1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85" s="33">
        <f>Programacion[[#This Row],[ENERO]]+Programacion[[#This Row],[FEBRERO]]+Programacion[[#This Row],[MARZO]]</f>
        <v>0</v>
      </c>
      <c r="AH185" s="33">
        <f>Programacion[[#This Row],[DEVENGADO ENERO]]+Programacion[[#This Row],[DEVENGADO FEBRERO]]+Programacion[[#This Row],[DEVENGADO MARZO]]</f>
        <v>0</v>
      </c>
      <c r="AI185" s="33">
        <f>Programacion[[#This Row],[ABRIL]]+Programacion[[#This Row],[MAYO]]+Programacion[[#This Row],[JUNIO]]</f>
        <v>0</v>
      </c>
      <c r="AJ185" s="33">
        <f>Programacion[[#This Row],[DEVENGADO ABRIL]]+Programacion[[#This Row],[DEVENGADO MAYO]]+Programacion[[#This Row],[DEVENGADO JUNIO]]</f>
        <v>0</v>
      </c>
      <c r="AK185" s="33">
        <f>Programacion[[#This Row],[JULIO]]+Programacion[[#This Row],[AGOSTO]]+Programacion[[#This Row],[SEPTIEMBRE]]</f>
        <v>0</v>
      </c>
      <c r="AL185" s="33">
        <f>Programacion[[#This Row],[DEVENGADO JULIO]]+Programacion[[#This Row],[DEVENGADO AGOSTO]]+Programacion[[#This Row],[DEVENGADO SEPTIEMBRE]]</f>
        <v>0</v>
      </c>
      <c r="AM185" s="33">
        <f>Programacion[[#This Row],[OCTUBRE]]+Programacion[[#This Row],[NOVIEMBRE]]+Programacion[[#This Row],[DICIEMBRE]]</f>
        <v>10000</v>
      </c>
      <c r="AN185" s="21">
        <f>Programacion[[#This Row],[DEVENGADO OCTUBRE]]+Programacion[[#This Row],[DEVENGADO NOVIEMBRE]]+Programacion[[#This Row],[DEVENGADO DICIEMBRE]]</f>
        <v>0</v>
      </c>
      <c r="AO185" s="21">
        <f>Programacion[[#This Row],[ENERO]]+Programacion[[#This Row],[FEBRERO]]+Programacion[[#This Row],[MARZO]]+Programacion[[#This Row],[ABRIL]]+Programacion[[#This Row],[MAYO]]+Programacion[[#This Row],[JUNIO]]</f>
        <v>0</v>
      </c>
      <c r="AP1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6"/>
    </row>
    <row r="186" spans="1:46" ht="30" x14ac:dyDescent="0.25">
      <c r="A186" s="99" t="s">
        <v>152</v>
      </c>
      <c r="B186" s="90" t="s">
        <v>184</v>
      </c>
      <c r="C186" s="81" t="s">
        <v>56</v>
      </c>
      <c r="D186" s="81" t="s">
        <v>154</v>
      </c>
      <c r="E186" s="82">
        <v>96</v>
      </c>
      <c r="F186" s="83">
        <v>2.2999999999999998</v>
      </c>
      <c r="G186" s="81" t="s">
        <v>57</v>
      </c>
      <c r="H186" s="81">
        <v>8774</v>
      </c>
      <c r="I186" s="84">
        <v>8774</v>
      </c>
      <c r="J186" s="84"/>
      <c r="K186" s="84"/>
      <c r="L186" s="84">
        <v>8774</v>
      </c>
      <c r="M186" s="84">
        <v>8774</v>
      </c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5"/>
      <c r="AB186" s="100"/>
      <c r="AC186" s="100"/>
      <c r="AD186" s="100"/>
      <c r="AE186" s="100"/>
      <c r="AF18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86" s="88">
        <f>Programacion[[#This Row],[ENERO]]+Programacion[[#This Row],[FEBRERO]]+Programacion[[#This Row],[MARZO]]</f>
        <v>17548</v>
      </c>
      <c r="AH186" s="88">
        <f>Programacion[[#This Row],[DEVENGADO ENERO]]+Programacion[[#This Row],[DEVENGADO FEBRERO]]+Programacion[[#This Row],[DEVENGADO MARZO]]</f>
        <v>17548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0</v>
      </c>
      <c r="AL186" s="88">
        <f>Programacion[[#This Row],[DEVENGADO JULIO]]+Programacion[[#This Row],[DEVENGADO AGOSTO]]+Programacion[[#This Row],[DEVENGADO SEPTIEMBRE]]</f>
        <v>0</v>
      </c>
      <c r="AM186" s="88">
        <f>Programacion[[#This Row],[OCTUBRE]]+Programacion[[#This Row],[NOVIEMBRE]]+Programacion[[#This Row],[DICIEMBRE]]</f>
        <v>0</v>
      </c>
      <c r="AN186" s="89">
        <f>Programacion[[#This Row],[DEVENGADO OCTUBRE]]+Programacion[[#This Row],[DEVENGADO NOVIEMBRE]]+Programacion[[#This Row],[DEVENGADO DICIEMBRE]]</f>
        <v>0</v>
      </c>
      <c r="AO186" s="89">
        <f>Programacion[[#This Row],[ENERO]]+Programacion[[#This Row],[FEBRERO]]+Programacion[[#This Row],[MARZO]]+Programacion[[#This Row],[ABRIL]]+Programacion[[#This Row],[MAYO]]+Programacion[[#This Row],[JUNIO]]</f>
        <v>17548</v>
      </c>
      <c r="AP18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8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86" s="116"/>
    </row>
    <row r="187" spans="1:46" ht="30" x14ac:dyDescent="0.25">
      <c r="A187" s="99" t="s">
        <v>152</v>
      </c>
      <c r="B187" s="90" t="s">
        <v>185</v>
      </c>
      <c r="C187" s="81" t="s">
        <v>56</v>
      </c>
      <c r="D187" s="81" t="s">
        <v>154</v>
      </c>
      <c r="E187" s="82">
        <v>96</v>
      </c>
      <c r="F187" s="83">
        <v>2.2999999999999998</v>
      </c>
      <c r="G187" s="81" t="s">
        <v>57</v>
      </c>
      <c r="H187" s="81"/>
      <c r="I187" s="84"/>
      <c r="J187" s="84"/>
      <c r="K187" s="84"/>
      <c r="L187" s="84">
        <v>8520</v>
      </c>
      <c r="M187" s="84">
        <v>8520</v>
      </c>
      <c r="N187" s="84">
        <v>5680</v>
      </c>
      <c r="O187" s="84">
        <v>5680</v>
      </c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87" s="88">
        <f>Programacion[[#This Row],[ENERO]]+Programacion[[#This Row],[FEBRERO]]+Programacion[[#This Row],[MARZO]]</f>
        <v>8520</v>
      </c>
      <c r="AH187" s="88">
        <f>Programacion[[#This Row],[DEVENGADO ENERO]]+Programacion[[#This Row],[DEVENGADO FEBRERO]]+Programacion[[#This Row],[DEVENGADO MARZO]]</f>
        <v>8520</v>
      </c>
      <c r="AI187" s="88">
        <f>Programacion[[#This Row],[ABRIL]]+Programacion[[#This Row],[MAYO]]+Programacion[[#This Row],[JUNIO]]</f>
        <v>5680</v>
      </c>
      <c r="AJ187" s="88">
        <f>Programacion[[#This Row],[DEVENGADO ABRIL]]+Programacion[[#This Row],[DEVENGADO MAYO]]+Programacion[[#This Row],[DEVENGADO JUNIO]]</f>
        <v>5680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14200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87" s="116"/>
    </row>
    <row r="188" spans="1:46" ht="45" x14ac:dyDescent="0.25">
      <c r="A188" s="95" t="s">
        <v>152</v>
      </c>
      <c r="B188" s="90" t="s">
        <v>186</v>
      </c>
      <c r="C188" s="91" t="s">
        <v>56</v>
      </c>
      <c r="D188" s="94" t="s">
        <v>154</v>
      </c>
      <c r="E188" s="92">
        <v>96</v>
      </c>
      <c r="F188" s="93">
        <v>2.2999999999999998</v>
      </c>
      <c r="G188" s="81" t="s">
        <v>57</v>
      </c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>
        <v>15000</v>
      </c>
      <c r="S188" s="88">
        <v>15000</v>
      </c>
      <c r="T188" s="88">
        <v>7500</v>
      </c>
      <c r="U188" s="88">
        <v>7500</v>
      </c>
      <c r="V188" s="88">
        <v>7500</v>
      </c>
      <c r="W188" s="88">
        <v>7500</v>
      </c>
      <c r="X188" s="88">
        <v>7500</v>
      </c>
      <c r="Y188" s="88"/>
      <c r="Z188" s="88"/>
      <c r="AA188" s="88"/>
      <c r="AB188" s="88"/>
      <c r="AC188" s="88"/>
      <c r="AD188" s="88"/>
      <c r="AE188" s="88"/>
      <c r="AF18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88" s="88">
        <f>Programacion[[#This Row],[ENERO]]+Programacion[[#This Row],[FEBRERO]]+Programacion[[#This Row],[MARZO]]</f>
        <v>0</v>
      </c>
      <c r="AH188" s="88">
        <f>Programacion[[#This Row],[DEVENGADO ENERO]]+Programacion[[#This Row],[DEVENGADO FEBRERO]]+Programacion[[#This Row],[DEVENGADO MARZO]]</f>
        <v>0</v>
      </c>
      <c r="AI188" s="88">
        <f>Programacion[[#This Row],[ABRIL]]+Programacion[[#This Row],[MAYO]]+Programacion[[#This Row],[JUNIO]]</f>
        <v>15000</v>
      </c>
      <c r="AJ188" s="88">
        <f>Programacion[[#This Row],[DEVENGADO ABRIL]]+Programacion[[#This Row],[DEVENGADO MAYO]]+Programacion[[#This Row],[DEVENGADO JUNIO]]</f>
        <v>15000</v>
      </c>
      <c r="AK188" s="88">
        <f>Programacion[[#This Row],[JULIO]]+Programacion[[#This Row],[AGOSTO]]+Programacion[[#This Row],[SEPTIEMBRE]]</f>
        <v>22500</v>
      </c>
      <c r="AL188" s="88">
        <f>Programacion[[#This Row],[DEVENGADO JULIO]]+Programacion[[#This Row],[DEVENGADO AGOSTO]]+Programacion[[#This Row],[DEVENGADO SEPTIEMBRE]]</f>
        <v>15000</v>
      </c>
      <c r="AM188" s="88">
        <f>Programacion[[#This Row],[OCTUBRE]]+Programacion[[#This Row],[NOVIEMBRE]]+Programacion[[#This Row],[DICIEMBRE]]</f>
        <v>0</v>
      </c>
      <c r="AN188" s="97">
        <f>Programacion[[#This Row],[DEVENGADO OCTUBRE]]+Programacion[[#This Row],[DEVENGADO NOVIEMBRE]]+Programacion[[#This Row],[DEVENGADO DICIEMBRE]]</f>
        <v>0</v>
      </c>
      <c r="AO188" s="97">
        <f>Programacion[[#This Row],[ENERO]]+Programacion[[#This Row],[FEBRERO]]+Programacion[[#This Row],[MARZO]]+Programacion[[#This Row],[ABRIL]]+Programacion[[#This Row],[MAYO]]+Programacion[[#This Row],[JUNIO]]</f>
        <v>15000</v>
      </c>
      <c r="AP18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88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8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8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88" s="116"/>
    </row>
    <row r="189" spans="1:46" ht="45" x14ac:dyDescent="0.25">
      <c r="A189" s="95" t="s">
        <v>152</v>
      </c>
      <c r="B189" s="90" t="s">
        <v>187</v>
      </c>
      <c r="C189" s="91" t="s">
        <v>56</v>
      </c>
      <c r="D189" s="94" t="s">
        <v>154</v>
      </c>
      <c r="E189" s="92">
        <v>96</v>
      </c>
      <c r="F189" s="93">
        <v>2.2999999999999998</v>
      </c>
      <c r="G189" s="81" t="s">
        <v>57</v>
      </c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>
        <v>9444.0300000000007</v>
      </c>
      <c r="AA189" s="88"/>
      <c r="AB189" s="88"/>
      <c r="AC189" s="88"/>
      <c r="AD189" s="88"/>
      <c r="AE189" s="88"/>
      <c r="AF18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0</v>
      </c>
      <c r="AJ189" s="88">
        <f>Programacion[[#This Row],[DEVENGADO ABRIL]]+Programacion[[#This Row],[DEVENGADO MAYO]]+Programacion[[#This Row],[DEVENGADO JUNIO]]</f>
        <v>0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9444.0300000000007</v>
      </c>
      <c r="AN189" s="97">
        <f>Programacion[[#This Row],[DEVENGADO OCTUBRE]]+Programacion[[#This Row],[DEVENGADO NOVIEMBRE]]+Programacion[[#This Row],[DEVENGADO DICIEMBRE]]</f>
        <v>0</v>
      </c>
      <c r="AO189" s="97">
        <f>Programacion[[#This Row],[ENERO]]+Programacion[[#This Row],[FEBRERO]]+Programacion[[#This Row],[MARZO]]+Programacion[[#This Row],[ABRIL]]+Programacion[[#This Row],[MAYO]]+Programacion[[#This Row],[JUNIO]]</f>
        <v>0</v>
      </c>
      <c r="AP18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16"/>
    </row>
    <row r="190" spans="1:46" ht="45" x14ac:dyDescent="0.25">
      <c r="A190" s="99" t="s">
        <v>152</v>
      </c>
      <c r="B190" s="90" t="s">
        <v>188</v>
      </c>
      <c r="C190" s="81" t="s">
        <v>56</v>
      </c>
      <c r="D190" s="81" t="s">
        <v>154</v>
      </c>
      <c r="E190" s="82">
        <v>96</v>
      </c>
      <c r="F190" s="83">
        <v>2.2999999999999998</v>
      </c>
      <c r="G190" s="81" t="s">
        <v>71</v>
      </c>
      <c r="H190" s="81"/>
      <c r="I190" s="84"/>
      <c r="J190" s="84"/>
      <c r="K190" s="84"/>
      <c r="L190" s="84">
        <v>6000</v>
      </c>
      <c r="M190" s="84">
        <v>6000</v>
      </c>
      <c r="N190" s="84"/>
      <c r="O190" s="84"/>
      <c r="P190" s="84">
        <v>14000</v>
      </c>
      <c r="Q190" s="84">
        <v>14000</v>
      </c>
      <c r="R190" s="84"/>
      <c r="S190" s="84"/>
      <c r="T190" s="84"/>
      <c r="U190" s="84"/>
      <c r="V190" s="84"/>
      <c r="W190" s="84"/>
      <c r="X190" s="84"/>
      <c r="Y190" s="84"/>
      <c r="Z190" s="84"/>
      <c r="AA190" s="85"/>
      <c r="AB190" s="100"/>
      <c r="AC190" s="100"/>
      <c r="AD190" s="100"/>
      <c r="AE190" s="100"/>
      <c r="AF19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88">
        <f>Programacion[[#This Row],[ENERO]]+Programacion[[#This Row],[FEBRERO]]+Programacion[[#This Row],[MARZO]]</f>
        <v>6000</v>
      </c>
      <c r="AH190" s="88">
        <f>Programacion[[#This Row],[DEVENGADO ENERO]]+Programacion[[#This Row],[DEVENGADO FEBRERO]]+Programacion[[#This Row],[DEVENGADO MARZO]]</f>
        <v>6000</v>
      </c>
      <c r="AI190" s="88">
        <f>Programacion[[#This Row],[ABRIL]]+Programacion[[#This Row],[MAYO]]+Programacion[[#This Row],[JUNIO]]</f>
        <v>14000</v>
      </c>
      <c r="AJ190" s="88">
        <f>Programacion[[#This Row],[DEVENGADO ABRIL]]+Programacion[[#This Row],[DEVENGADO MAYO]]+Programacion[[#This Row],[DEVENGADO JUNIO]]</f>
        <v>14000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9">
        <f>Programacion[[#This Row],[DEVENGADO OCTUBRE]]+Programacion[[#This Row],[DEVENGADO NOVIEMBRE]]+Programacion[[#This Row],[DEVENGADO DICIEMBRE]]</f>
        <v>0</v>
      </c>
      <c r="AO190" s="89">
        <f>Programacion[[#This Row],[ENERO]]+Programacion[[#This Row],[FEBRERO]]+Programacion[[#This Row],[MARZO]]+Programacion[[#This Row],[ABRIL]]+Programacion[[#This Row],[MAYO]]+Programacion[[#This Row],[JUNIO]]</f>
        <v>20000</v>
      </c>
      <c r="AP19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116"/>
    </row>
    <row r="191" spans="1:46" x14ac:dyDescent="0.25">
      <c r="A191" s="95" t="s">
        <v>152</v>
      </c>
      <c r="B191" s="90" t="s">
        <v>189</v>
      </c>
      <c r="C191" s="91" t="s">
        <v>56</v>
      </c>
      <c r="D191" s="94" t="s">
        <v>154</v>
      </c>
      <c r="E191" s="92">
        <v>96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>
        <v>6000</v>
      </c>
      <c r="W191" s="88">
        <v>6000</v>
      </c>
      <c r="X191" s="88">
        <v>6000</v>
      </c>
      <c r="Y191" s="88"/>
      <c r="Z191" s="88"/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12000</v>
      </c>
      <c r="AL191" s="88">
        <f>Programacion[[#This Row],[DEVENGADO JULIO]]+Programacion[[#This Row],[DEVENGADO AGOSTO]]+Programacion[[#This Row],[DEVENGADO SEPTIEMBRE]]</f>
        <v>6000</v>
      </c>
      <c r="AM191" s="88">
        <f>Programacion[[#This Row],[OCTUBRE]]+Programacion[[#This Row],[NOVIEMBRE]]+Programacion[[#This Row],[DICIEMBRE]]</f>
        <v>0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91" s="116"/>
    </row>
    <row r="192" spans="1:46" ht="30" x14ac:dyDescent="0.25">
      <c r="A192" s="99" t="s">
        <v>152</v>
      </c>
      <c r="B192" s="90" t="s">
        <v>190</v>
      </c>
      <c r="C192" s="81" t="s">
        <v>56</v>
      </c>
      <c r="D192" s="81" t="s">
        <v>154</v>
      </c>
      <c r="E192" s="82">
        <v>96</v>
      </c>
      <c r="F192" s="83">
        <v>2.2999999999999998</v>
      </c>
      <c r="G192" s="81" t="s">
        <v>57</v>
      </c>
      <c r="H192" s="81"/>
      <c r="I192" s="84"/>
      <c r="J192" s="84"/>
      <c r="K192" s="84"/>
      <c r="L192" s="84">
        <v>6480</v>
      </c>
      <c r="M192" s="84">
        <v>6480</v>
      </c>
      <c r="N192" s="84">
        <v>15120</v>
      </c>
      <c r="O192" s="84">
        <v>15120</v>
      </c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5"/>
      <c r="AB192" s="100"/>
      <c r="AC192" s="100"/>
      <c r="AD192" s="100"/>
      <c r="AE192" s="100"/>
      <c r="AF19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92" s="88">
        <f>Programacion[[#This Row],[ENERO]]+Programacion[[#This Row],[FEBRERO]]+Programacion[[#This Row],[MARZO]]</f>
        <v>6480</v>
      </c>
      <c r="AH192" s="88">
        <f>Programacion[[#This Row],[DEVENGADO ENERO]]+Programacion[[#This Row],[DEVENGADO FEBRERO]]+Programacion[[#This Row],[DEVENGADO MARZO]]</f>
        <v>6480</v>
      </c>
      <c r="AI192" s="88">
        <f>Programacion[[#This Row],[ABRIL]]+Programacion[[#This Row],[MAYO]]+Programacion[[#This Row],[JUNIO]]</f>
        <v>15120</v>
      </c>
      <c r="AJ192" s="88">
        <f>Programacion[[#This Row],[DEVENGADO ABRIL]]+Programacion[[#This Row],[DEVENGADO MAYO]]+Programacion[[#This Row],[DEVENGADO JUNIO]]</f>
        <v>15120</v>
      </c>
      <c r="AK192" s="88">
        <f>Programacion[[#This Row],[JULIO]]+Programacion[[#This Row],[AGOSTO]]+Programacion[[#This Row],[SEPTIEMBRE]]</f>
        <v>0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0</v>
      </c>
      <c r="AN192" s="89">
        <f>Programacion[[#This Row],[DEVENGADO OCTUBRE]]+Programacion[[#This Row],[DEVENGADO NOVIEMBRE]]+Programacion[[#This Row],[DEVENGADO DICIEMBRE]]</f>
        <v>0</v>
      </c>
      <c r="AO192" s="89">
        <f>Programacion[[#This Row],[ENERO]]+Programacion[[#This Row],[FEBRERO]]+Programacion[[#This Row],[MARZO]]+Programacion[[#This Row],[ABRIL]]+Programacion[[#This Row],[MAYO]]+Programacion[[#This Row],[JUNIO]]</f>
        <v>21600</v>
      </c>
      <c r="AP19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9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92" s="116"/>
    </row>
    <row r="193" spans="1:46" x14ac:dyDescent="0.25">
      <c r="A193" s="99" t="s">
        <v>152</v>
      </c>
      <c r="B193" s="90" t="s">
        <v>191</v>
      </c>
      <c r="C193" s="91" t="s">
        <v>192</v>
      </c>
      <c r="D193" s="94" t="s">
        <v>154</v>
      </c>
      <c r="E193" s="92">
        <v>96</v>
      </c>
      <c r="F193" s="93">
        <v>2.2999999999999998</v>
      </c>
      <c r="G193" s="94" t="s">
        <v>193</v>
      </c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>
        <v>228.6</v>
      </c>
      <c r="U193" s="88">
        <v>228.6</v>
      </c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93" s="88">
        <f>Programacion[[#This Row],[ENERO]]+Programacion[[#This Row],[FEBRERO]]+Programacion[[#This Row],[MARZO]]</f>
        <v>0</v>
      </c>
      <c r="AH193" s="88">
        <f>Programacion[[#This Row],[DEVENGADO ENERO]]+Programacion[[#This Row],[DEVENGADO FEBRERO]]+Programacion[[#This Row],[DEVENGADO MARZO]]</f>
        <v>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228.6</v>
      </c>
      <c r="AL193" s="88">
        <f>Programacion[[#This Row],[DEVENGADO JULIO]]+Programacion[[#This Row],[DEVENGADO AGOSTO]]+Programacion[[#This Row],[DEVENGADO SEPTIEMBRE]]</f>
        <v>228.6</v>
      </c>
      <c r="AM193" s="88">
        <f>Programacion[[#This Row],[OCTUBRE]]+Programacion[[#This Row],[NOVIEMBRE]]+Programacion[[#This Row],[DICIEMBRE]]</f>
        <v>0</v>
      </c>
      <c r="AN193" s="88">
        <f>Programacion[[#This Row],[DEVENGADO OCTUBRE]]+Programacion[[#This Row],[DEVENGADO NOVIEMBRE]]+Programacion[[#This Row],[DEVENGADO DICIEMBRE]]</f>
        <v>0</v>
      </c>
      <c r="AO193" s="88">
        <f>Programacion[[#This Row],[ENERO]]+Programacion[[#This Row],[FEBRERO]]+Programacion[[#This Row],[MARZO]]+Programacion[[#This Row],[ABRIL]]+Programacion[[#This Row],[MAYO]]+Programacion[[#This Row],[JUNIO]]</f>
        <v>0</v>
      </c>
      <c r="AP19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9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93" s="116"/>
    </row>
    <row r="194" spans="1:46" x14ac:dyDescent="0.25">
      <c r="A194" s="99" t="s">
        <v>152</v>
      </c>
      <c r="B194" s="90" t="s">
        <v>194</v>
      </c>
      <c r="C194" s="81" t="s">
        <v>192</v>
      </c>
      <c r="D194" s="81" t="s">
        <v>154</v>
      </c>
      <c r="E194" s="82">
        <v>96</v>
      </c>
      <c r="F194" s="83">
        <v>2.2999999999999998</v>
      </c>
      <c r="G194" s="81" t="s">
        <v>193</v>
      </c>
      <c r="H194" s="81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>
        <v>30671.4</v>
      </c>
      <c r="U194" s="84">
        <v>30671.4</v>
      </c>
      <c r="V194" s="84"/>
      <c r="W194" s="84"/>
      <c r="X194" s="84"/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30671.4</v>
      </c>
      <c r="AL194" s="88">
        <f>Programacion[[#This Row],[DEVENGADO JULIO]]+Programacion[[#This Row],[DEVENGADO AGOSTO]]+Programacion[[#This Row],[DEVENGADO SEPTIEMBRE]]</f>
        <v>30671.4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94" s="116"/>
    </row>
    <row r="195" spans="1:46" x14ac:dyDescent="0.25">
      <c r="A195" s="99" t="s">
        <v>152</v>
      </c>
      <c r="B195" s="90" t="s">
        <v>63</v>
      </c>
      <c r="C195" s="81" t="s">
        <v>56</v>
      </c>
      <c r="D195" s="81" t="s">
        <v>154</v>
      </c>
      <c r="E195" s="82">
        <v>96</v>
      </c>
      <c r="F195" s="83">
        <v>2.2999999999999998</v>
      </c>
      <c r="G195" s="81" t="s">
        <v>57</v>
      </c>
      <c r="H195" s="81">
        <v>7380</v>
      </c>
      <c r="I195" s="84">
        <v>7380</v>
      </c>
      <c r="J195" s="84">
        <v>7380</v>
      </c>
      <c r="K195" s="84">
        <v>7380</v>
      </c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5"/>
      <c r="AB195" s="100"/>
      <c r="AC195" s="100"/>
      <c r="AD195" s="100"/>
      <c r="AE195" s="100"/>
      <c r="AF19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95" s="88">
        <f>Programacion[[#This Row],[ENERO]]+Programacion[[#This Row],[FEBRERO]]+Programacion[[#This Row],[MARZO]]</f>
        <v>14760</v>
      </c>
      <c r="AH195" s="88">
        <f>Programacion[[#This Row],[DEVENGADO ENERO]]+Programacion[[#This Row],[DEVENGADO FEBRERO]]+Programacion[[#This Row],[DEVENGADO MARZO]]</f>
        <v>14760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9">
        <f>Programacion[[#This Row],[DEVENGADO OCTUBRE]]+Programacion[[#This Row],[DEVENGADO NOVIEMBRE]]+Programacion[[#This Row],[DEVENGADO DICIEMBRE]]</f>
        <v>0</v>
      </c>
      <c r="AO195" s="89">
        <f>Programacion[[#This Row],[ENERO]]+Programacion[[#This Row],[FEBRERO]]+Programacion[[#This Row],[MARZO]]+Programacion[[#This Row],[ABRIL]]+Programacion[[#This Row],[MAYO]]+Programacion[[#This Row],[JUNIO]]</f>
        <v>14760</v>
      </c>
      <c r="AP19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9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95" s="116"/>
    </row>
    <row r="196" spans="1:46" x14ac:dyDescent="0.25">
      <c r="A196" s="99" t="s">
        <v>152</v>
      </c>
      <c r="B196" s="90" t="s">
        <v>195</v>
      </c>
      <c r="C196" s="81" t="s">
        <v>56</v>
      </c>
      <c r="D196" s="81" t="s">
        <v>154</v>
      </c>
      <c r="E196" s="82">
        <v>96</v>
      </c>
      <c r="F196" s="83">
        <v>2.2999999999999998</v>
      </c>
      <c r="G196" s="81" t="s">
        <v>57</v>
      </c>
      <c r="H196" s="81"/>
      <c r="I196" s="84"/>
      <c r="J196" s="84">
        <v>6001.2</v>
      </c>
      <c r="K196" s="84">
        <v>6001.2</v>
      </c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5"/>
      <c r="AB196" s="100"/>
      <c r="AC196" s="100"/>
      <c r="AD196" s="100"/>
      <c r="AE196" s="100"/>
      <c r="AF19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96" s="88">
        <f>Programacion[[#This Row],[ENERO]]+Programacion[[#This Row],[FEBRERO]]+Programacion[[#This Row],[MARZO]]</f>
        <v>6001.2</v>
      </c>
      <c r="AH196" s="88">
        <f>Programacion[[#This Row],[DEVENGADO ENERO]]+Programacion[[#This Row],[DEVENGADO FEBRERO]]+Programacion[[#This Row],[DEVENGADO MARZO]]</f>
        <v>6001.2</v>
      </c>
      <c r="AI196" s="88">
        <f>Programacion[[#This Row],[ABRIL]]+Programacion[[#This Row],[MAYO]]+Programacion[[#This Row],[JUNIO]]</f>
        <v>0</v>
      </c>
      <c r="AJ196" s="88">
        <f>Programacion[[#This Row],[DEVENGADO ABRIL]]+Programacion[[#This Row],[DEVENGADO MAYO]]+Programacion[[#This Row],[DEVENGADO JUNIO]]</f>
        <v>0</v>
      </c>
      <c r="AK196" s="88">
        <f>Programacion[[#This Row],[JULIO]]+Programacion[[#This Row],[AGOSTO]]+Programacion[[#This Row],[SEPTIEMBRE]]</f>
        <v>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9">
        <f>Programacion[[#This Row],[DEVENGADO OCTUBRE]]+Programacion[[#This Row],[DEVENGADO NOVIEMBRE]]+Programacion[[#This Row],[DEVENGADO DICIEMBRE]]</f>
        <v>0</v>
      </c>
      <c r="AO196" s="89">
        <f>Programacion[[#This Row],[ENERO]]+Programacion[[#This Row],[FEBRERO]]+Programacion[[#This Row],[MARZO]]+Programacion[[#This Row],[ABRIL]]+Programacion[[#This Row],[MAYO]]+Programacion[[#This Row],[JUNIO]]</f>
        <v>6001.2</v>
      </c>
      <c r="AP19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9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96" s="116"/>
    </row>
    <row r="197" spans="1:46" x14ac:dyDescent="0.25">
      <c r="A197" s="99" t="s">
        <v>152</v>
      </c>
      <c r="B197" s="90" t="s">
        <v>196</v>
      </c>
      <c r="C197" s="81" t="s">
        <v>56</v>
      </c>
      <c r="D197" s="81" t="s">
        <v>154</v>
      </c>
      <c r="E197" s="82">
        <v>96</v>
      </c>
      <c r="F197" s="83">
        <v>2.2999999999999998</v>
      </c>
      <c r="G197" s="81" t="s">
        <v>57</v>
      </c>
      <c r="H197" s="81"/>
      <c r="I197" s="84"/>
      <c r="J197" s="84"/>
      <c r="K197" s="84"/>
      <c r="L197" s="84">
        <v>6000</v>
      </c>
      <c r="M197" s="84">
        <v>6000</v>
      </c>
      <c r="N197" s="84">
        <v>6000</v>
      </c>
      <c r="O197" s="84">
        <v>6000</v>
      </c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5"/>
      <c r="AB197" s="100"/>
      <c r="AC197" s="100"/>
      <c r="AD197" s="100"/>
      <c r="AE197" s="100"/>
      <c r="AF19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7" s="88">
        <f>Programacion[[#This Row],[ENERO]]+Programacion[[#This Row],[FEBRERO]]+Programacion[[#This Row],[MARZO]]</f>
        <v>6000</v>
      </c>
      <c r="AH197" s="88">
        <f>Programacion[[#This Row],[DEVENGADO ENERO]]+Programacion[[#This Row],[DEVENGADO FEBRERO]]+Programacion[[#This Row],[DEVENGADO MARZO]]</f>
        <v>6000</v>
      </c>
      <c r="AI197" s="88">
        <f>Programacion[[#This Row],[ABRIL]]+Programacion[[#This Row],[MAYO]]+Programacion[[#This Row],[JUNIO]]</f>
        <v>6000</v>
      </c>
      <c r="AJ197" s="88">
        <f>Programacion[[#This Row],[DEVENGADO ABRIL]]+Programacion[[#This Row],[DEVENGADO MAYO]]+Programacion[[#This Row],[DEVENGADO JUNIO]]</f>
        <v>6000</v>
      </c>
      <c r="AK197" s="88">
        <f>Programacion[[#This Row],[JULIO]]+Programacion[[#This Row],[AGOSTO]]+Programacion[[#This Row],[SEPTIEMBRE]]</f>
        <v>0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9">
        <f>Programacion[[#This Row],[DEVENGADO OCTUBRE]]+Programacion[[#This Row],[DEVENGADO NOVIEMBRE]]+Programacion[[#This Row],[DEVENGADO DICIEMBRE]]</f>
        <v>0</v>
      </c>
      <c r="AO197" s="89">
        <f>Programacion[[#This Row],[ENERO]]+Programacion[[#This Row],[FEBRERO]]+Programacion[[#This Row],[MARZO]]+Programacion[[#This Row],[ABRIL]]+Programacion[[#This Row],[MAYO]]+Programacion[[#This Row],[JUNIO]]</f>
        <v>12000</v>
      </c>
      <c r="AP19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97" s="116"/>
    </row>
    <row r="198" spans="1:46" x14ac:dyDescent="0.25">
      <c r="A198" s="95" t="s">
        <v>152</v>
      </c>
      <c r="B198" s="90" t="s">
        <v>197</v>
      </c>
      <c r="C198" s="91" t="s">
        <v>56</v>
      </c>
      <c r="D198" s="94" t="s">
        <v>154</v>
      </c>
      <c r="E198" s="92">
        <v>96</v>
      </c>
      <c r="F198" s="93">
        <v>2.2999999999999998</v>
      </c>
      <c r="G198" s="94" t="s">
        <v>57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>
        <v>12000</v>
      </c>
      <c r="S198" s="88">
        <v>12000</v>
      </c>
      <c r="T198" s="88">
        <v>6000</v>
      </c>
      <c r="U198" s="88">
        <v>6000</v>
      </c>
      <c r="V198" s="88">
        <v>6000</v>
      </c>
      <c r="W198" s="88">
        <v>6000</v>
      </c>
      <c r="X198" s="88"/>
      <c r="Y198" s="88"/>
      <c r="Z198" s="88"/>
      <c r="AA198" s="88"/>
      <c r="AB198" s="88"/>
      <c r="AC198" s="88"/>
      <c r="AD198" s="88"/>
      <c r="AE198" s="88"/>
      <c r="AF19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12000</v>
      </c>
      <c r="AJ198" s="88">
        <f>Programacion[[#This Row],[DEVENGADO ABRIL]]+Programacion[[#This Row],[DEVENGADO MAYO]]+Programacion[[#This Row],[DEVENGADO JUNIO]]</f>
        <v>12000</v>
      </c>
      <c r="AK198" s="88">
        <f>Programacion[[#This Row],[JULIO]]+Programacion[[#This Row],[AGOSTO]]+Programacion[[#This Row],[SEPTIEMBRE]]</f>
        <v>12000</v>
      </c>
      <c r="AL198" s="88">
        <f>Programacion[[#This Row],[DEVENGADO JULIO]]+Programacion[[#This Row],[DEVENGADO AGOSTO]]+Programacion[[#This Row],[DEVENGADO SEPTIEMBRE]]</f>
        <v>12000</v>
      </c>
      <c r="AM198" s="88">
        <f>Programacion[[#This Row],[OCTUBRE]]+Programacion[[#This Row],[NOVIEMBRE]]+Programacion[[#This Row],[DICIEMBRE]]</f>
        <v>0</v>
      </c>
      <c r="AN198" s="97">
        <f>Programacion[[#This Row],[DEVENGADO OCTUBRE]]+Programacion[[#This Row],[DEVENGADO NOVIEMBRE]]+Programacion[[#This Row],[DEVENGADO DICIEMBRE]]</f>
        <v>0</v>
      </c>
      <c r="AO198" s="97">
        <f>Programacion[[#This Row],[ENERO]]+Programacion[[#This Row],[FEBRERO]]+Programacion[[#This Row],[MARZO]]+Programacion[[#This Row],[ABRIL]]+Programacion[[#This Row],[MAYO]]+Programacion[[#This Row],[JUNIO]]</f>
        <v>12000</v>
      </c>
      <c r="AP19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98" s="116"/>
    </row>
    <row r="199" spans="1:46" x14ac:dyDescent="0.25">
      <c r="A199" s="140" t="s">
        <v>152</v>
      </c>
      <c r="B199" s="144" t="s">
        <v>275</v>
      </c>
      <c r="C199" s="142" t="s">
        <v>268</v>
      </c>
      <c r="D199" s="142" t="s">
        <v>274</v>
      </c>
      <c r="E199" s="145">
        <v>96</v>
      </c>
      <c r="F199" s="146">
        <v>23</v>
      </c>
      <c r="G199" s="142" t="s">
        <v>57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>
        <v>6000</v>
      </c>
      <c r="Y199" s="33"/>
      <c r="Z199" s="33">
        <v>6000</v>
      </c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6000</v>
      </c>
      <c r="AL199" s="33">
        <f>Programacion[[#This Row],[DEVENGADO JULIO]]+Programacion[[#This Row],[DEVENGADO AGOSTO]]+Programacion[[#This Row],[DEVENGADO SEPTIEMBRE]]</f>
        <v>0</v>
      </c>
      <c r="AM199" s="33">
        <f>Programacion[[#This Row],[OCTUBRE]]+Programacion[[#This Row],[NOVIEMBRE]]+Programacion[[#This Row],[DICIEMBRE]]</f>
        <v>6000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9" s="116"/>
    </row>
    <row r="200" spans="1:46" ht="30" x14ac:dyDescent="0.25">
      <c r="A200" s="99" t="s">
        <v>152</v>
      </c>
      <c r="B200" s="90" t="s">
        <v>198</v>
      </c>
      <c r="C200" s="81" t="s">
        <v>56</v>
      </c>
      <c r="D200" s="81" t="s">
        <v>154</v>
      </c>
      <c r="E200" s="82">
        <v>97</v>
      </c>
      <c r="F200" s="83">
        <v>2.2999999999999998</v>
      </c>
      <c r="G200" s="81" t="s">
        <v>57</v>
      </c>
      <c r="H200" s="81">
        <v>7892.5</v>
      </c>
      <c r="I200" s="84">
        <v>7892.5</v>
      </c>
      <c r="J200" s="84"/>
      <c r="K200" s="84"/>
      <c r="L200" s="84">
        <v>7892.5</v>
      </c>
      <c r="M200" s="84">
        <v>7892.5</v>
      </c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5"/>
      <c r="AB200" s="100"/>
      <c r="AC200" s="100"/>
      <c r="AD200" s="100"/>
      <c r="AE200" s="100"/>
      <c r="AF20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00" s="88">
        <f>Programacion[[#This Row],[ENERO]]+Programacion[[#This Row],[FEBRERO]]+Programacion[[#This Row],[MARZO]]</f>
        <v>15785</v>
      </c>
      <c r="AH200" s="88">
        <f>Programacion[[#This Row],[DEVENGADO ENERO]]+Programacion[[#This Row],[DEVENGADO FEBRERO]]+Programacion[[#This Row],[DEVENGADO MARZO]]</f>
        <v>15785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0</v>
      </c>
      <c r="AN200" s="89">
        <f>Programacion[[#This Row],[DEVENGADO OCTUBRE]]+Programacion[[#This Row],[DEVENGADO NOVIEMBRE]]+Programacion[[#This Row],[DEVENGADO DICIEMBRE]]</f>
        <v>0</v>
      </c>
      <c r="AO200" s="89">
        <f>Programacion[[#This Row],[ENERO]]+Programacion[[#This Row],[FEBRERO]]+Programacion[[#This Row],[MARZO]]+Programacion[[#This Row],[ABRIL]]+Programacion[[#This Row],[MAYO]]+Programacion[[#This Row],[JUNIO]]</f>
        <v>15785</v>
      </c>
      <c r="AP20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0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00" s="116"/>
    </row>
    <row r="201" spans="1:46" x14ac:dyDescent="0.25">
      <c r="A201" s="99" t="s">
        <v>152</v>
      </c>
      <c r="B201" s="90" t="s">
        <v>199</v>
      </c>
      <c r="C201" s="81" t="s">
        <v>200</v>
      </c>
      <c r="D201" s="81" t="s">
        <v>154</v>
      </c>
      <c r="E201" s="82">
        <v>97</v>
      </c>
      <c r="F201" s="83">
        <v>2.2999999999999998</v>
      </c>
      <c r="G201" s="81" t="s">
        <v>172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>
        <v>1870.2</v>
      </c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1870.2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1" s="116"/>
    </row>
    <row r="202" spans="1:46" x14ac:dyDescent="0.25">
      <c r="A202" s="99" t="s">
        <v>152</v>
      </c>
      <c r="B202" s="90" t="s">
        <v>201</v>
      </c>
      <c r="C202" s="91" t="s">
        <v>47</v>
      </c>
      <c r="D202" s="81" t="s">
        <v>154</v>
      </c>
      <c r="E202" s="92">
        <v>97</v>
      </c>
      <c r="F202" s="93">
        <v>2.2999999999999998</v>
      </c>
      <c r="G202" s="94" t="s">
        <v>49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>
        <v>1600</v>
      </c>
      <c r="Y202" s="88"/>
      <c r="Z202" s="88"/>
      <c r="AA202" s="88"/>
      <c r="AB202" s="88"/>
      <c r="AC202" s="88"/>
      <c r="AD202" s="88"/>
      <c r="AE202" s="88"/>
      <c r="AF20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1600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0</v>
      </c>
      <c r="AN202" s="88">
        <f>Programacion[[#This Row],[DEVENGADO OCTUBRE]]+Programacion[[#This Row],[DEVENGADO NOVIEMBRE]]+Programacion[[#This Row],[DEVENGADO DICIEMBRE]]</f>
        <v>0</v>
      </c>
      <c r="AO202" s="88">
        <f>Programacion[[#This Row],[ENERO]]+Programacion[[#This Row],[FEBRERO]]+Programacion[[#This Row],[MARZO]]+Programacion[[#This Row],[ABRIL]]+Programacion[[#This Row],[MAYO]]+Programacion[[#This Row],[JUNIO]]</f>
        <v>0</v>
      </c>
      <c r="AP20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0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116"/>
    </row>
    <row r="203" spans="1:46" x14ac:dyDescent="0.25">
      <c r="A203" s="99" t="s">
        <v>152</v>
      </c>
      <c r="B203" s="90" t="s">
        <v>202</v>
      </c>
      <c r="C203" s="91" t="s">
        <v>47</v>
      </c>
      <c r="D203" s="81" t="s">
        <v>154</v>
      </c>
      <c r="E203" s="92">
        <v>97</v>
      </c>
      <c r="F203" s="93">
        <v>2.2999999999999998</v>
      </c>
      <c r="G203" s="94" t="s">
        <v>51</v>
      </c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>
        <v>1620</v>
      </c>
      <c r="Y203" s="88"/>
      <c r="Z203" s="88"/>
      <c r="AA203" s="88"/>
      <c r="AB203" s="88"/>
      <c r="AC203" s="88"/>
      <c r="AD203" s="88"/>
      <c r="AE203" s="88"/>
      <c r="AF20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1620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0</v>
      </c>
      <c r="AN203" s="88">
        <f>Programacion[[#This Row],[DEVENGADO OCTUBRE]]+Programacion[[#This Row],[DEVENGADO NOVIEMBRE]]+Programacion[[#This Row],[DEVENGADO DICIEMBRE]]</f>
        <v>0</v>
      </c>
      <c r="AO203" s="88">
        <f>Programacion[[#This Row],[ENERO]]+Programacion[[#This Row],[FEBRERO]]+Programacion[[#This Row],[MARZO]]+Programacion[[#This Row],[ABRIL]]+Programacion[[#This Row],[MAYO]]+Programacion[[#This Row],[JUNIO]]</f>
        <v>0</v>
      </c>
      <c r="AP20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x14ac:dyDescent="0.25">
      <c r="A204" s="99" t="s">
        <v>152</v>
      </c>
      <c r="B204" s="90" t="s">
        <v>203</v>
      </c>
      <c r="C204" s="91" t="s">
        <v>47</v>
      </c>
      <c r="D204" s="81" t="s">
        <v>154</v>
      </c>
      <c r="E204" s="92">
        <v>97</v>
      </c>
      <c r="F204" s="93">
        <v>2.2999999999999998</v>
      </c>
      <c r="G204" s="94" t="s">
        <v>49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>
        <v>344.7</v>
      </c>
      <c r="Y204" s="88"/>
      <c r="Z204" s="88"/>
      <c r="AA204" s="88"/>
      <c r="AB204" s="88"/>
      <c r="AC204" s="88"/>
      <c r="AD204" s="88"/>
      <c r="AE204" s="88"/>
      <c r="AF20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344.7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0</v>
      </c>
      <c r="AN204" s="88">
        <f>Programacion[[#This Row],[DEVENGADO OCTUBRE]]+Programacion[[#This Row],[DEVENGADO NOVIEMBRE]]+Programacion[[#This Row],[DEVENGADO DICIEMBRE]]</f>
        <v>0</v>
      </c>
      <c r="AO204" s="88">
        <f>Programacion[[#This Row],[ENERO]]+Programacion[[#This Row],[FEBRERO]]+Programacion[[#This Row],[MARZO]]+Programacion[[#This Row],[ABRIL]]+Programacion[[#This Row],[MAYO]]+Programacion[[#This Row],[JUNIO]]</f>
        <v>0</v>
      </c>
      <c r="AP20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0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ht="45" x14ac:dyDescent="0.25">
      <c r="A205" s="99" t="s">
        <v>152</v>
      </c>
      <c r="B205" s="90" t="s">
        <v>204</v>
      </c>
      <c r="C205" s="91" t="s">
        <v>205</v>
      </c>
      <c r="D205" s="81" t="s">
        <v>154</v>
      </c>
      <c r="E205" s="92">
        <v>98</v>
      </c>
      <c r="F205" s="93">
        <v>2.2999999999999998</v>
      </c>
      <c r="G205" s="94" t="s">
        <v>206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>
        <v>2020</v>
      </c>
      <c r="S205" s="88">
        <v>2020</v>
      </c>
      <c r="T205" s="88"/>
      <c r="U205" s="88"/>
      <c r="V205" s="88">
        <v>8080</v>
      </c>
      <c r="W205" s="88">
        <v>8080</v>
      </c>
      <c r="X205" s="88"/>
      <c r="Y205" s="88"/>
      <c r="Z205" s="88"/>
      <c r="AA205" s="88"/>
      <c r="AB205" s="88"/>
      <c r="AC205" s="88"/>
      <c r="AD205" s="88"/>
      <c r="AE205" s="88"/>
      <c r="AF20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2020</v>
      </c>
      <c r="AJ205" s="88">
        <f>Programacion[[#This Row],[DEVENGADO ABRIL]]+Programacion[[#This Row],[DEVENGADO MAYO]]+Programacion[[#This Row],[DEVENGADO JUNIO]]</f>
        <v>2020</v>
      </c>
      <c r="AK205" s="88">
        <f>Programacion[[#This Row],[JULIO]]+Programacion[[#This Row],[AGOSTO]]+Programacion[[#This Row],[SEPTIEMBRE]]</f>
        <v>8080</v>
      </c>
      <c r="AL205" s="88">
        <f>Programacion[[#This Row],[DEVENGADO JULIO]]+Programacion[[#This Row],[DEVENGADO AGOSTO]]+Programacion[[#This Row],[DEVENGADO SEPTIEMBRE]]</f>
        <v>8080</v>
      </c>
      <c r="AM205" s="88">
        <f>Programacion[[#This Row],[OCTUBRE]]+Programacion[[#This Row],[NOVIEMBRE]]+Programacion[[#This Row],[DICIEMBRE]]</f>
        <v>0</v>
      </c>
      <c r="AN205" s="88">
        <f>Programacion[[#This Row],[DEVENGADO OCTUBRE]]+Programacion[[#This Row],[DEVENGADO NOVIEMBRE]]+Programacion[[#This Row],[DEVENGADO DICIEMBRE]]</f>
        <v>0</v>
      </c>
      <c r="AO205" s="88">
        <f>Programacion[[#This Row],[ENERO]]+Programacion[[#This Row],[FEBRERO]]+Programacion[[#This Row],[MARZO]]+Programacion[[#This Row],[ABRIL]]+Programacion[[#This Row],[MAYO]]+Programacion[[#This Row],[JUNIO]]</f>
        <v>2020</v>
      </c>
      <c r="AP20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05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0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05" s="116"/>
    </row>
    <row r="206" spans="1:46" ht="60" x14ac:dyDescent="0.25">
      <c r="A206" s="99" t="s">
        <v>152</v>
      </c>
      <c r="B206" s="90" t="s">
        <v>207</v>
      </c>
      <c r="C206" s="81" t="s">
        <v>205</v>
      </c>
      <c r="D206" s="81" t="s">
        <v>154</v>
      </c>
      <c r="E206" s="82">
        <v>98</v>
      </c>
      <c r="F206" s="83">
        <v>2.2999999999999998</v>
      </c>
      <c r="G206" s="81" t="s">
        <v>206</v>
      </c>
      <c r="H206" s="81"/>
      <c r="I206" s="84"/>
      <c r="J206" s="84"/>
      <c r="K206" s="84"/>
      <c r="L206" s="84">
        <v>2870</v>
      </c>
      <c r="M206" s="84">
        <v>2870</v>
      </c>
      <c r="N206" s="84"/>
      <c r="O206" s="84"/>
      <c r="P206" s="84">
        <v>5330</v>
      </c>
      <c r="Q206" s="84">
        <v>5330</v>
      </c>
      <c r="R206" s="84"/>
      <c r="S206" s="84"/>
      <c r="T206" s="84"/>
      <c r="U206" s="84"/>
      <c r="V206" s="84"/>
      <c r="W206" s="84"/>
      <c r="X206" s="84"/>
      <c r="Y206" s="84"/>
      <c r="Z206" s="84"/>
      <c r="AA206" s="85"/>
      <c r="AB206" s="100"/>
      <c r="AC206" s="100"/>
      <c r="AD206" s="100"/>
      <c r="AE206" s="100"/>
      <c r="AF20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06" s="88">
        <f>Programacion[[#This Row],[ENERO]]+Programacion[[#This Row],[FEBRERO]]+Programacion[[#This Row],[MARZO]]</f>
        <v>2870</v>
      </c>
      <c r="AH206" s="88">
        <f>Programacion[[#This Row],[DEVENGADO ENERO]]+Programacion[[#This Row],[DEVENGADO FEBRERO]]+Programacion[[#This Row],[DEVENGADO MARZO]]</f>
        <v>2870</v>
      </c>
      <c r="AI206" s="88">
        <f>Programacion[[#This Row],[ABRIL]]+Programacion[[#This Row],[MAYO]]+Programacion[[#This Row],[JUNIO]]</f>
        <v>5330</v>
      </c>
      <c r="AJ206" s="88">
        <f>Programacion[[#This Row],[DEVENGADO ABRIL]]+Programacion[[#This Row],[DEVENGADO MAYO]]+Programacion[[#This Row],[DEVENGADO JUNIO]]</f>
        <v>5330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0</v>
      </c>
      <c r="AN206" s="89">
        <f>Programacion[[#This Row],[DEVENGADO OCTUBRE]]+Programacion[[#This Row],[DEVENGADO NOVIEMBRE]]+Programacion[[#This Row],[DEVENGADO DICIEMBRE]]</f>
        <v>0</v>
      </c>
      <c r="AO206" s="89">
        <f>Programacion[[#This Row],[ENERO]]+Programacion[[#This Row],[FEBRERO]]+Programacion[[#This Row],[MARZO]]+Programacion[[#This Row],[ABRIL]]+Programacion[[#This Row],[MAYO]]+Programacion[[#This Row],[JUNIO]]</f>
        <v>8200</v>
      </c>
      <c r="AP20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0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06" s="116"/>
    </row>
    <row r="207" spans="1:46" ht="30" x14ac:dyDescent="0.25">
      <c r="A207" s="99" t="s">
        <v>152</v>
      </c>
      <c r="B207" s="90" t="s">
        <v>208</v>
      </c>
      <c r="C207" s="91" t="s">
        <v>74</v>
      </c>
      <c r="D207" s="94" t="s">
        <v>154</v>
      </c>
      <c r="E207" s="92">
        <v>98</v>
      </c>
      <c r="F207" s="93">
        <v>2.2999999999999998</v>
      </c>
      <c r="G207" s="94" t="s">
        <v>75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147</v>
      </c>
      <c r="AA207" s="88"/>
      <c r="AB207" s="88"/>
      <c r="AC207" s="88"/>
      <c r="AD207" s="88"/>
      <c r="AE207" s="88"/>
      <c r="AF20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147</v>
      </c>
      <c r="AN207" s="88">
        <f>Programacion[[#This Row],[DEVENGADO OCTUBRE]]+Programacion[[#This Row],[DEVENGADO NOVIEMBRE]]+Programacion[[#This Row],[DEVENGADO DICIEMBRE]]</f>
        <v>0</v>
      </c>
      <c r="AO207" s="88">
        <f>Programacion[[#This Row],[ENERO]]+Programacion[[#This Row],[FEBRERO]]+Programacion[[#This Row],[MARZO]]+Programacion[[#This Row],[ABRIL]]+Programacion[[#This Row],[MAYO]]+Programacion[[#This Row],[JUNIO]]</f>
        <v>0</v>
      </c>
      <c r="AP20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0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152</v>
      </c>
      <c r="B208" s="90" t="s">
        <v>209</v>
      </c>
      <c r="C208" s="81" t="s">
        <v>200</v>
      </c>
      <c r="D208" s="81" t="s">
        <v>154</v>
      </c>
      <c r="E208" s="82">
        <v>98</v>
      </c>
      <c r="F208" s="83">
        <v>2.2999999999999998</v>
      </c>
      <c r="G208" s="81" t="s">
        <v>172</v>
      </c>
      <c r="H208" s="81"/>
      <c r="I208" s="84"/>
      <c r="J208" s="84"/>
      <c r="K208" s="84"/>
      <c r="L208" s="84"/>
      <c r="M208" s="84"/>
      <c r="N208" s="84"/>
      <c r="O208" s="84"/>
      <c r="P208" s="84"/>
      <c r="Q208" s="84"/>
      <c r="R208" s="84">
        <v>5450</v>
      </c>
      <c r="S208" s="84">
        <v>5450</v>
      </c>
      <c r="T208" s="84"/>
      <c r="U208" s="84"/>
      <c r="V208" s="84"/>
      <c r="W208" s="84"/>
      <c r="X208" s="84"/>
      <c r="Y208" s="84"/>
      <c r="Z208" s="84"/>
      <c r="AA208" s="85"/>
      <c r="AB208" s="100"/>
      <c r="AC208" s="100"/>
      <c r="AD208" s="100"/>
      <c r="AE208" s="100"/>
      <c r="AF20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5450</v>
      </c>
      <c r="AJ208" s="88">
        <f>Programacion[[#This Row],[DEVENGADO ABRIL]]+Programacion[[#This Row],[DEVENGADO MAYO]]+Programacion[[#This Row],[DEVENGADO JUNIO]]</f>
        <v>5450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0</v>
      </c>
      <c r="AN208" s="89">
        <f>Programacion[[#This Row],[DEVENGADO OCTUBRE]]+Programacion[[#This Row],[DEVENGADO NOVIEMBRE]]+Programacion[[#This Row],[DEVENGADO DICIEMBRE]]</f>
        <v>0</v>
      </c>
      <c r="AO208" s="89">
        <f>Programacion[[#This Row],[ENERO]]+Programacion[[#This Row],[FEBRERO]]+Programacion[[#This Row],[MARZO]]+Programacion[[#This Row],[ABRIL]]+Programacion[[#This Row],[MAYO]]+Programacion[[#This Row],[JUNIO]]</f>
        <v>5450</v>
      </c>
      <c r="AP20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0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08" s="116"/>
    </row>
    <row r="209" spans="1:46" ht="30" x14ac:dyDescent="0.25">
      <c r="A209" s="99" t="s">
        <v>152</v>
      </c>
      <c r="B209" s="90" t="s">
        <v>198</v>
      </c>
      <c r="C209" s="81" t="s">
        <v>56</v>
      </c>
      <c r="D209" s="81" t="s">
        <v>154</v>
      </c>
      <c r="E209" s="82">
        <v>98</v>
      </c>
      <c r="F209" s="83">
        <v>2.2999999999999998</v>
      </c>
      <c r="G209" s="81" t="s">
        <v>57</v>
      </c>
      <c r="H209" s="81"/>
      <c r="I209" s="84"/>
      <c r="J209" s="84"/>
      <c r="K209" s="84"/>
      <c r="L209" s="84"/>
      <c r="M209" s="84"/>
      <c r="N209" s="84">
        <v>10500</v>
      </c>
      <c r="O209" s="84">
        <v>10500</v>
      </c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5"/>
      <c r="AB209" s="100"/>
      <c r="AC209" s="100"/>
      <c r="AD209" s="100"/>
      <c r="AE209" s="100"/>
      <c r="AF20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10500</v>
      </c>
      <c r="AJ209" s="88">
        <f>Programacion[[#This Row],[DEVENGADO ABRIL]]+Programacion[[#This Row],[DEVENGADO MAYO]]+Programacion[[#This Row],[DEVENGADO JUNIO]]</f>
        <v>10500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0</v>
      </c>
      <c r="AN209" s="89">
        <f>Programacion[[#This Row],[DEVENGADO OCTUBRE]]+Programacion[[#This Row],[DEVENGADO NOVIEMBRE]]+Programacion[[#This Row],[DEVENGADO DICIEMBRE]]</f>
        <v>0</v>
      </c>
      <c r="AO209" s="89">
        <f>Programacion[[#This Row],[ENERO]]+Programacion[[#This Row],[FEBRERO]]+Programacion[[#This Row],[MARZO]]+Programacion[[#This Row],[ABRIL]]+Programacion[[#This Row],[MAYO]]+Programacion[[#This Row],[JUNIO]]</f>
        <v>10500</v>
      </c>
      <c r="AP20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9" s="116"/>
    </row>
    <row r="210" spans="1:46" x14ac:dyDescent="0.25">
      <c r="A210" s="99" t="s">
        <v>152</v>
      </c>
      <c r="B210" s="90" t="s">
        <v>210</v>
      </c>
      <c r="C210" s="81" t="s">
        <v>56</v>
      </c>
      <c r="D210" s="81" t="s">
        <v>154</v>
      </c>
      <c r="E210" s="82">
        <v>98</v>
      </c>
      <c r="F210" s="83">
        <v>2.2999999999999998</v>
      </c>
      <c r="G210" s="81" t="s">
        <v>57</v>
      </c>
      <c r="H210" s="81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>
        <v>9500</v>
      </c>
      <c r="AA210" s="85"/>
      <c r="AB210" s="100"/>
      <c r="AC210" s="100"/>
      <c r="AD210" s="100"/>
      <c r="AE210" s="100"/>
      <c r="AF21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9500</v>
      </c>
      <c r="AN210" s="89">
        <f>Programacion[[#This Row],[DEVENGADO OCTUBRE]]+Programacion[[#This Row],[DEVENGADO NOVIEMBRE]]+Programacion[[#This Row],[DEVENGADO DICIEMBRE]]</f>
        <v>0</v>
      </c>
      <c r="AO210" s="89">
        <f>Programacion[[#This Row],[ENERO]]+Programacion[[#This Row],[FEBRERO]]+Programacion[[#This Row],[MARZO]]+Programacion[[#This Row],[ABRIL]]+Programacion[[#This Row],[MAYO]]+Programacion[[#This Row],[JUNIO]]</f>
        <v>0</v>
      </c>
      <c r="AP21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1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ht="30" x14ac:dyDescent="0.25">
      <c r="A211" s="99" t="s">
        <v>152</v>
      </c>
      <c r="B211" s="90" t="s">
        <v>211</v>
      </c>
      <c r="C211" s="91" t="s">
        <v>56</v>
      </c>
      <c r="D211" s="81" t="s">
        <v>154</v>
      </c>
      <c r="E211" s="92">
        <v>99</v>
      </c>
      <c r="F211" s="83">
        <v>2.2999999999999998</v>
      </c>
      <c r="G211" s="94" t="s">
        <v>57</v>
      </c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>
        <v>19500</v>
      </c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0</v>
      </c>
      <c r="AJ211" s="88">
        <f>Programacion[[#This Row],[DEVENGADO ABRIL]]+Programacion[[#This Row],[DEVENGADO MAYO]]+Programacion[[#This Row],[DEVENGADO JUNIO]]</f>
        <v>0</v>
      </c>
      <c r="AK211" s="88">
        <f>Programacion[[#This Row],[JULIO]]+Programacion[[#This Row],[AGOSTO]]+Programacion[[#This Row],[SEPTIEMBRE]]</f>
        <v>0</v>
      </c>
      <c r="AL211" s="88">
        <f>Programacion[[#This Row],[DEVENGADO JULIO]]+Programacion[[#This Row],[DEVENGADO AGOSTO]]+Programacion[[#This Row],[DEVENGADO SEPTIEMBRE]]</f>
        <v>0</v>
      </c>
      <c r="AM211" s="88">
        <f>Programacion[[#This Row],[OCTUBRE]]+Programacion[[#This Row],[NOVIEMBRE]]+Programacion[[#This Row],[DICIEMBRE]]</f>
        <v>19500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1" s="116"/>
    </row>
    <row r="212" spans="1:46" ht="30" x14ac:dyDescent="0.25">
      <c r="A212" s="99" t="s">
        <v>152</v>
      </c>
      <c r="B212" s="90" t="s">
        <v>212</v>
      </c>
      <c r="C212" s="91" t="s">
        <v>56</v>
      </c>
      <c r="D212" s="81" t="s">
        <v>154</v>
      </c>
      <c r="E212" s="92">
        <v>99</v>
      </c>
      <c r="F212" s="83">
        <v>2.2999999999999998</v>
      </c>
      <c r="G212" s="94" t="s">
        <v>57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16608.68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16608.68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x14ac:dyDescent="0.25">
      <c r="A213" s="99" t="s">
        <v>152</v>
      </c>
      <c r="B213" s="90" t="s">
        <v>213</v>
      </c>
      <c r="C213" s="91" t="s">
        <v>74</v>
      </c>
      <c r="D213" s="81" t="s">
        <v>154</v>
      </c>
      <c r="E213" s="92">
        <v>99</v>
      </c>
      <c r="F213" s="83">
        <v>2.2999999999999998</v>
      </c>
      <c r="G213" s="94" t="s">
        <v>75</v>
      </c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>
        <v>2500</v>
      </c>
      <c r="AA213" s="88"/>
      <c r="AB213" s="88"/>
      <c r="AC213" s="88"/>
      <c r="AD213" s="88"/>
      <c r="AE213" s="88"/>
      <c r="AF21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13" s="88">
        <f>Programacion[[#This Row],[ENERO]]+Programacion[[#This Row],[FEBRERO]]+Programacion[[#This Row],[MARZO]]</f>
        <v>0</v>
      </c>
      <c r="AH213" s="88">
        <f>Programacion[[#This Row],[DEVENGADO ENERO]]+Programacion[[#This Row],[DEVENGADO FEBRERO]]+Programacion[[#This Row],[DEVENGADO MARZO]]</f>
        <v>0</v>
      </c>
      <c r="AI213" s="88">
        <f>Programacion[[#This Row],[ABRIL]]+Programacion[[#This Row],[MAYO]]+Programacion[[#This Row],[JUNIO]]</f>
        <v>0</v>
      </c>
      <c r="AJ213" s="88">
        <f>Programacion[[#This Row],[DEVENGADO ABRIL]]+Programacion[[#This Row],[DEVENGADO MAYO]]+Programacion[[#This Row],[DEVENGADO JUNIO]]</f>
        <v>0</v>
      </c>
      <c r="AK213" s="88">
        <f>Programacion[[#This Row],[JULIO]]+Programacion[[#This Row],[AGOSTO]]+Programacion[[#This Row],[SEPTIEMBRE]]</f>
        <v>0</v>
      </c>
      <c r="AL213" s="88">
        <f>Programacion[[#This Row],[DEVENGADO JULIO]]+Programacion[[#This Row],[DEVENGADO AGOSTO]]+Programacion[[#This Row],[DEVENGADO SEPTIEMBRE]]</f>
        <v>0</v>
      </c>
      <c r="AM213" s="88">
        <f>Programacion[[#This Row],[OCTUBRE]]+Programacion[[#This Row],[NOVIEMBRE]]+Programacion[[#This Row],[DICIEMBRE]]</f>
        <v>2500</v>
      </c>
      <c r="AN213" s="97">
        <f>Programacion[[#This Row],[DEVENGADO OCTUBRE]]+Programacion[[#This Row],[DEVENGADO NOVIEMBRE]]+Programacion[[#This Row],[DEVENGADO DICIEMBRE]]</f>
        <v>0</v>
      </c>
      <c r="AO213" s="97">
        <f>Programacion[[#This Row],[ENERO]]+Programacion[[#This Row],[FEBRERO]]+Programacion[[#This Row],[MARZO]]+Programacion[[#This Row],[ABRIL]]+Programacion[[#This Row],[MAYO]]+Programacion[[#This Row],[JUNIO]]</f>
        <v>0</v>
      </c>
      <c r="AP21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1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3" s="116"/>
    </row>
    <row r="214" spans="1:46" x14ac:dyDescent="0.25">
      <c r="A214" s="99" t="s">
        <v>152</v>
      </c>
      <c r="B214" s="90" t="s">
        <v>214</v>
      </c>
      <c r="C214" s="91" t="s">
        <v>47</v>
      </c>
      <c r="D214" s="81" t="s">
        <v>154</v>
      </c>
      <c r="E214" s="92">
        <v>99</v>
      </c>
      <c r="F214" s="83">
        <v>2.2999999999999998</v>
      </c>
      <c r="G214" s="94" t="s">
        <v>49</v>
      </c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>
        <v>2400</v>
      </c>
      <c r="AA214" s="88"/>
      <c r="AB214" s="88"/>
      <c r="AC214" s="88"/>
      <c r="AD214" s="88"/>
      <c r="AE214" s="88"/>
      <c r="AF21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4" s="88">
        <f>Programacion[[#This Row],[ENERO]]+Programacion[[#This Row],[FEBRERO]]+Programacion[[#This Row],[MARZO]]</f>
        <v>0</v>
      </c>
      <c r="AH214" s="88">
        <f>Programacion[[#This Row],[DEVENGADO ENERO]]+Programacion[[#This Row],[DEVENGADO FEBRERO]]+Programacion[[#This Row],[DEVENGADO MARZO]]</f>
        <v>0</v>
      </c>
      <c r="AI214" s="88">
        <f>Programacion[[#This Row],[ABRIL]]+Programacion[[#This Row],[MAYO]]+Programacion[[#This Row],[JUNIO]]</f>
        <v>0</v>
      </c>
      <c r="AJ214" s="88">
        <f>Programacion[[#This Row],[DEVENGADO ABRIL]]+Programacion[[#This Row],[DEVENGADO MAYO]]+Programacion[[#This Row],[DEVENGADO JUNIO]]</f>
        <v>0</v>
      </c>
      <c r="AK214" s="88">
        <f>Programacion[[#This Row],[JULIO]]+Programacion[[#This Row],[AGOSTO]]+Programacion[[#This Row],[SEPTIEMBRE]]</f>
        <v>0</v>
      </c>
      <c r="AL214" s="88">
        <f>Programacion[[#This Row],[DEVENGADO JULIO]]+Programacion[[#This Row],[DEVENGADO AGOSTO]]+Programacion[[#This Row],[DEVENGADO SEPTIEMBRE]]</f>
        <v>0</v>
      </c>
      <c r="AM214" s="88">
        <f>Programacion[[#This Row],[OCTUBRE]]+Programacion[[#This Row],[NOVIEMBRE]]+Programacion[[#This Row],[DICIEMBRE]]</f>
        <v>2400</v>
      </c>
      <c r="AN214" s="97">
        <f>Programacion[[#This Row],[DEVENGADO OCTUBRE]]+Programacion[[#This Row],[DEVENGADO NOVIEMBRE]]+Programacion[[#This Row],[DEVENGADO DICIEMBRE]]</f>
        <v>0</v>
      </c>
      <c r="AO214" s="97">
        <f>Programacion[[#This Row],[ENERO]]+Programacion[[#This Row],[FEBRERO]]+Programacion[[#This Row],[MARZO]]+Programacion[[#This Row],[ABRIL]]+Programacion[[#This Row],[MAYO]]+Programacion[[#This Row],[JUNIO]]</f>
        <v>0</v>
      </c>
      <c r="AP21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116"/>
    </row>
    <row r="215" spans="1:46" x14ac:dyDescent="0.25">
      <c r="A215" s="99" t="s">
        <v>152</v>
      </c>
      <c r="B215" s="90" t="s">
        <v>215</v>
      </c>
      <c r="C215" s="91" t="s">
        <v>47</v>
      </c>
      <c r="D215" s="81" t="s">
        <v>154</v>
      </c>
      <c r="E215" s="92">
        <v>99</v>
      </c>
      <c r="F215" s="83">
        <v>2.2999999999999998</v>
      </c>
      <c r="G215" s="94" t="s">
        <v>51</v>
      </c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>
        <v>1620</v>
      </c>
      <c r="AA215" s="88"/>
      <c r="AB215" s="88"/>
      <c r="AC215" s="88"/>
      <c r="AD215" s="88"/>
      <c r="AE215" s="88"/>
      <c r="AF21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5" s="88">
        <f>Programacion[[#This Row],[ENERO]]+Programacion[[#This Row],[FEBRERO]]+Programacion[[#This Row],[MARZO]]</f>
        <v>0</v>
      </c>
      <c r="AH215" s="88">
        <f>Programacion[[#This Row],[DEVENGADO ENERO]]+Programacion[[#This Row],[DEVENGADO FEBRERO]]+Programacion[[#This Row],[DEVENGADO MARZO]]</f>
        <v>0</v>
      </c>
      <c r="AI215" s="88">
        <f>Programacion[[#This Row],[ABRIL]]+Programacion[[#This Row],[MAYO]]+Programacion[[#This Row],[JUNIO]]</f>
        <v>0</v>
      </c>
      <c r="AJ215" s="88">
        <f>Programacion[[#This Row],[DEVENGADO ABRIL]]+Programacion[[#This Row],[DEVENGADO MAYO]]+Programacion[[#This Row],[DEVENGADO JUNIO]]</f>
        <v>0</v>
      </c>
      <c r="AK215" s="88">
        <f>Programacion[[#This Row],[JULIO]]+Programacion[[#This Row],[AGOSTO]]+Programacion[[#This Row],[SEPTIEMBRE]]</f>
        <v>0</v>
      </c>
      <c r="AL215" s="88">
        <f>Programacion[[#This Row],[DEVENGADO JULIO]]+Programacion[[#This Row],[DEVENGADO AGOSTO]]+Programacion[[#This Row],[DEVENGADO SEPTIEMBRE]]</f>
        <v>0</v>
      </c>
      <c r="AM215" s="88">
        <f>Programacion[[#This Row],[OCTUBRE]]+Programacion[[#This Row],[NOVIEMBRE]]+Programacion[[#This Row],[DICIEMBRE]]</f>
        <v>1620</v>
      </c>
      <c r="AN215" s="97">
        <f>Programacion[[#This Row],[DEVENGADO OCTUBRE]]+Programacion[[#This Row],[DEVENGADO NOVIEMBRE]]+Programacion[[#This Row],[DEVENGADO DICIEMBRE]]</f>
        <v>0</v>
      </c>
      <c r="AO215" s="97">
        <f>Programacion[[#This Row],[ENERO]]+Programacion[[#This Row],[FEBRERO]]+Programacion[[#This Row],[MARZO]]+Programacion[[#This Row],[ABRIL]]+Programacion[[#This Row],[MAYO]]+Programacion[[#This Row],[JUNIO]]</f>
        <v>0</v>
      </c>
      <c r="AP21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5" s="116"/>
    </row>
    <row r="216" spans="1:46" x14ac:dyDescent="0.25">
      <c r="A216" s="99" t="s">
        <v>152</v>
      </c>
      <c r="B216" s="90" t="s">
        <v>216</v>
      </c>
      <c r="C216" s="91" t="s">
        <v>74</v>
      </c>
      <c r="D216" s="81" t="s">
        <v>154</v>
      </c>
      <c r="E216" s="92">
        <v>99</v>
      </c>
      <c r="F216" s="83">
        <v>2.2999999999999998</v>
      </c>
      <c r="G216" s="94" t="s">
        <v>75</v>
      </c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>
        <v>176</v>
      </c>
      <c r="AA216" s="88"/>
      <c r="AB216" s="88"/>
      <c r="AC216" s="88"/>
      <c r="AD216" s="88"/>
      <c r="AE216" s="88"/>
      <c r="AF21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16" s="88">
        <f>Programacion[[#This Row],[ENERO]]+Programacion[[#This Row],[FEBRERO]]+Programacion[[#This Row],[MARZO]]</f>
        <v>0</v>
      </c>
      <c r="AH216" s="88">
        <f>Programacion[[#This Row],[DEVENGADO ENERO]]+Programacion[[#This Row],[DEVENGADO FEBRERO]]+Programacion[[#This Row],[DEVENGADO MARZO]]</f>
        <v>0</v>
      </c>
      <c r="AI216" s="88">
        <f>Programacion[[#This Row],[ABRIL]]+Programacion[[#This Row],[MAYO]]+Programacion[[#This Row],[JUNIO]]</f>
        <v>0</v>
      </c>
      <c r="AJ216" s="88">
        <f>Programacion[[#This Row],[DEVENGADO ABRIL]]+Programacion[[#This Row],[DEVENGADO MAYO]]+Programacion[[#This Row],[DEVENGADO JUNIO]]</f>
        <v>0</v>
      </c>
      <c r="AK216" s="88">
        <f>Programacion[[#This Row],[JULIO]]+Programacion[[#This Row],[AGOSTO]]+Programacion[[#This Row],[SEPTIEMBRE]]</f>
        <v>0</v>
      </c>
      <c r="AL216" s="88">
        <f>Programacion[[#This Row],[DEVENGADO JULIO]]+Programacion[[#This Row],[DEVENGADO AGOSTO]]+Programacion[[#This Row],[DEVENGADO SEPTIEMBRE]]</f>
        <v>0</v>
      </c>
      <c r="AM216" s="88">
        <f>Programacion[[#This Row],[OCTUBRE]]+Programacion[[#This Row],[NOVIEMBRE]]+Programacion[[#This Row],[DICIEMBRE]]</f>
        <v>176</v>
      </c>
      <c r="AN216" s="97">
        <f>Programacion[[#This Row],[DEVENGADO OCTUBRE]]+Programacion[[#This Row],[DEVENGADO NOVIEMBRE]]+Programacion[[#This Row],[DEVENGADO DICIEMBRE]]</f>
        <v>0</v>
      </c>
      <c r="AO216" s="97">
        <f>Programacion[[#This Row],[ENERO]]+Programacion[[#This Row],[FEBRERO]]+Programacion[[#This Row],[MARZO]]+Programacion[[#This Row],[ABRIL]]+Programacion[[#This Row],[MAYO]]+Programacion[[#This Row],[JUNIO]]</f>
        <v>0</v>
      </c>
      <c r="AP21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1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6" s="116"/>
    </row>
    <row r="217" spans="1:46" x14ac:dyDescent="0.25">
      <c r="A217" s="99" t="s">
        <v>152</v>
      </c>
      <c r="B217" s="90" t="s">
        <v>216</v>
      </c>
      <c r="C217" s="91" t="s">
        <v>74</v>
      </c>
      <c r="D217" s="81" t="s">
        <v>154</v>
      </c>
      <c r="E217" s="92">
        <v>99</v>
      </c>
      <c r="F217" s="83">
        <v>2.2999999999999998</v>
      </c>
      <c r="G217" s="94" t="s">
        <v>75</v>
      </c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>
        <v>3260</v>
      </c>
      <c r="AA217" s="88"/>
      <c r="AB217" s="88"/>
      <c r="AC217" s="88"/>
      <c r="AD217" s="88"/>
      <c r="AE217" s="88"/>
      <c r="AF21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17" s="88">
        <f>Programacion[[#This Row],[ENERO]]+Programacion[[#This Row],[FEBRERO]]+Programacion[[#This Row],[MARZO]]</f>
        <v>0</v>
      </c>
      <c r="AH217" s="88">
        <f>Programacion[[#This Row],[DEVENGADO ENERO]]+Programacion[[#This Row],[DEVENGADO FEBRERO]]+Programacion[[#This Row],[DEVENGADO MARZO]]</f>
        <v>0</v>
      </c>
      <c r="AI217" s="88">
        <f>Programacion[[#This Row],[ABRIL]]+Programacion[[#This Row],[MAYO]]+Programacion[[#This Row],[JUNIO]]</f>
        <v>0</v>
      </c>
      <c r="AJ217" s="88">
        <f>Programacion[[#This Row],[DEVENGADO ABRIL]]+Programacion[[#This Row],[DEVENGADO MAYO]]+Programacion[[#This Row],[DEVENGADO JUNIO]]</f>
        <v>0</v>
      </c>
      <c r="AK217" s="88">
        <f>Programacion[[#This Row],[JULIO]]+Programacion[[#This Row],[AGOSTO]]+Programacion[[#This Row],[SEPTIEMBRE]]</f>
        <v>0</v>
      </c>
      <c r="AL217" s="88">
        <f>Programacion[[#This Row],[DEVENGADO JULIO]]+Programacion[[#This Row],[DEVENGADO AGOSTO]]+Programacion[[#This Row],[DEVENGADO SEPTIEMBRE]]</f>
        <v>0</v>
      </c>
      <c r="AM217" s="88">
        <f>Programacion[[#This Row],[OCTUBRE]]+Programacion[[#This Row],[NOVIEMBRE]]+Programacion[[#This Row],[DICIEMBRE]]</f>
        <v>3260</v>
      </c>
      <c r="AN217" s="97">
        <f>Programacion[[#This Row],[DEVENGADO OCTUBRE]]+Programacion[[#This Row],[DEVENGADO NOVIEMBRE]]+Programacion[[#This Row],[DEVENGADO DICIEMBRE]]</f>
        <v>0</v>
      </c>
      <c r="AO217" s="97">
        <f>Programacion[[#This Row],[ENERO]]+Programacion[[#This Row],[FEBRERO]]+Programacion[[#This Row],[MARZO]]+Programacion[[#This Row],[ABRIL]]+Programacion[[#This Row],[MAYO]]+Programacion[[#This Row],[JUNIO]]</f>
        <v>0</v>
      </c>
      <c r="AP21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1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7" s="116"/>
    </row>
    <row r="218" spans="1:46" ht="30" x14ac:dyDescent="0.25">
      <c r="A218" s="99" t="s">
        <v>152</v>
      </c>
      <c r="B218" s="90" t="s">
        <v>217</v>
      </c>
      <c r="C218" s="91" t="s">
        <v>47</v>
      </c>
      <c r="D218" s="81" t="s">
        <v>154</v>
      </c>
      <c r="E218" s="92">
        <v>99</v>
      </c>
      <c r="F218" s="83">
        <v>2.2999999999999998</v>
      </c>
      <c r="G218" s="94" t="s">
        <v>49</v>
      </c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>
        <v>2400</v>
      </c>
      <c r="AA218" s="88"/>
      <c r="AB218" s="88"/>
      <c r="AC218" s="88"/>
      <c r="AD218" s="88"/>
      <c r="AE218" s="88"/>
      <c r="AF21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8" s="88">
        <f>Programacion[[#This Row],[ENERO]]+Programacion[[#This Row],[FEBRERO]]+Programacion[[#This Row],[MARZO]]</f>
        <v>0</v>
      </c>
      <c r="AH218" s="88">
        <f>Programacion[[#This Row],[DEVENGADO ENERO]]+Programacion[[#This Row],[DEVENGADO FEBRERO]]+Programacion[[#This Row],[DEVENGADO MARZO]]</f>
        <v>0</v>
      </c>
      <c r="AI218" s="88">
        <f>Programacion[[#This Row],[ABRIL]]+Programacion[[#This Row],[MAYO]]+Programacion[[#This Row],[JUNIO]]</f>
        <v>0</v>
      </c>
      <c r="AJ218" s="88">
        <f>Programacion[[#This Row],[DEVENGADO ABRIL]]+Programacion[[#This Row],[DEVENGADO MAYO]]+Programacion[[#This Row],[DEVENGADO JUNIO]]</f>
        <v>0</v>
      </c>
      <c r="AK218" s="88">
        <f>Programacion[[#This Row],[JULIO]]+Programacion[[#This Row],[AGOSTO]]+Programacion[[#This Row],[SEPTIEMBRE]]</f>
        <v>0</v>
      </c>
      <c r="AL218" s="88">
        <f>Programacion[[#This Row],[DEVENGADO JULIO]]+Programacion[[#This Row],[DEVENGADO AGOSTO]]+Programacion[[#This Row],[DEVENGADO SEPTIEMBRE]]</f>
        <v>0</v>
      </c>
      <c r="AM218" s="88">
        <f>Programacion[[#This Row],[OCTUBRE]]+Programacion[[#This Row],[NOVIEMBRE]]+Programacion[[#This Row],[DICIEMBRE]]</f>
        <v>2400</v>
      </c>
      <c r="AN218" s="97">
        <f>Programacion[[#This Row],[DEVENGADO OCTUBRE]]+Programacion[[#This Row],[DEVENGADO NOVIEMBRE]]+Programacion[[#This Row],[DEVENGADO DICIEMBRE]]</f>
        <v>0</v>
      </c>
      <c r="AO218" s="97">
        <f>Programacion[[#This Row],[ENERO]]+Programacion[[#This Row],[FEBRERO]]+Programacion[[#This Row],[MARZO]]+Programacion[[#This Row],[ABRIL]]+Programacion[[#This Row],[MAYO]]+Programacion[[#This Row],[JUNIO]]</f>
        <v>0</v>
      </c>
      <c r="AP21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116"/>
    </row>
    <row r="219" spans="1:46" ht="30" x14ac:dyDescent="0.25">
      <c r="A219" s="99" t="s">
        <v>152</v>
      </c>
      <c r="B219" s="90" t="s">
        <v>218</v>
      </c>
      <c r="C219" s="91" t="s">
        <v>47</v>
      </c>
      <c r="D219" s="81" t="s">
        <v>154</v>
      </c>
      <c r="E219" s="92">
        <v>99</v>
      </c>
      <c r="F219" s="83">
        <v>2.2999999999999998</v>
      </c>
      <c r="G219" s="94" t="s">
        <v>51</v>
      </c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>
        <v>1620</v>
      </c>
      <c r="AA219" s="88"/>
      <c r="AB219" s="88"/>
      <c r="AC219" s="88"/>
      <c r="AD219" s="88"/>
      <c r="AE219" s="88"/>
      <c r="AF21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9" s="88">
        <f>Programacion[[#This Row],[ENERO]]+Programacion[[#This Row],[FEBRERO]]+Programacion[[#This Row],[MARZO]]</f>
        <v>0</v>
      </c>
      <c r="AH219" s="88">
        <f>Programacion[[#This Row],[DEVENGADO ENERO]]+Programacion[[#This Row],[DEVENGADO FEBRERO]]+Programacion[[#This Row],[DEVENGADO MARZO]]</f>
        <v>0</v>
      </c>
      <c r="AI219" s="88">
        <f>Programacion[[#This Row],[ABRIL]]+Programacion[[#This Row],[MAYO]]+Programacion[[#This Row],[JUNIO]]</f>
        <v>0</v>
      </c>
      <c r="AJ219" s="88">
        <f>Programacion[[#This Row],[DEVENGADO ABRIL]]+Programacion[[#This Row],[DEVENGADO MAYO]]+Programacion[[#This Row],[DEVENGADO JUNIO]]</f>
        <v>0</v>
      </c>
      <c r="AK219" s="88">
        <f>Programacion[[#This Row],[JULIO]]+Programacion[[#This Row],[AGOSTO]]+Programacion[[#This Row],[SEPTIEMBRE]]</f>
        <v>0</v>
      </c>
      <c r="AL219" s="88">
        <f>Programacion[[#This Row],[DEVENGADO JULIO]]+Programacion[[#This Row],[DEVENGADO AGOSTO]]+Programacion[[#This Row],[DEVENGADO SEPTIEMBRE]]</f>
        <v>0</v>
      </c>
      <c r="AM219" s="88">
        <f>Programacion[[#This Row],[OCTUBRE]]+Programacion[[#This Row],[NOVIEMBRE]]+Programacion[[#This Row],[DICIEMBRE]]</f>
        <v>1620</v>
      </c>
      <c r="AN219" s="97">
        <f>Programacion[[#This Row],[DEVENGADO OCTUBRE]]+Programacion[[#This Row],[DEVENGADO NOVIEMBRE]]+Programacion[[#This Row],[DEVENGADO DICIEMBRE]]</f>
        <v>0</v>
      </c>
      <c r="AO219" s="97">
        <f>Programacion[[#This Row],[ENERO]]+Programacion[[#This Row],[FEBRERO]]+Programacion[[#This Row],[MARZO]]+Programacion[[#This Row],[ABRIL]]+Programacion[[#This Row],[MAYO]]+Programacion[[#This Row],[JUNIO]]</f>
        <v>0</v>
      </c>
      <c r="AP21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6"/>
    </row>
    <row r="220" spans="1:46" x14ac:dyDescent="0.25">
      <c r="A220" s="101" t="s">
        <v>219</v>
      </c>
      <c r="B220" s="102" t="s">
        <v>220</v>
      </c>
      <c r="C220" s="103" t="s">
        <v>192</v>
      </c>
      <c r="D220" s="103" t="s">
        <v>154</v>
      </c>
      <c r="E220" s="104">
        <v>102</v>
      </c>
      <c r="F220" s="105">
        <v>2.2999999999999998</v>
      </c>
      <c r="G220" s="103" t="s">
        <v>193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3300</v>
      </c>
      <c r="U220" s="33">
        <v>3300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3300</v>
      </c>
      <c r="AL220" s="33">
        <f>Programacion[[#This Row],[DEVENGADO JULIO]]+Programacion[[#This Row],[DEVENGADO AGOSTO]]+Programacion[[#This Row],[DEVENGADO SEPTIEMBRE]]</f>
        <v>3300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20" s="116"/>
    </row>
    <row r="221" spans="1:46" ht="24" x14ac:dyDescent="0.25">
      <c r="A221" s="101" t="s">
        <v>219</v>
      </c>
      <c r="B221" s="107" t="s">
        <v>221</v>
      </c>
      <c r="C221" s="103" t="s">
        <v>56</v>
      </c>
      <c r="D221" s="103" t="s">
        <v>154</v>
      </c>
      <c r="E221" s="104">
        <v>102</v>
      </c>
      <c r="F221" s="105">
        <v>2.2999999999999998</v>
      </c>
      <c r="G221" s="103" t="s">
        <v>57</v>
      </c>
      <c r="H221" s="33"/>
      <c r="I221" s="33"/>
      <c r="J221" s="33"/>
      <c r="K221" s="33"/>
      <c r="L221" s="33">
        <v>8000</v>
      </c>
      <c r="M221" s="33">
        <v>8000</v>
      </c>
      <c r="N221" s="33">
        <v>8000</v>
      </c>
      <c r="O221" s="33">
        <v>8000</v>
      </c>
      <c r="P221" s="33">
        <v>8000</v>
      </c>
      <c r="Q221" s="33">
        <v>8000</v>
      </c>
      <c r="R221" s="33">
        <v>8000</v>
      </c>
      <c r="S221" s="33">
        <v>8000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21" s="33">
        <f>Programacion[[#This Row],[ENERO]]+Programacion[[#This Row],[FEBRERO]]+Programacion[[#This Row],[MARZO]]</f>
        <v>8000</v>
      </c>
      <c r="AH221" s="33">
        <f>Programacion[[#This Row],[DEVENGADO ENERO]]+Programacion[[#This Row],[DEVENGADO FEBRERO]]+Programacion[[#This Row],[DEVENGADO MARZO]]</f>
        <v>8000</v>
      </c>
      <c r="AI221" s="33">
        <f>Programacion[[#This Row],[ABRIL]]+Programacion[[#This Row],[MAYO]]+Programacion[[#This Row],[JUNIO]]</f>
        <v>24000</v>
      </c>
      <c r="AJ221" s="33">
        <f>Programacion[[#This Row],[DEVENGADO ABRIL]]+Programacion[[#This Row],[DEVENGADO MAYO]]+Programacion[[#This Row],[DEVENGADO JUNIO]]</f>
        <v>24000</v>
      </c>
      <c r="AK221" s="33">
        <f>Programacion[[#This Row],[JULIO]]+Programacion[[#This Row],[AGOSTO]]+Programacion[[#This Row],[SEPTIEMBRE]]</f>
        <v>0</v>
      </c>
      <c r="AL221" s="33">
        <f>Programacion[[#This Row],[DEVENGADO JULIO]]+Programacion[[#This Row],[DEVENGADO AGOSTO]]+Programacion[[#This Row],[DEVENGADO SEPTIEMBRE]]</f>
        <v>0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32000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21" s="116"/>
    </row>
    <row r="222" spans="1:46" ht="24" x14ac:dyDescent="0.25">
      <c r="A222" s="101" t="s">
        <v>219</v>
      </c>
      <c r="B222" s="107" t="s">
        <v>222</v>
      </c>
      <c r="C222" s="103" t="s">
        <v>56</v>
      </c>
      <c r="D222" s="103" t="s">
        <v>154</v>
      </c>
      <c r="E222" s="104">
        <v>103</v>
      </c>
      <c r="F222" s="105">
        <v>2.2999999999999998</v>
      </c>
      <c r="G222" s="103" t="s">
        <v>57</v>
      </c>
      <c r="H222" s="33"/>
      <c r="I222" s="33"/>
      <c r="J222" s="33"/>
      <c r="K222" s="33"/>
      <c r="L222" s="33">
        <v>11000</v>
      </c>
      <c r="M222" s="33">
        <v>11000</v>
      </c>
      <c r="N222" s="33">
        <v>11000</v>
      </c>
      <c r="O222" s="33">
        <v>11000</v>
      </c>
      <c r="P222" s="33">
        <v>11000</v>
      </c>
      <c r="Q222" s="33">
        <v>11000</v>
      </c>
      <c r="R222" s="33">
        <v>11000</v>
      </c>
      <c r="S222" s="33">
        <v>11000</v>
      </c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22" s="33">
        <f>Programacion[[#This Row],[ENERO]]+Programacion[[#This Row],[FEBRERO]]+Programacion[[#This Row],[MARZO]]</f>
        <v>11000</v>
      </c>
      <c r="AH222" s="33">
        <f>Programacion[[#This Row],[DEVENGADO ENERO]]+Programacion[[#This Row],[DEVENGADO FEBRERO]]+Programacion[[#This Row],[DEVENGADO MARZO]]</f>
        <v>11000</v>
      </c>
      <c r="AI222" s="33">
        <f>Programacion[[#This Row],[ABRIL]]+Programacion[[#This Row],[MAYO]]+Programacion[[#This Row],[JUNIO]]</f>
        <v>33000</v>
      </c>
      <c r="AJ222" s="33">
        <f>Programacion[[#This Row],[DEVENGADO ABRIL]]+Programacion[[#This Row],[DEVENGADO MAYO]]+Programacion[[#This Row],[DEVENGADO JUNIO]]</f>
        <v>33000</v>
      </c>
      <c r="AK222" s="33">
        <f>Programacion[[#This Row],[JULIO]]+Programacion[[#This Row],[AGOSTO]]+Programacion[[#This Row],[SEPTIEMBRE]]</f>
        <v>0</v>
      </c>
      <c r="AL222" s="33">
        <f>Programacion[[#This Row],[DEVENGADO JULIO]]+Programacion[[#This Row],[DEVENGADO AGOSTO]]+Programacion[[#This Row],[DEVENGADO SEPTIEMBRE]]</f>
        <v>0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44000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22" s="116"/>
    </row>
    <row r="223" spans="1:46" x14ac:dyDescent="0.25">
      <c r="A223" s="101" t="s">
        <v>219</v>
      </c>
      <c r="B223" s="102" t="s">
        <v>223</v>
      </c>
      <c r="C223" s="103" t="s">
        <v>47</v>
      </c>
      <c r="D223" s="103" t="s">
        <v>154</v>
      </c>
      <c r="E223" s="104">
        <v>103</v>
      </c>
      <c r="F223" s="105">
        <v>2.2999999999999998</v>
      </c>
      <c r="G223" s="103" t="s">
        <v>49</v>
      </c>
      <c r="H223" s="33"/>
      <c r="I223" s="33"/>
      <c r="J223" s="33">
        <v>16465.060000000001</v>
      </c>
      <c r="K223" s="33">
        <v>16465.060000000001</v>
      </c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23" s="33">
        <f>Programacion[[#This Row],[ENERO]]+Programacion[[#This Row],[FEBRERO]]+Programacion[[#This Row],[MARZO]]</f>
        <v>16465.060000000001</v>
      </c>
      <c r="AH223" s="33">
        <f>Programacion[[#This Row],[DEVENGADO ENERO]]+Programacion[[#This Row],[DEVENGADO FEBRERO]]+Programacion[[#This Row],[DEVENGADO MARZO]]</f>
        <v>16465.060000000001</v>
      </c>
      <c r="AI223" s="33">
        <f>Programacion[[#This Row],[ABRIL]]+Programacion[[#This Row],[MAYO]]+Programacion[[#This Row],[JUNIO]]</f>
        <v>0</v>
      </c>
      <c r="AJ223" s="33">
        <f>Programacion[[#This Row],[DEVENGADO ABRIL]]+Programacion[[#This Row],[DEVENGADO MAYO]]+Programacion[[#This Row],[DEVENGADO JUNIO]]</f>
        <v>0</v>
      </c>
      <c r="AK223" s="33">
        <f>Programacion[[#This Row],[JULIO]]+Programacion[[#This Row],[AGOSTO]]+Programacion[[#This Row],[SEPTIEMBRE]]</f>
        <v>0</v>
      </c>
      <c r="AL223" s="33">
        <f>Programacion[[#This Row],[DEVENGADO JULIO]]+Programacion[[#This Row],[DEVENGADO AGOSTO]]+Programacion[[#This Row],[DEVENGADO SEPTIEMBRE]]</f>
        <v>0</v>
      </c>
      <c r="AM223" s="33">
        <f>Programacion[[#This Row],[OCTUBRE]]+Programacion[[#This Row],[NOVIEMBRE]]+Programacion[[#This Row],[DICIEMBRE]]</f>
        <v>0</v>
      </c>
      <c r="AN223" s="21">
        <f>Programacion[[#This Row],[DEVENGADO OCTUBRE]]+Programacion[[#This Row],[DEVENGADO NOVIEMBRE]]+Programacion[[#This Row],[DEVENGADO DICIEMBRE]]</f>
        <v>0</v>
      </c>
      <c r="AO223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2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23" s="116"/>
    </row>
    <row r="224" spans="1:46" x14ac:dyDescent="0.25">
      <c r="A224" s="101" t="s">
        <v>219</v>
      </c>
      <c r="B224" s="102" t="s">
        <v>84</v>
      </c>
      <c r="C224" s="103" t="s">
        <v>47</v>
      </c>
      <c r="D224" s="103" t="s">
        <v>154</v>
      </c>
      <c r="E224" s="104">
        <v>103</v>
      </c>
      <c r="F224" s="105">
        <v>2.2999999999999998</v>
      </c>
      <c r="G224" s="103" t="s">
        <v>51</v>
      </c>
      <c r="H224" s="33"/>
      <c r="I224" s="33"/>
      <c r="J224" s="33">
        <v>716.5</v>
      </c>
      <c r="K224" s="33">
        <v>716.5</v>
      </c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24" s="33">
        <f>Programacion[[#This Row],[ENERO]]+Programacion[[#This Row],[FEBRERO]]+Programacion[[#This Row],[MARZO]]</f>
        <v>716.5</v>
      </c>
      <c r="AH224" s="33">
        <f>Programacion[[#This Row],[DEVENGADO ENERO]]+Programacion[[#This Row],[DEVENGADO FEBRERO]]+Programacion[[#This Row],[DEVENGADO MARZO]]</f>
        <v>716.5</v>
      </c>
      <c r="AI224" s="33">
        <f>Programacion[[#This Row],[ABRIL]]+Programacion[[#This Row],[MAYO]]+Programacion[[#This Row],[JUNIO]]</f>
        <v>0</v>
      </c>
      <c r="AJ224" s="33">
        <f>Programacion[[#This Row],[DEVENGADO ABRIL]]+Programacion[[#This Row],[DEVENGADO MAYO]]+Programacion[[#This Row],[DEVENGADO JUNIO]]</f>
        <v>0</v>
      </c>
      <c r="AK224" s="33">
        <f>Programacion[[#This Row],[JULIO]]+Programacion[[#This Row],[AGOSTO]]+Programacion[[#This Row],[SEPTIEMBRE]]</f>
        <v>0</v>
      </c>
      <c r="AL224" s="33">
        <f>Programacion[[#This Row],[DEVENGADO JULIO]]+Programacion[[#This Row],[DEVENGADO AGOSTO]]+Programacion[[#This Row],[DEVENGADO SEPTIEMBRE]]</f>
        <v>0</v>
      </c>
      <c r="AM224" s="33">
        <f>Programacion[[#This Row],[OCTUBRE]]+Programacion[[#This Row],[NOVIEMBRE]]+Programacion[[#This Row],[DICIEMBRE]]</f>
        <v>0</v>
      </c>
      <c r="AN224" s="21">
        <f>Programacion[[#This Row],[DEVENGADO OCTUBRE]]+Programacion[[#This Row],[DEVENGADO NOVIEMBRE]]+Programacion[[#This Row],[DEVENGADO DICIEMBRE]]</f>
        <v>0</v>
      </c>
      <c r="AO224" s="21">
        <f>Programacion[[#This Row],[ENERO]]+Programacion[[#This Row],[FEBRERO]]+Programacion[[#This Row],[MARZO]]+Programacion[[#This Row],[ABRIL]]+Programacion[[#This Row],[MAYO]]+Programacion[[#This Row],[JUNIO]]</f>
        <v>716.5</v>
      </c>
      <c r="AP2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2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24" s="116"/>
    </row>
    <row r="225" spans="1:46" ht="30" x14ac:dyDescent="0.25">
      <c r="A225" s="101" t="s">
        <v>219</v>
      </c>
      <c r="B225" s="102" t="s">
        <v>224</v>
      </c>
      <c r="C225" s="103" t="s">
        <v>56</v>
      </c>
      <c r="D225" s="103" t="s">
        <v>154</v>
      </c>
      <c r="E225" s="104">
        <v>103</v>
      </c>
      <c r="F225" s="105">
        <v>2.2999999999999998</v>
      </c>
      <c r="G225" s="103" t="s">
        <v>57</v>
      </c>
      <c r="H225" s="33"/>
      <c r="I225" s="33"/>
      <c r="J225" s="33"/>
      <c r="K225" s="33"/>
      <c r="L225" s="33">
        <v>22572</v>
      </c>
      <c r="M225" s="33">
        <v>22572</v>
      </c>
      <c r="N225" s="33">
        <v>11628</v>
      </c>
      <c r="O225" s="33">
        <v>11628</v>
      </c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25" s="33">
        <f>Programacion[[#This Row],[ENERO]]+Programacion[[#This Row],[FEBRERO]]+Programacion[[#This Row],[MARZO]]</f>
        <v>22572</v>
      </c>
      <c r="AH225" s="33">
        <f>Programacion[[#This Row],[DEVENGADO ENERO]]+Programacion[[#This Row],[DEVENGADO FEBRERO]]+Programacion[[#This Row],[DEVENGADO MARZO]]</f>
        <v>22572</v>
      </c>
      <c r="AI225" s="33">
        <f>Programacion[[#This Row],[ABRIL]]+Programacion[[#This Row],[MAYO]]+Programacion[[#This Row],[JUNIO]]</f>
        <v>11628</v>
      </c>
      <c r="AJ225" s="33">
        <f>Programacion[[#This Row],[DEVENGADO ABRIL]]+Programacion[[#This Row],[DEVENGADO MAYO]]+Programacion[[#This Row],[DEVENGADO JUNIO]]</f>
        <v>11628</v>
      </c>
      <c r="AK225" s="33">
        <f>Programacion[[#This Row],[JULIO]]+Programacion[[#This Row],[AGOSTO]]+Programacion[[#This Row],[SEPTIEMBRE]]</f>
        <v>0</v>
      </c>
      <c r="AL225" s="33">
        <f>Programacion[[#This Row],[DEVENGADO JULIO]]+Programacion[[#This Row],[DEVENGADO AGOSTO]]+Programacion[[#This Row],[DEVENGADO SEPTIEMBRE]]</f>
        <v>0</v>
      </c>
      <c r="AM225" s="33">
        <f>Programacion[[#This Row],[OCTUBRE]]+Programacion[[#This Row],[NOVIEMBRE]]+Programacion[[#This Row],[DICIEMBRE]]</f>
        <v>0</v>
      </c>
      <c r="AN225" s="21">
        <f>Programacion[[#This Row],[DEVENGADO OCTUBRE]]+Programacion[[#This Row],[DEVENGADO NOVIEMBRE]]+Programacion[[#This Row],[DEVENGADO DICIEMBRE]]</f>
        <v>0</v>
      </c>
      <c r="AO225" s="21">
        <f>Programacion[[#This Row],[ENERO]]+Programacion[[#This Row],[FEBRERO]]+Programacion[[#This Row],[MARZO]]+Programacion[[#This Row],[ABRIL]]+Programacion[[#This Row],[MAYO]]+Programacion[[#This Row],[JUNIO]]</f>
        <v>34200</v>
      </c>
      <c r="AP2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2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25" s="116"/>
    </row>
    <row r="226" spans="1:46" x14ac:dyDescent="0.25">
      <c r="A226" s="101" t="s">
        <v>219</v>
      </c>
      <c r="B226" s="117" t="s">
        <v>85</v>
      </c>
      <c r="C226" s="103" t="s">
        <v>47</v>
      </c>
      <c r="D226" s="103" t="s">
        <v>154</v>
      </c>
      <c r="E226" s="104">
        <v>103</v>
      </c>
      <c r="F226" s="105">
        <v>2.2999999999999998</v>
      </c>
      <c r="G226" s="103" t="s">
        <v>86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>
        <v>250</v>
      </c>
      <c r="U226" s="33">
        <v>250</v>
      </c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26" s="33">
        <f>Programacion[[#This Row],[ENERO]]+Programacion[[#This Row],[FEBRERO]]+Programacion[[#This Row],[MARZO]]</f>
        <v>0</v>
      </c>
      <c r="AH226" s="33">
        <f>Programacion[[#This Row],[DEVENGADO ENERO]]+Programacion[[#This Row],[DEVENGADO FEBRERO]]+Programacion[[#This Row],[DEVENGADO MARZO]]</f>
        <v>0</v>
      </c>
      <c r="AI226" s="33">
        <f>Programacion[[#This Row],[ABRIL]]+Programacion[[#This Row],[MAYO]]+Programacion[[#This Row],[JUNIO]]</f>
        <v>0</v>
      </c>
      <c r="AJ226" s="33">
        <f>Programacion[[#This Row],[DEVENGADO ABRIL]]+Programacion[[#This Row],[DEVENGADO MAYO]]+Programacion[[#This Row],[DEVENGADO JUNIO]]</f>
        <v>0</v>
      </c>
      <c r="AK226" s="33">
        <f>Programacion[[#This Row],[JULIO]]+Programacion[[#This Row],[AGOSTO]]+Programacion[[#This Row],[SEPTIEMBRE]]</f>
        <v>250</v>
      </c>
      <c r="AL226" s="33">
        <f>Programacion[[#This Row],[DEVENGADO JULIO]]+Programacion[[#This Row],[DEVENGADO AGOSTO]]+Programacion[[#This Row],[DEVENGADO SEPTIEMBRE]]</f>
        <v>250</v>
      </c>
      <c r="AM226" s="33">
        <f>Programacion[[#This Row],[OCTUBRE]]+Programacion[[#This Row],[NOVIEMBRE]]+Programacion[[#This Row],[DICIEMBRE]]</f>
        <v>0</v>
      </c>
      <c r="AN226" s="21">
        <f>Programacion[[#This Row],[DEVENGADO OCTUBRE]]+Programacion[[#This Row],[DEVENGADO NOVIEMBRE]]+Programacion[[#This Row],[DEVENGADO DICIEMBRE]]</f>
        <v>0</v>
      </c>
      <c r="AO226" s="21">
        <f>Programacion[[#This Row],[ENERO]]+Programacion[[#This Row],[FEBRERO]]+Programacion[[#This Row],[MARZO]]+Programacion[[#This Row],[ABRIL]]+Programacion[[#This Row],[MAYO]]+Programacion[[#This Row],[JUNIO]]</f>
        <v>0</v>
      </c>
      <c r="AP2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26" s="116"/>
    </row>
    <row r="227" spans="1:46" x14ac:dyDescent="0.25">
      <c r="A227" s="101" t="s">
        <v>219</v>
      </c>
      <c r="B227" s="102" t="s">
        <v>84</v>
      </c>
      <c r="C227" s="103" t="s">
        <v>47</v>
      </c>
      <c r="D227" s="103" t="s">
        <v>154</v>
      </c>
      <c r="E227" s="104">
        <v>103</v>
      </c>
      <c r="F227" s="105">
        <v>2.2999999999999998</v>
      </c>
      <c r="G227" s="103" t="s">
        <v>51</v>
      </c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>
        <v>675</v>
      </c>
      <c r="U227" s="33">
        <v>675</v>
      </c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27" s="33">
        <f>Programacion[[#This Row],[ENERO]]+Programacion[[#This Row],[FEBRERO]]+Programacion[[#This Row],[MARZO]]</f>
        <v>0</v>
      </c>
      <c r="AH227" s="33">
        <f>Programacion[[#This Row],[DEVENGADO ENERO]]+Programacion[[#This Row],[DEVENGADO FEBRERO]]+Programacion[[#This Row],[DEVENGADO MARZO]]</f>
        <v>0</v>
      </c>
      <c r="AI227" s="33">
        <f>Programacion[[#This Row],[ABRIL]]+Programacion[[#This Row],[MAYO]]+Programacion[[#This Row],[JUNIO]]</f>
        <v>0</v>
      </c>
      <c r="AJ227" s="33">
        <f>Programacion[[#This Row],[DEVENGADO ABRIL]]+Programacion[[#This Row],[DEVENGADO MAYO]]+Programacion[[#This Row],[DEVENGADO JUNIO]]</f>
        <v>0</v>
      </c>
      <c r="AK227" s="33">
        <f>Programacion[[#This Row],[JULIO]]+Programacion[[#This Row],[AGOSTO]]+Programacion[[#This Row],[SEPTIEMBRE]]</f>
        <v>675</v>
      </c>
      <c r="AL227" s="33">
        <f>Programacion[[#This Row],[DEVENGADO JULIO]]+Programacion[[#This Row],[DEVENGADO AGOSTO]]+Programacion[[#This Row],[DEVENGADO SEPTIEMBRE]]</f>
        <v>675</v>
      </c>
      <c r="AM227" s="33">
        <f>Programacion[[#This Row],[OCTUBRE]]+Programacion[[#This Row],[NOVIEMBRE]]+Programacion[[#This Row],[DICIEMBRE]]</f>
        <v>0</v>
      </c>
      <c r="AN227" s="21">
        <f>Programacion[[#This Row],[DEVENGADO OCTUBRE]]+Programacion[[#This Row],[DEVENGADO NOVIEMBRE]]+Programacion[[#This Row],[DEVENGADO DICIEMBRE]]</f>
        <v>0</v>
      </c>
      <c r="AO227" s="21">
        <f>Programacion[[#This Row],[ENERO]]+Programacion[[#This Row],[FEBRERO]]+Programacion[[#This Row],[MARZO]]+Programacion[[#This Row],[ABRIL]]+Programacion[[#This Row],[MAYO]]+Programacion[[#This Row],[JUNIO]]</f>
        <v>0</v>
      </c>
      <c r="AP2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27" s="116"/>
    </row>
    <row r="228" spans="1:46" x14ac:dyDescent="0.25">
      <c r="A228" s="101" t="s">
        <v>219</v>
      </c>
      <c r="B228" s="102" t="s">
        <v>244</v>
      </c>
      <c r="C228" s="81" t="s">
        <v>192</v>
      </c>
      <c r="D228" s="103" t="s">
        <v>154</v>
      </c>
      <c r="E228" s="104">
        <v>103</v>
      </c>
      <c r="F228" s="105">
        <v>2.2999999999999998</v>
      </c>
      <c r="G228" s="103" t="s">
        <v>193</v>
      </c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>
        <v>769</v>
      </c>
      <c r="U228" s="33">
        <v>769</v>
      </c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28" s="33">
        <f>Programacion[[#This Row],[ENERO]]+Programacion[[#This Row],[FEBRERO]]+Programacion[[#This Row],[MARZO]]</f>
        <v>0</v>
      </c>
      <c r="AH228" s="33">
        <f>Programacion[[#This Row],[DEVENGADO ENERO]]+Programacion[[#This Row],[DEVENGADO FEBRERO]]+Programacion[[#This Row],[DEVENGADO MARZO]]</f>
        <v>0</v>
      </c>
      <c r="AI228" s="33">
        <f>Programacion[[#This Row],[ABRIL]]+Programacion[[#This Row],[MAYO]]+Programacion[[#This Row],[JUNIO]]</f>
        <v>0</v>
      </c>
      <c r="AJ228" s="33">
        <f>Programacion[[#This Row],[DEVENGADO ABRIL]]+Programacion[[#This Row],[DEVENGADO MAYO]]+Programacion[[#This Row],[DEVENGADO JUNIO]]</f>
        <v>0</v>
      </c>
      <c r="AK228" s="33">
        <f>Programacion[[#This Row],[JULIO]]+Programacion[[#This Row],[AGOSTO]]+Programacion[[#This Row],[SEPTIEMBRE]]</f>
        <v>769</v>
      </c>
      <c r="AL228" s="33">
        <f>Programacion[[#This Row],[DEVENGADO JULIO]]+Programacion[[#This Row],[DEVENGADO AGOSTO]]+Programacion[[#This Row],[DEVENGADO SEPTIEMBRE]]</f>
        <v>769</v>
      </c>
      <c r="AM228" s="33">
        <f>Programacion[[#This Row],[OCTUBRE]]+Programacion[[#This Row],[NOVIEMBRE]]+Programacion[[#This Row],[DICIEMBRE]]</f>
        <v>0</v>
      </c>
      <c r="AN228" s="21">
        <f>Programacion[[#This Row],[DEVENGADO OCTUBRE]]+Programacion[[#This Row],[DEVENGADO NOVIEMBRE]]+Programacion[[#This Row],[DEVENGADO DICIEMBRE]]</f>
        <v>0</v>
      </c>
      <c r="AO228" s="21">
        <f>Programacion[[#This Row],[ENERO]]+Programacion[[#This Row],[FEBRERO]]+Programacion[[#This Row],[MARZO]]+Programacion[[#This Row],[ABRIL]]+Programacion[[#This Row],[MAYO]]+Programacion[[#This Row],[JUNIO]]</f>
        <v>0</v>
      </c>
      <c r="AP2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28" s="116"/>
    </row>
    <row r="229" spans="1:46" x14ac:dyDescent="0.25">
      <c r="A229" s="101" t="s">
        <v>219</v>
      </c>
      <c r="B229" s="102" t="s">
        <v>244</v>
      </c>
      <c r="C229" s="81" t="s">
        <v>200</v>
      </c>
      <c r="D229" s="103" t="s">
        <v>154</v>
      </c>
      <c r="E229" s="104">
        <v>102</v>
      </c>
      <c r="F229" s="105">
        <v>2.2999999999999998</v>
      </c>
      <c r="G229" s="103" t="s">
        <v>172</v>
      </c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>
        <v>6624</v>
      </c>
      <c r="U229" s="33">
        <v>6624</v>
      </c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9" s="33">
        <f>Programacion[[#This Row],[ENERO]]+Programacion[[#This Row],[FEBRERO]]+Programacion[[#This Row],[MARZO]]</f>
        <v>0</v>
      </c>
      <c r="AH229" s="33">
        <f>Programacion[[#This Row],[DEVENGADO ENERO]]+Programacion[[#This Row],[DEVENGADO FEBRERO]]+Programacion[[#This Row],[DEVENGADO MARZO]]</f>
        <v>0</v>
      </c>
      <c r="AI229" s="33">
        <f>Programacion[[#This Row],[ABRIL]]+Programacion[[#This Row],[MAYO]]+Programacion[[#This Row],[JUNIO]]</f>
        <v>0</v>
      </c>
      <c r="AJ229" s="33">
        <f>Programacion[[#This Row],[DEVENGADO ABRIL]]+Programacion[[#This Row],[DEVENGADO MAYO]]+Programacion[[#This Row],[DEVENGADO JUNIO]]</f>
        <v>0</v>
      </c>
      <c r="AK229" s="33">
        <f>Programacion[[#This Row],[JULIO]]+Programacion[[#This Row],[AGOSTO]]+Programacion[[#This Row],[SEPTIEMBRE]]</f>
        <v>6624</v>
      </c>
      <c r="AL229" s="33">
        <f>Programacion[[#This Row],[DEVENGADO JULIO]]+Programacion[[#This Row],[DEVENGADO AGOSTO]]+Programacion[[#This Row],[DEVENGADO SEPTIEMBRE]]</f>
        <v>6624</v>
      </c>
      <c r="AM229" s="33">
        <f>Programacion[[#This Row],[OCTUBRE]]+Programacion[[#This Row],[NOVIEMBRE]]+Programacion[[#This Row],[DICIEMBRE]]</f>
        <v>0</v>
      </c>
      <c r="AN229" s="21">
        <f>Programacion[[#This Row],[DEVENGADO OCTUBRE]]+Programacion[[#This Row],[DEVENGADO NOVIEMBRE]]+Programacion[[#This Row],[DEVENGADO DICIEMBRE]]</f>
        <v>0</v>
      </c>
      <c r="AO229" s="21">
        <f>Programacion[[#This Row],[ENERO]]+Programacion[[#This Row],[FEBRERO]]+Programacion[[#This Row],[MARZO]]+Programacion[[#This Row],[ABRIL]]+Programacion[[#This Row],[MAYO]]+Programacion[[#This Row],[JUNIO]]</f>
        <v>0</v>
      </c>
      <c r="AP2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9" s="116"/>
    </row>
    <row r="230" spans="1:46" x14ac:dyDescent="0.25">
      <c r="A230" s="101" t="s">
        <v>219</v>
      </c>
      <c r="B230" s="117" t="s">
        <v>245</v>
      </c>
      <c r="C230" s="46" t="s">
        <v>65</v>
      </c>
      <c r="D230" s="103" t="s">
        <v>154</v>
      </c>
      <c r="E230" s="104">
        <v>103</v>
      </c>
      <c r="F230" s="105">
        <v>2.2999999999999998</v>
      </c>
      <c r="G230" s="103" t="s">
        <v>246</v>
      </c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>
        <v>2700</v>
      </c>
      <c r="U230" s="33">
        <v>2700</v>
      </c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30" s="33">
        <f>Programacion[[#This Row],[ENERO]]+Programacion[[#This Row],[FEBRERO]]+Programacion[[#This Row],[MARZO]]</f>
        <v>0</v>
      </c>
      <c r="AH230" s="33">
        <f>Programacion[[#This Row],[DEVENGADO ENERO]]+Programacion[[#This Row],[DEVENGADO FEBRERO]]+Programacion[[#This Row],[DEVENGADO MARZO]]</f>
        <v>0</v>
      </c>
      <c r="AI230" s="33">
        <f>Programacion[[#This Row],[ABRIL]]+Programacion[[#This Row],[MAYO]]+Programacion[[#This Row],[JUNIO]]</f>
        <v>0</v>
      </c>
      <c r="AJ230" s="33">
        <f>Programacion[[#This Row],[DEVENGADO ABRIL]]+Programacion[[#This Row],[DEVENGADO MAYO]]+Programacion[[#This Row],[DEVENGADO JUNIO]]</f>
        <v>0</v>
      </c>
      <c r="AK230" s="33">
        <f>Programacion[[#This Row],[JULIO]]+Programacion[[#This Row],[AGOSTO]]+Programacion[[#This Row],[SEPTIEMBRE]]</f>
        <v>2700</v>
      </c>
      <c r="AL230" s="33">
        <f>Programacion[[#This Row],[DEVENGADO JULIO]]+Programacion[[#This Row],[DEVENGADO AGOSTO]]+Programacion[[#This Row],[DEVENGADO SEPTIEMBRE]]</f>
        <v>2700</v>
      </c>
      <c r="AM230" s="33">
        <f>Programacion[[#This Row],[OCTUBRE]]+Programacion[[#This Row],[NOVIEMBRE]]+Programacion[[#This Row],[DICIEMBRE]]</f>
        <v>0</v>
      </c>
      <c r="AN230" s="21">
        <f>Programacion[[#This Row],[DEVENGADO OCTUBRE]]+Programacion[[#This Row],[DEVENGADO NOVIEMBRE]]+Programacion[[#This Row],[DEVENGADO DICIEMBRE]]</f>
        <v>0</v>
      </c>
      <c r="AO230" s="21">
        <f>Programacion[[#This Row],[ENERO]]+Programacion[[#This Row],[FEBRERO]]+Programacion[[#This Row],[MARZO]]+Programacion[[#This Row],[ABRIL]]+Programacion[[#This Row],[MAYO]]+Programacion[[#This Row],[JUNIO]]</f>
        <v>0</v>
      </c>
      <c r="AP2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30" s="116"/>
    </row>
    <row r="231" spans="1:46" x14ac:dyDescent="0.25">
      <c r="A231" s="108" t="s">
        <v>219</v>
      </c>
      <c r="B231" s="109" t="s">
        <v>220</v>
      </c>
      <c r="C231" s="103" t="s">
        <v>192</v>
      </c>
      <c r="D231" s="110" t="s">
        <v>154</v>
      </c>
      <c r="E231" s="111">
        <v>103</v>
      </c>
      <c r="F231" s="112">
        <v>2.2999999999999998</v>
      </c>
      <c r="G231" s="103" t="s">
        <v>193</v>
      </c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>
        <v>11508</v>
      </c>
      <c r="U231" s="113">
        <v>11508</v>
      </c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31" s="33">
        <f>Programacion[[#This Row],[ENERO]]+Programacion[[#This Row],[FEBRERO]]+Programacion[[#This Row],[MARZO]]</f>
        <v>0</v>
      </c>
      <c r="AH231" s="33">
        <f>Programacion[[#This Row],[DEVENGADO ENERO]]+Programacion[[#This Row],[DEVENGADO FEBRERO]]+Programacion[[#This Row],[DEVENGADO MARZO]]</f>
        <v>0</v>
      </c>
      <c r="AI231" s="33">
        <f>Programacion[[#This Row],[ABRIL]]+Programacion[[#This Row],[MAYO]]+Programacion[[#This Row],[JUNIO]]</f>
        <v>0</v>
      </c>
      <c r="AJ231" s="33">
        <f>Programacion[[#This Row],[DEVENGADO ABRIL]]+Programacion[[#This Row],[DEVENGADO MAYO]]+Programacion[[#This Row],[DEVENGADO JUNIO]]</f>
        <v>0</v>
      </c>
      <c r="AK231" s="33">
        <f>Programacion[[#This Row],[JULIO]]+Programacion[[#This Row],[AGOSTO]]+Programacion[[#This Row],[SEPTIEMBRE]]</f>
        <v>11508</v>
      </c>
      <c r="AL231" s="33">
        <f>Programacion[[#This Row],[DEVENGADO JULIO]]+Programacion[[#This Row],[DEVENGADO AGOSTO]]+Programacion[[#This Row],[DEVENGADO SEPTIEMBRE]]</f>
        <v>11508</v>
      </c>
      <c r="AM231" s="33">
        <f>Programacion[[#This Row],[OCTUBRE]]+Programacion[[#This Row],[NOVIEMBRE]]+Programacion[[#This Row],[DICIEMBRE]]</f>
        <v>0</v>
      </c>
      <c r="AN231" s="21">
        <f>Programacion[[#This Row],[DEVENGADO OCTUBRE]]+Programacion[[#This Row],[DEVENGADO NOVIEMBRE]]+Programacion[[#This Row],[DEVENGADO DICIEMBRE]]</f>
        <v>0</v>
      </c>
      <c r="AO231" s="21">
        <f>Programacion[[#This Row],[ENERO]]+Programacion[[#This Row],[FEBRERO]]+Programacion[[#This Row],[MARZO]]+Programacion[[#This Row],[ABRIL]]+Programacion[[#This Row],[MAYO]]+Programacion[[#This Row],[JUNIO]]</f>
        <v>0</v>
      </c>
      <c r="AP2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1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31" s="116"/>
    </row>
  </sheetData>
  <dataValidations count="1">
    <dataValidation type="list" allowBlank="1" showErrorMessage="1" sqref="C16:C17 C19:C22 C44 C153:C154 C91 C156 C11 C46:C52 C122 C126 C129:C130" xr:uid="{722CB669-D308-48C2-AB4C-E3A2475787D4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2026-08-31T16:34:57Z</dcterms:modified>
</cp:coreProperties>
</file>