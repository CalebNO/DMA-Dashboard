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28800" windowHeight="1290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02" i="1" l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<sst xmlns="http://schemas.openxmlformats.org/spreadsheetml/2006/main" count="1050" uniqueCount="259">
  <si>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</si>
  <si>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</si>
  <si>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</si>
  <si>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</si>
  <si>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</si>
  <si>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</si>
  <si>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</si>
  <si>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</si>
  <si>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</si>
  <si>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</si>
  <si>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</si>
  <si>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</si>
  <si>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</si>
  <si>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</si>
  <si>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</si>
  <si>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</si>
  <si>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</si>
  <si>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</si>
  <si>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</si>
  <si>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</si>
  <si>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</si>
  <si>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</si>
  <si>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</si>
  <si>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</si>
  <si>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</si>
  <si>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</si>
  <si>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</si>
  <si>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</si>
  <si>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</si>
  <si>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</si>
  <si>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</si>
  <si>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</si>
  <si>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</si>
  <si>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</si>
  <si>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</si>
  <si>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</si>
  <si>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</si>
  <si>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</si>
  <si>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</si>
  <si>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</si>
  <si>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</si>
  <si>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</si>
  <si>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</si>
  <si>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</si>
  <si>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</si>
  <si>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</si>
  <si>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</si>
  <si>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</si>
  <si>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</si>
  <si>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</si>
  <si>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</si>
  <si>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</si>
  <si>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NACIONAL(EMERGENCIA)</t>
  </si>
  <si>
    <t>VIATICOS Y ASIGNACIONES POR COMISION DE SERVICIO(EMERGENCIA)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</si>
  <si>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</si>
  <si>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</si>
  <si>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</si>
  <si>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</si>
  <si>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</si>
  <si>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</si>
  <si>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</si>
  <si>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</si>
  <si>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</si>
  <si>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</si>
  <si>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</si>
  <si>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</si>
  <si>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</si>
  <si>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</si>
  <si>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</si>
  <si>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</si>
  <si>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</si>
  <si>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</si>
  <si>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</si>
  <si>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</si>
  <si>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</si>
  <si>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</si>
  <si>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</si>
  <si>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</si>
  <si>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</si>
  <si>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</si>
  <si>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</si>
  <si>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</si>
  <si>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</si>
  <si>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</si>
  <si>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</si>
  <si>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</si>
  <si>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TRASLADO PERSONAL - COMISION DE SERVICIO - PASAJES AEREOS NACIONAL</t>
  </si>
  <si>
    <t>VIATICOS</t>
  </si>
  <si>
    <t>COMBUSTIBLE</t>
  </si>
  <si>
    <t>23.13.11</t>
  </si>
  <si>
    <t>PEAJES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</si>
  <si>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</si>
  <si>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</si>
  <si>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</si>
  <si>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</si>
  <si>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</si>
  <si>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</si>
  <si>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</si>
  <si>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</si>
  <si>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</si>
  <si>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</si>
  <si>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</si>
  <si>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</si>
  <si>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</si>
  <si>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</si>
  <si>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</si>
  <si>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</si>
  <si>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</si>
  <si>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</si>
  <si>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</si>
  <si>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</si>
  <si>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</si>
  <si>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</si>
  <si>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</si>
  <si>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</si>
  <si>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</si>
  <si>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</si>
  <si>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</si>
  <si>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</si>
  <si>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 DE CAPACITACION DE PERSONAL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</si>
  <si>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</si>
  <si>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</si>
  <si>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</si>
  <si>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</si>
  <si>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</si>
  <si>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</si>
  <si>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EQUIPOS DE COMPUTO (SERVIDOR DE RESPALDO)</t>
  </si>
  <si>
    <t>26.32.31</t>
  </si>
  <si>
    <t>PRACTICANTE (PROPINAS)</t>
  </si>
  <si>
    <t>23.27.5 10</t>
  </si>
  <si>
    <t>PRACTICANTE (SEGURO)</t>
  </si>
  <si>
    <t>23.26.34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</si>
  <si>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</si>
  <si>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</si>
  <si>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</si>
  <si>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</si>
  <si>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</si>
  <si>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</si>
  <si>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</si>
  <si>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</si>
  <si>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</si>
  <si>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</si>
  <si>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</si>
  <si>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</si>
  <si>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</si>
  <si>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</si>
  <si>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</si>
  <si>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</si>
  <si>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</si>
  <si>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</si>
  <si>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</si>
  <si>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</si>
  <si>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</si>
  <si>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</si>
  <si>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</si>
  <si>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</si>
  <si>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</si>
  <si>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</si>
  <si>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</si>
  <si>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</si>
  <si>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</si>
  <si>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</si>
  <si>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</si>
  <si>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</si>
  <si>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</si>
  <si>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</si>
  <si>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</si>
  <si>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</si>
  <si>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</si>
  <si>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</si>
  <si>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</si>
  <si>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</si>
  <si>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</si>
  <si>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</si>
  <si>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</si>
  <si>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</si>
  <si>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</si>
  <si>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</si>
  <si>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</si>
  <si>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</si>
  <si>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</si>
  <si>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</si>
  <si>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</si>
  <si>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</si>
  <si>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</si>
  <si>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</si>
  <si>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</si>
  <si>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</si>
  <si>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</si>
  <si>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</si>
  <si>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</si>
  <si>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</si>
  <si>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</si>
  <si>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</si>
  <si>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</si>
  <si>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</si>
  <si>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</si>
  <si>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</si>
  <si>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</si>
  <si>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</si>
  <si>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</si>
  <si>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</si>
  <si>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</si>
  <si>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</si>
  <si>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</si>
  <si>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</si>
  <si>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</si>
  <si>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</si>
  <si>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</si>
  <si>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</si>
  <si>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</si>
  <si>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</si>
  <si>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</si>
  <si>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</si>
  <si>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</si>
  <si>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</si>
  <si>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</si>
  <si>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</si>
  <si>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</si>
  <si>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</si>
  <si>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</si>
  <si>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</si>
  <si>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</si>
  <si>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</si>
  <si>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</si>
  <si>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</si>
  <si>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</si>
  <si>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</si>
  <si>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</si>
  <si>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</si>
  <si>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</si>
  <si>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</si>
  <si>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</si>
  <si>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</si>
  <si>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</si>
  <si>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</si>
  <si>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</si>
  <si>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TRANSPORTE DE CARGA</t>
  </si>
  <si>
    <t>ALQUILER DE VEHICULO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</si>
  <si>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</si>
  <si>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</si>
  <si>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</si>
  <si>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</si>
  <si>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COFFE BREAK CURSO ASIMILACION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</si>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</sst>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S/&quot;\ * #,##0.00_-;\-&quot;S/&quot;\ * #,##0.00_-;_-&quot;S/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5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164" fontId="2" fillId="0" borderId="0" xfId="1" applyFont="1" applyFill="1" applyBorder="1" applyAlignment="1">
      <alignment horizontal="center" vertical="center"/>
    </xf>
    <xf numFmtId="164" fontId="2" fillId="0" borderId="3" xfId="1" applyFont="1" applyFill="1" applyBorder="1" applyAlignment="1">
      <alignment horizontal="center" vertical="center" wrapText="1"/>
    </xf>
    <xf numFmtId="164" fontId="2" fillId="0" borderId="4" xfId="1" applyFont="1" applyFill="1" applyBorder="1" applyAlignment="1">
      <alignment horizontal="center" vertical="center" wrapText="1"/>
    </xf>
    <xf numFmtId="16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left" vertical="center" wrapText="1"/>
    </xf>
    <xf numFmtId="1" fontId="4" fillId="5" borderId="5" xfId="0" applyNumberFormat="1" applyFont="1" applyFill="1" applyBorder="1" applyAlignment="1">
      <alignment horizontal="center" vertical="center" wrapText="1"/>
    </xf>
    <xf numFmtId="0" fontId="4" fillId="5" borderId="5" xfId="0" applyNumberFormat="1" applyFont="1" applyFill="1" applyBorder="1" applyAlignment="1">
      <alignment horizontal="center" vertical="center" wrapText="1"/>
    </xf>
    <xf numFmtId="49" fontId="4" fillId="5" borderId="5" xfId="0" applyNumberFormat="1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4" fontId="3" fillId="5" borderId="5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4" fillId="5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rogramacion" displayName="Programacion" ref="A1:AS202" totalsRowShown="0" headerRowDxfId="47" dataDxfId="46" tableBorderDxfId="45" headerRowCellStyle="Moneda" dataCellStyle="Moneda">
  <autoFilter ref="A1:AS202"/>
  <tableColumns count="45">
    <tableColumn id="1" name="CENTRO COSTO" dataDxfId="44"/>
    <tableColumn id="2" name="NOMBRE DEL SERVICIO/BIEN A REQUERIR" dataDxfId="43"/>
    <tableColumn id="3" name="RUBRO" dataDxfId="42"/>
    <tableColumn id="4" name="FUENTE DE FINANCIAMIENTO" dataDxfId="41"/>
    <tableColumn id="5" name="META" dataDxfId="40"/>
    <tableColumn id="6" name="GENÉRICA DE GASTO" dataDxfId="39" dataCellStyle="Moneda"/>
    <tableColumn id="7" name="CLASIFICADOR" dataDxfId="38"/>
    <tableColumn id="8" name="ENERO" dataDxfId="37" dataCellStyle="Moneda"/>
    <tableColumn id="21" name="DEVENGADO ENERO" dataDxfId="36" dataCellStyle="Moneda"/>
    <tableColumn id="9" name="FEBRERO" dataDxfId="35" dataCellStyle="Moneda"/>
    <tableColumn id="22" name="DEVENGADO FEBRERO" dataDxfId="34" dataCellStyle="Moneda"/>
    <tableColumn id="10" name="MARZO" dataDxfId="33" dataCellStyle="Moneda"/>
    <tableColumn id="23" name="DEVENGADO MARZO" dataDxfId="32" dataCellStyle="Moneda"/>
    <tableColumn id="11" name="ABRIL" dataDxfId="31" dataCellStyle="Moneda"/>
    <tableColumn id="24" name="DEVENGADO ABRIL" dataDxfId="30" dataCellStyle="Moneda"/>
    <tableColumn id="12" name="MAYO" dataDxfId="29" dataCellStyle="Moneda"/>
    <tableColumn id="25" name="DEVENGADO MAYO" dataDxfId="28" dataCellStyle="Moneda"/>
    <tableColumn id="13" name="JUNIO" dataDxfId="27" dataCellStyle="Moneda"/>
    <tableColumn id="26" name="DEVENGADO JUNIO" dataDxfId="26" dataCellStyle="Moneda"/>
    <tableColumn id="14" name="JULIO" dataDxfId="25" dataCellStyle="Moneda"/>
    <tableColumn id="27" name="DEVENGADO JULIO" dataDxfId="24" dataCellStyle="Moneda"/>
    <tableColumn id="15" name="AGOSTO" dataDxfId="23" dataCellStyle="Moneda"/>
    <tableColumn id="28" name="DEVENGADO AGOSTO" dataDxfId="22" dataCellStyle="Moneda"/>
    <tableColumn id="16" name="SEPTIEMBRE" dataDxfId="21" dataCellStyle="Moneda"/>
    <tableColumn id="29" name="DEVENGADO SEPTIEMBRE" dataDxfId="20" dataCellStyle="Moneda"/>
    <tableColumn id="17" name="OCTUBRE" dataDxfId="19" dataCellStyle="Moneda"/>
    <tableColumn id="30" name="DEVENGADO OCTUBRE" dataDxfId="18" dataCellStyle="Moneda"/>
    <tableColumn id="18" name="NOVIEMBRE" dataDxfId="17" dataCellStyle="Moneda"/>
    <tableColumn id="32" name="DEVENGADO NOVIEMBRE" dataDxfId="16" dataCellStyle="Moneda"/>
    <tableColumn id="19" name="DICIEMBRE" dataDxfId="15" dataCellStyle="Moneda"/>
    <tableColumn id="33" name="DEVENGADO DICIEMBRE" dataDxfId="14" dataCellStyle="Moneda"/>
    <tableColumn id="20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name="PRIMER TRIMESTRE" dataDxfId="12" dataCellStyle="Moneda">
      <calculatedColumnFormula>Programacion[[#This Row],[ENERO]]+Programacion[[#This Row],[FEBRERO]]+Programacion[[#This Row],[MARZO]]</calculatedColumnFormula>
    </tableColumn>
    <tableColumn id="43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name="SEGUNDO TRIMESTRE" dataDxfId="10" dataCellStyle="Moneda">
      <calculatedColumnFormula>Programacion[[#This Row],[ABRIL]]+Programacion[[#This Row],[MAYO]]+Programacion[[#This Row],[JUNIO]]</calculatedColumnFormula>
    </tableColumn>
    <tableColumn id="44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name="TERCER TRIMESTRE" dataDxfId="8" dataCellStyle="Moneda">
      <calculatedColumnFormula>Programacion[[#This Row],[JULIO]]+Programacion[[#This Row],[AGOSTO]]+Programacion[[#This Row],[SEPTIEMBRE]]</calculatedColumnFormula>
    </tableColumn>
    <tableColumn id="45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name="CUARTO TRIMESTRE" dataDxfId="6" dataCellStyle="Moneda">
      <calculatedColumnFormula>Programacion[[#This Row],[OCTUBRE]]+Programacion[[#This Row],[NOVIEMBRE]]+Programacion[[#This Row],[DICIEMBRE]]</calculatedColumnFormula>
    </tableColumn>
    <tableColumn id="46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02"/>
  <sheetViews>
    <sheetView tabSelected="1" zoomScale="85" zoomScaleNormal="85" workbookViewId="0">
      <selection sqref="A1:XFD1048576"/>
    </sheetView>
  </sheetViews>
  <sheetFormatPr baseColWidth="10" defaultRowHeight="14.4" x14ac:dyDescent="0.3"/>
  <cols>
    <col min="2" max="2" width="57.33203125" customWidth="1"/>
    <col min="3" max="4" width="11.5546875" customWidth="1"/>
    <col min="6" max="6" width="11.5546875" customWidth="1"/>
    <col min="8" max="8" width="11.33203125" customWidth="1"/>
  </cols>
  <sheetData>
    <row r="1" spans="1:46" ht="57.6" x14ac:dyDescent="0.3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28.8" x14ac:dyDescent="0.3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>
        <v>3000</v>
      </c>
      <c r="S2" s="17">
        <v>3000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3000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0</v>
      </c>
      <c r="AL2" s="19">
        <f>Programacion[[#This Row],[DEVENGADO JULIO]]+Programacion[[#This Row],[DEVENGADO AGOSTO]]+Programacion[[#This Row],[DEVENGADO SEPTIEMBRE]]</f>
        <v>0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3000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2" s="123"/>
    </row>
    <row r="3" spans="1:46" x14ac:dyDescent="0.3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>
        <v>1620</v>
      </c>
      <c r="S3" s="17">
        <v>1620</v>
      </c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1620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1620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23"/>
    </row>
    <row r="4" spans="1:46" ht="28.8" x14ac:dyDescent="0.3">
      <c r="A4" s="11" t="s">
        <v>45</v>
      </c>
      <c r="B4" s="12" t="s">
        <v>52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49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>
        <v>1284.5999999999999</v>
      </c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1284.5999999999999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0</v>
      </c>
      <c r="AJ4" s="19">
        <f>Programacion[[#This Row],[DEVENGADO ABRIL]]+Programacion[[#This Row],[DEVENGADO MAYO]]+Programacion[[#This Row],[DEVENGADO JUNIO]]</f>
        <v>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1284.5999999999999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1284.5999999999999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" s="123"/>
    </row>
    <row r="5" spans="1:46" ht="28.8" x14ac:dyDescent="0.3">
      <c r="A5" s="11" t="s">
        <v>45</v>
      </c>
      <c r="B5" s="12" t="s">
        <v>53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51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>
        <v>1344.6</v>
      </c>
      <c r="AE5" s="17"/>
      <c r="AF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1344.6</v>
      </c>
      <c r="AG5" s="19">
        <f>Programacion[[#This Row],[ENERO]]+Programacion[[#This Row],[FEBRERO]]+Programacion[[#This Row],[MARZO]]</f>
        <v>0</v>
      </c>
      <c r="AH5" s="19">
        <f>Programacion[[#This Row],[DEVENGADO ENERO]]+Programacion[[#This Row],[DEVENGADO FEBRERO]]+Programacion[[#This Row],[DEVENGADO MARZO]]</f>
        <v>0</v>
      </c>
      <c r="AI5" s="19">
        <f>Programacion[[#This Row],[ABRIL]]+Programacion[[#This Row],[MAYO]]+Programacion[[#This Row],[JUNIO]]</f>
        <v>0</v>
      </c>
      <c r="AJ5" s="19">
        <f>Programacion[[#This Row],[DEVENGADO ABRIL]]+Programacion[[#This Row],[DEVENGADO MAYO]]+Programacion[[#This Row],[DEVENGADO JUNIO]]</f>
        <v>0</v>
      </c>
      <c r="AK5" s="19">
        <f>Programacion[[#This Row],[JULIO]]+Programacion[[#This Row],[AGOSTO]]+Programacion[[#This Row],[SEPTIEMBRE]]</f>
        <v>0</v>
      </c>
      <c r="AL5" s="19">
        <f>Programacion[[#This Row],[DEVENGADO JULIO]]+Programacion[[#This Row],[DEVENGADO AGOSTO]]+Programacion[[#This Row],[DEVENGADO SEPTIEMBRE]]</f>
        <v>0</v>
      </c>
      <c r="AM5" s="19">
        <f>Programacion[[#This Row],[OCTUBRE]]+Programacion[[#This Row],[NOVIEMBRE]]+Programacion[[#This Row],[DICIEMBRE]]</f>
        <v>1344.6</v>
      </c>
      <c r="AN5" s="20">
        <f>Programacion[[#This Row],[DEVENGADO OCTUBRE]]+Programacion[[#This Row],[DEVENGADO NOVIEMBRE]]+Programacion[[#This Row],[DEVENGADO DICIEMBRE]]</f>
        <v>0</v>
      </c>
      <c r="AO5" s="20">
        <f>Programacion[[#This Row],[ENERO]]+Programacion[[#This Row],[FEBRERO]]+Programacion[[#This Row],[MARZO]]+Programacion[[#This Row],[ABRIL]]+Programacion[[#This Row],[MAYO]]+Programacion[[#This Row],[JUNIO]]</f>
        <v>0</v>
      </c>
      <c r="AP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" s="20">
        <f>Programacion[[#This Row],[JULIO]]+Programacion[[#This Row],[AGOSTO]]+Programacion[[#This Row],[SEPTIEMBRE]]+Programacion[[#This Row],[OCTUBRE]]+Programacion[[#This Row],[NOVIEMBRE]]+Programacion[[#This Row],[DICIEMBRE]]</f>
        <v>1344.6</v>
      </c>
      <c r="AR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" s="123"/>
    </row>
    <row r="6" spans="1:46" x14ac:dyDescent="0.3">
      <c r="A6" s="11" t="s">
        <v>45</v>
      </c>
      <c r="B6" s="12" t="s">
        <v>88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89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>
        <v>200</v>
      </c>
      <c r="S6" s="33">
        <v>200</v>
      </c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200</v>
      </c>
      <c r="AJ6" s="33">
        <f>Programacion[[#This Row],[DEVENGADO ABRIL]]+Programacion[[#This Row],[DEVENGADO MAYO]]+Programacion[[#This Row],[DEVENGADO JUNIO]]</f>
        <v>200</v>
      </c>
      <c r="AK6" s="33">
        <f>Programacion[[#This Row],[JULIO]]+Programacion[[#This Row],[AGOSTO]]+Programacion[[#This Row],[SEPTIEMBRE]]</f>
        <v>0</v>
      </c>
      <c r="AL6" s="33">
        <f>Programacion[[#This Row],[DEVENGADO JULIO]]+Programacion[[#This Row],[DEVENGADO AGOSTO]]+Programacion[[#This Row],[DEVENGADO SEPTIEMBRE]]</f>
        <v>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200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6" s="123"/>
    </row>
    <row r="7" spans="1:46" ht="28.8" x14ac:dyDescent="0.3">
      <c r="A7" s="11" t="s">
        <v>45</v>
      </c>
      <c r="B7" s="12" t="s">
        <v>245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51</v>
      </c>
      <c r="H7" s="17"/>
      <c r="I7" s="17"/>
      <c r="J7" s="17"/>
      <c r="K7" s="17"/>
      <c r="L7" s="17">
        <v>1140</v>
      </c>
      <c r="M7" s="17">
        <v>1140</v>
      </c>
      <c r="N7" s="17"/>
      <c r="O7" s="17"/>
      <c r="P7" s="17"/>
      <c r="Q7" s="17"/>
      <c r="R7" s="17">
        <v>400</v>
      </c>
      <c r="S7" s="17">
        <v>400</v>
      </c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1540</v>
      </c>
      <c r="AG7" s="19">
        <f>Programacion[[#This Row],[ENERO]]+Programacion[[#This Row],[FEBRERO]]+Programacion[[#This Row],[MARZO]]</f>
        <v>1140</v>
      </c>
      <c r="AH7" s="19">
        <f>Programacion[[#This Row],[DEVENGADO ENERO]]+Programacion[[#This Row],[DEVENGADO FEBRERO]]+Programacion[[#This Row],[DEVENGADO MARZO]]</f>
        <v>1140</v>
      </c>
      <c r="AI7" s="19">
        <f>Programacion[[#This Row],[ABRIL]]+Programacion[[#This Row],[MAYO]]+Programacion[[#This Row],[JUNIO]]</f>
        <v>400</v>
      </c>
      <c r="AJ7" s="19">
        <f>Programacion[[#This Row],[DEVENGADO ABRIL]]+Programacion[[#This Row],[DEVENGADO MAYO]]+Programacion[[#This Row],[DEVENGADO JUNIO]]</f>
        <v>400</v>
      </c>
      <c r="AK7" s="19">
        <f>Programacion[[#This Row],[JULIO]]+Programacion[[#This Row],[AGOSTO]]+Programacion[[#This Row],[SEPTIEMBRE]]</f>
        <v>0</v>
      </c>
      <c r="AL7" s="19">
        <f>Programacion[[#This Row],[DEVENGADO JULIO]]+Programacion[[#This Row],[DEVENGADO AGOSTO]]+Programacion[[#This Row],[DEVENGADO SEPTIEMBRE]]</f>
        <v>0</v>
      </c>
      <c r="AM7" s="19">
        <f>Programacion[[#This Row],[OCTUBRE]]+Programacion[[#This Row],[NOVIEMBRE]]+Programacion[[#This Row],[DICIEMBRE]]</f>
        <v>0</v>
      </c>
      <c r="AN7" s="20">
        <f>Programacion[[#This Row],[DEVENGADO OCTUBRE]]+Programacion[[#This Row],[DEVENGADO NOVIEMBRE]]+Programacion[[#This Row],[DEVENGADO DICIEMBRE]]</f>
        <v>0</v>
      </c>
      <c r="AO7" s="20">
        <f>Programacion[[#This Row],[ENERO]]+Programacion[[#This Row],[FEBRERO]]+Programacion[[#This Row],[MARZO]]+Programacion[[#This Row],[ABRIL]]+Programacion[[#This Row],[MAYO]]+Programacion[[#This Row],[JUNIO]]</f>
        <v>1540</v>
      </c>
      <c r="AP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1540</v>
      </c>
      <c r="AQ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1540</v>
      </c>
      <c r="AT7" s="123"/>
    </row>
    <row r="8" spans="1:46" x14ac:dyDescent="0.3">
      <c r="A8" s="11" t="s">
        <v>45</v>
      </c>
      <c r="B8" s="12" t="s">
        <v>253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200</v>
      </c>
      <c r="U8" s="33">
        <v>100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200</v>
      </c>
      <c r="AL8" s="33">
        <f>Programacion[[#This Row],[DEVENGADO JULIO]]+Programacion[[#This Row],[DEVENGADO AGOSTO]]+Programacion[[#This Row],[DEVENGADO SEPTIEMBRE]]</f>
        <v>100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8" s="123"/>
    </row>
    <row r="9" spans="1:46" ht="28.8" x14ac:dyDescent="0.3">
      <c r="A9" s="11" t="s">
        <v>45</v>
      </c>
      <c r="B9" s="12" t="s">
        <v>258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>
        <v>800</v>
      </c>
      <c r="U9" s="33">
        <v>800</v>
      </c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9" s="33">
        <f>Programacion[[#This Row],[ENERO]]+Programacion[[#This Row],[FEBRERO]]+Programacion[[#This Row],[MARZO]]</f>
        <v>0</v>
      </c>
      <c r="AH9" s="33">
        <f>Programacion[[#This Row],[DEVENGADO ENERO]]+Programacion[[#This Row],[DEVENGADO FEBRERO]]+Programacion[[#This Row],[DEVENGADO MARZO]]</f>
        <v>0</v>
      </c>
      <c r="AI9" s="33">
        <f>Programacion[[#This Row],[ABRIL]]+Programacion[[#This Row],[MAYO]]+Programacion[[#This Row],[JUNIO]]</f>
        <v>0</v>
      </c>
      <c r="AJ9" s="33">
        <f>Programacion[[#This Row],[DEVENGADO ABRIL]]+Programacion[[#This Row],[DEVENGADO MAYO]]+Programacion[[#This Row],[DEVENGADO JUNIO]]</f>
        <v>0</v>
      </c>
      <c r="AK9" s="33">
        <f>Programacion[[#This Row],[JULIO]]+Programacion[[#This Row],[AGOSTO]]+Programacion[[#This Row],[SEPTIEMBRE]]</f>
        <v>800</v>
      </c>
      <c r="AL9" s="33">
        <f>Programacion[[#This Row],[DEVENGADO JULIO]]+Programacion[[#This Row],[DEVENGADO AGOSTO]]+Programacion[[#This Row],[DEVENGADO SEPTIEMBRE]]</f>
        <v>800</v>
      </c>
      <c r="AM9" s="33">
        <f>Programacion[[#This Row],[OCTUBRE]]+Programacion[[#This Row],[NOVIEMBRE]]+Programacion[[#This Row],[DICIEMBRE]]</f>
        <v>0</v>
      </c>
      <c r="AN9" s="21">
        <f>Programacion[[#This Row],[DEVENGADO OCTUBRE]]+Programacion[[#This Row],[DEVENGADO NOVIEMBRE]]+Programacion[[#This Row],[DEVENGADO DICIEMBRE]]</f>
        <v>0</v>
      </c>
      <c r="AO9" s="21">
        <f>Programacion[[#This Row],[ENERO]]+Programacion[[#This Row],[FEBRERO]]+Programacion[[#This Row],[MARZO]]+Programacion[[#This Row],[ABRIL]]+Programacion[[#This Row],[MAYO]]+Programacion[[#This Row],[JUNIO]]</f>
        <v>0</v>
      </c>
      <c r="AP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9" s="123"/>
    </row>
    <row r="10" spans="1:46" x14ac:dyDescent="0.3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>
        <v>540</v>
      </c>
      <c r="U10" s="33">
        <v>540</v>
      </c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0" s="33">
        <f>Programacion[[#This Row],[ENERO]]+Programacion[[#This Row],[FEBRERO]]+Programacion[[#This Row],[MARZO]]</f>
        <v>0</v>
      </c>
      <c r="AH10" s="33">
        <f>Programacion[[#This Row],[DEVENGADO ENERO]]+Programacion[[#This Row],[DEVENGADO FEBRERO]]+Programacion[[#This Row],[DEVENGADO MARZO]]</f>
        <v>0</v>
      </c>
      <c r="AI10" s="33">
        <f>Programacion[[#This Row],[ABRIL]]+Programacion[[#This Row],[MAYO]]+Programacion[[#This Row],[JUNIO]]</f>
        <v>0</v>
      </c>
      <c r="AJ10" s="33">
        <f>Programacion[[#This Row],[DEVENGADO ABRIL]]+Programacion[[#This Row],[DEVENGADO MAYO]]+Programacion[[#This Row],[DEVENGADO JUNIO]]</f>
        <v>0</v>
      </c>
      <c r="AK10" s="33">
        <f>Programacion[[#This Row],[JULIO]]+Programacion[[#This Row],[AGOSTO]]+Programacion[[#This Row],[SEPTIEMBRE]]</f>
        <v>540</v>
      </c>
      <c r="AL10" s="33">
        <f>Programacion[[#This Row],[DEVENGADO JULIO]]+Programacion[[#This Row],[DEVENGADO AGOSTO]]+Programacion[[#This Row],[DEVENGADO SEPTIEMBRE]]</f>
        <v>540</v>
      </c>
      <c r="AM10" s="33">
        <f>Programacion[[#This Row],[OCTUBRE]]+Programacion[[#This Row],[NOVIEMBRE]]+Programacion[[#This Row],[DICIEMBRE]]</f>
        <v>0</v>
      </c>
      <c r="AN10" s="21">
        <f>Programacion[[#This Row],[DEVENGADO OCTUBRE]]+Programacion[[#This Row],[DEVENGADO NOVIEMBRE]]+Programacion[[#This Row],[DEVENGADO DICIEMBRE]]</f>
        <v>0</v>
      </c>
      <c r="AO10" s="21">
        <f>Programacion[[#This Row],[ENERO]]+Programacion[[#This Row],[FEBRERO]]+Programacion[[#This Row],[MARZO]]+Programacion[[#This Row],[ABRIL]]+Programacion[[#This Row],[MAYO]]+Programacion[[#This Row],[JUNIO]]</f>
        <v>0</v>
      </c>
      <c r="AP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0" s="123"/>
    </row>
    <row r="11" spans="1:46" ht="28.8" x14ac:dyDescent="0.3">
      <c r="A11" s="11" t="s">
        <v>45</v>
      </c>
      <c r="B11" s="12" t="s">
        <v>54</v>
      </c>
      <c r="C11" s="13" t="s">
        <v>47</v>
      </c>
      <c r="D11" s="14" t="s">
        <v>48</v>
      </c>
      <c r="E11" s="15">
        <v>39</v>
      </c>
      <c r="F11" s="16">
        <v>2.2999999999999998</v>
      </c>
      <c r="G11" s="14" t="s">
        <v>49</v>
      </c>
      <c r="H11" s="17"/>
      <c r="I11" s="17"/>
      <c r="J11" s="17"/>
      <c r="K11" s="17"/>
      <c r="L11" s="17"/>
      <c r="M11" s="17"/>
      <c r="N11" s="17"/>
      <c r="O11" s="17"/>
      <c r="P11" s="17">
        <v>1600</v>
      </c>
      <c r="Q11" s="17">
        <v>1882.26</v>
      </c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1" s="17">
        <f>Programacion[[#This Row],[ENERO]]+Programacion[[#This Row],[FEBRERO]]+Programacion[[#This Row],[MARZO]]</f>
        <v>0</v>
      </c>
      <c r="AH11" s="17">
        <f>Programacion[[#This Row],[DEVENGADO ENERO]]+Programacion[[#This Row],[DEVENGADO FEBRERO]]+Programacion[[#This Row],[DEVENGADO MARZO]]</f>
        <v>0</v>
      </c>
      <c r="AI11" s="17">
        <f>Programacion[[#This Row],[ABRIL]]+Programacion[[#This Row],[MAYO]]+Programacion[[#This Row],[JUNIO]]</f>
        <v>1600</v>
      </c>
      <c r="AJ11" s="17">
        <f>Programacion[[#This Row],[DEVENGADO ABRIL]]+Programacion[[#This Row],[DEVENGADO MAYO]]+Programacion[[#This Row],[DEVENGADO JUNIO]]</f>
        <v>1882.26</v>
      </c>
      <c r="AK11" s="17">
        <f>Programacion[[#This Row],[JULIO]]+Programacion[[#This Row],[AGOSTO]]+Programacion[[#This Row],[SEPTIEMBRE]]</f>
        <v>0</v>
      </c>
      <c r="AL11" s="17">
        <f>Programacion[[#This Row],[DEVENGADO JULIO]]+Programacion[[#This Row],[DEVENGADO AGOSTO]]+Programacion[[#This Row],[DEVENGADO SEPTIEMBRE]]</f>
        <v>0</v>
      </c>
      <c r="AM11" s="17">
        <f>Programacion[[#This Row],[OCTUBRE]]+Programacion[[#This Row],[NOVIEMBRE]]+Programacion[[#This Row],[DICIEMBRE]]</f>
        <v>0</v>
      </c>
      <c r="AN11" s="17">
        <f>Programacion[[#This Row],[DEVENGADO OCTUBRE]]+Programacion[[#This Row],[DEVENGADO NOVIEMBRE]]+Programacion[[#This Row],[DEVENGADO DICIEMBRE]]</f>
        <v>0</v>
      </c>
      <c r="AO11" s="17">
        <f>Programacion[[#This Row],[ENERO]]+Programacion[[#This Row],[FEBRERO]]+Programacion[[#This Row],[MARZO]]+Programacion[[#This Row],[ABRIL]]+Programacion[[#This Row],[MAYO]]+Programacion[[#This Row],[JUNIO]]</f>
        <v>1600</v>
      </c>
      <c r="AP11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1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1" s="123"/>
    </row>
    <row r="12" spans="1:46" x14ac:dyDescent="0.3">
      <c r="A12" s="11" t="s">
        <v>45</v>
      </c>
      <c r="B12" s="12" t="s">
        <v>50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51</v>
      </c>
      <c r="H12" s="17"/>
      <c r="I12" s="17"/>
      <c r="J12" s="17"/>
      <c r="K12" s="17"/>
      <c r="L12" s="17"/>
      <c r="M12" s="17"/>
      <c r="N12" s="17"/>
      <c r="O12" s="17"/>
      <c r="P12" s="17">
        <v>1080</v>
      </c>
      <c r="Q12" s="17">
        <v>1080</v>
      </c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1080</v>
      </c>
      <c r="AJ12" s="17">
        <f>Programacion[[#This Row],[DEVENGADO ABRIL]]+Programacion[[#This Row],[DEVENGADO MAYO]]+Programacion[[#This Row],[DEVENGADO JUNIO]]</f>
        <v>1080</v>
      </c>
      <c r="AK12" s="17">
        <f>Programacion[[#This Row],[JULIO]]+Programacion[[#This Row],[AGOSTO]]+Programacion[[#This Row],[SEPTIEMBRE]]</f>
        <v>0</v>
      </c>
      <c r="AL12" s="17">
        <f>Programacion[[#This Row],[DEVENGADO JULIO]]+Programacion[[#This Row],[DEVENGADO AGOSTO]]+Programacion[[#This Row],[DEVENGADO SEPTIEMBRE]]</f>
        <v>0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1080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2" s="123"/>
    </row>
    <row r="13" spans="1:46" ht="28.8" x14ac:dyDescent="0.3">
      <c r="A13" s="11" t="s">
        <v>45</v>
      </c>
      <c r="B13" s="12" t="s">
        <v>55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49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>
        <v>2400</v>
      </c>
      <c r="W13" s="17"/>
      <c r="X13" s="17"/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2400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23"/>
    </row>
    <row r="14" spans="1:46" x14ac:dyDescent="0.3">
      <c r="A14" s="11" t="s">
        <v>45</v>
      </c>
      <c r="B14" s="12" t="s">
        <v>50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51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>
        <v>1620</v>
      </c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0</v>
      </c>
      <c r="AJ14" s="17">
        <f>Programacion[[#This Row],[DEVENGADO ABRIL]]+Programacion[[#This Row],[DEVENGADO MAYO]]+Programacion[[#This Row],[DEVENGADO JUNIO]]</f>
        <v>0</v>
      </c>
      <c r="AK14" s="17">
        <f>Programacion[[#This Row],[JULIO]]+Programacion[[#This Row],[AGOSTO]]+Programacion[[#This Row],[SEPTIEMBRE]]</f>
        <v>1620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" s="123"/>
    </row>
    <row r="15" spans="1:46" ht="28.8" x14ac:dyDescent="0.3">
      <c r="A15" s="11" t="s">
        <v>45</v>
      </c>
      <c r="B15" s="12" t="s">
        <v>56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49</v>
      </c>
      <c r="H15" s="17"/>
      <c r="I15" s="17"/>
      <c r="J15" s="17"/>
      <c r="K15" s="17"/>
      <c r="L15" s="17"/>
      <c r="M15" s="17"/>
      <c r="N15" s="17"/>
      <c r="O15" s="17"/>
      <c r="P15" s="17">
        <v>1600</v>
      </c>
      <c r="Q15" s="17">
        <v>2247.67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1600</v>
      </c>
      <c r="AJ15" s="17">
        <f>Programacion[[#This Row],[DEVENGADO ABRIL]]+Programacion[[#This Row],[DEVENGADO MAYO]]+Programacion[[#This Row],[DEVENGADO JUNIO]]</f>
        <v>2247.67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1600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5" s="123"/>
    </row>
    <row r="16" spans="1:46" x14ac:dyDescent="0.3">
      <c r="A16" s="11" t="s">
        <v>45</v>
      </c>
      <c r="B16" s="12" t="s">
        <v>50</v>
      </c>
      <c r="C16" s="13" t="s">
        <v>47</v>
      </c>
      <c r="D16" s="14" t="s">
        <v>48</v>
      </c>
      <c r="E16" s="15">
        <v>39</v>
      </c>
      <c r="F16" s="16">
        <v>2.2999999999999998</v>
      </c>
      <c r="G16" s="14" t="s">
        <v>51</v>
      </c>
      <c r="H16" s="17"/>
      <c r="I16" s="17"/>
      <c r="J16" s="17"/>
      <c r="K16" s="17"/>
      <c r="L16" s="17"/>
      <c r="M16" s="17"/>
      <c r="N16" s="17"/>
      <c r="O16" s="17"/>
      <c r="P16" s="17">
        <v>1080</v>
      </c>
      <c r="Q16" s="17">
        <v>1080</v>
      </c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6" s="17">
        <f>Programacion[[#This Row],[ENERO]]+Programacion[[#This Row],[FEBRERO]]+Programacion[[#This Row],[MARZO]]</f>
        <v>0</v>
      </c>
      <c r="AH16" s="17">
        <f>Programacion[[#This Row],[DEVENGADO ENERO]]+Programacion[[#This Row],[DEVENGADO FEBRERO]]+Programacion[[#This Row],[DEVENGADO MARZO]]</f>
        <v>0</v>
      </c>
      <c r="AI16" s="17">
        <f>Programacion[[#This Row],[ABRIL]]+Programacion[[#This Row],[MAYO]]+Programacion[[#This Row],[JUNIO]]</f>
        <v>1080</v>
      </c>
      <c r="AJ16" s="17">
        <f>Programacion[[#This Row],[DEVENGADO ABRIL]]+Programacion[[#This Row],[DEVENGADO MAYO]]+Programacion[[#This Row],[DEVENGADO JUNIO]]</f>
        <v>1080</v>
      </c>
      <c r="AK16" s="17">
        <f>Programacion[[#This Row],[JULIO]]+Programacion[[#This Row],[AGOSTO]]+Programacion[[#This Row],[SEPTIEMBRE]]</f>
        <v>0</v>
      </c>
      <c r="AL16" s="17">
        <f>Programacion[[#This Row],[DEVENGADO JULIO]]+Programacion[[#This Row],[DEVENGADO AGOSTO]]+Programacion[[#This Row],[DEVENGADO SEPTIEMBRE]]</f>
        <v>0</v>
      </c>
      <c r="AM16" s="17">
        <f>Programacion[[#This Row],[OCTUBRE]]+Programacion[[#This Row],[NOVIEMBRE]]+Programacion[[#This Row],[DICIEMBRE]]</f>
        <v>0</v>
      </c>
      <c r="AN16" s="17">
        <f>Programacion[[#This Row],[DEVENGADO OCTUBRE]]+Programacion[[#This Row],[DEVENGADO NOVIEMBRE]]+Programacion[[#This Row],[DEVENGADO DICIEMBRE]]</f>
        <v>0</v>
      </c>
      <c r="AO16" s="17">
        <f>Programacion[[#This Row],[ENERO]]+Programacion[[#This Row],[FEBRERO]]+Programacion[[#This Row],[MARZO]]+Programacion[[#This Row],[ABRIL]]+Programacion[[#This Row],[MAYO]]+Programacion[[#This Row],[JUNIO]]</f>
        <v>1080</v>
      </c>
      <c r="AP16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6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6" s="123"/>
    </row>
    <row r="17" spans="1:46" ht="28.8" x14ac:dyDescent="0.3">
      <c r="A17" s="11" t="s">
        <v>45</v>
      </c>
      <c r="B17" s="12" t="s">
        <v>57</v>
      </c>
      <c r="C17" s="13" t="s">
        <v>58</v>
      </c>
      <c r="D17" s="14" t="s">
        <v>48</v>
      </c>
      <c r="E17" s="15">
        <v>39</v>
      </c>
      <c r="F17" s="16">
        <v>2.2999999999999998</v>
      </c>
      <c r="G17" s="14" t="s">
        <v>59</v>
      </c>
      <c r="H17" s="17"/>
      <c r="I17" s="17"/>
      <c r="J17" s="17">
        <v>5000</v>
      </c>
      <c r="K17" s="17">
        <v>5000</v>
      </c>
      <c r="L17" s="17">
        <v>5000</v>
      </c>
      <c r="M17" s="17">
        <v>5000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" s="19">
        <f>Programacion[[#This Row],[ENERO]]+Programacion[[#This Row],[FEBRERO]]+Programacion[[#This Row],[MARZO]]</f>
        <v>10000</v>
      </c>
      <c r="AH17" s="19">
        <f>Programacion[[#This Row],[DEVENGADO ENERO]]+Programacion[[#This Row],[DEVENGADO FEBRERO]]+Programacion[[#This Row],[DEVENGADO MARZO]]</f>
        <v>10000</v>
      </c>
      <c r="AI17" s="19">
        <f>Programacion[[#This Row],[ABRIL]]+Programacion[[#This Row],[MAYO]]+Programacion[[#This Row],[JUNIO]]</f>
        <v>0</v>
      </c>
      <c r="AJ17" s="19">
        <f>Programacion[[#This Row],[DEVENGADO ABRIL]]+Programacion[[#This Row],[DEVENGADO MAYO]]+Programacion[[#This Row],[DEVENGADO JUNIO]]</f>
        <v>0</v>
      </c>
      <c r="AK17" s="19">
        <f>Programacion[[#This Row],[JULIO]]+Programacion[[#This Row],[AGOSTO]]+Programacion[[#This Row],[SEPTIEMBRE]]</f>
        <v>0</v>
      </c>
      <c r="AL17" s="19">
        <f>Programacion[[#This Row],[DEVENGADO JULIO]]+Programacion[[#This Row],[DEVENGADO AGOSTO]]+Programacion[[#This Row],[DEVENGADO SEPTIEMBRE]]</f>
        <v>0</v>
      </c>
      <c r="AM17" s="19">
        <f>Programacion[[#This Row],[OCTUBRE]]+Programacion[[#This Row],[NOVIEMBRE]]+Programacion[[#This Row],[DICIEMBRE]]</f>
        <v>0</v>
      </c>
      <c r="AN17" s="20">
        <f>Programacion[[#This Row],[DEVENGADO OCTUBRE]]+Programacion[[#This Row],[DEVENGADO NOVIEMBRE]]+Programacion[[#This Row],[DEVENGADO DICIEMBRE]]</f>
        <v>0</v>
      </c>
      <c r="AO17" s="20">
        <f>Programacion[[#This Row],[ENERO]]+Programacion[[#This Row],[FEBRERO]]+Programacion[[#This Row],[MARZO]]+Programacion[[#This Row],[ABRIL]]+Programacion[[#This Row],[MAYO]]+Programacion[[#This Row],[JUNIO]]</f>
        <v>10000</v>
      </c>
      <c r="AP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" s="123"/>
    </row>
    <row r="18" spans="1:46" ht="28.8" x14ac:dyDescent="0.3">
      <c r="A18" s="11" t="s">
        <v>45</v>
      </c>
      <c r="B18" s="12" t="s">
        <v>57</v>
      </c>
      <c r="C18" s="13" t="s">
        <v>58</v>
      </c>
      <c r="D18" s="14" t="s">
        <v>48</v>
      </c>
      <c r="E18" s="15">
        <v>3</v>
      </c>
      <c r="F18" s="16">
        <v>2.2999999999999998</v>
      </c>
      <c r="G18" s="14" t="s">
        <v>59</v>
      </c>
      <c r="H18" s="17"/>
      <c r="I18" s="17"/>
      <c r="J18" s="17"/>
      <c r="K18" s="17"/>
      <c r="L18" s="17"/>
      <c r="M18" s="17"/>
      <c r="N18" s="17">
        <v>5000</v>
      </c>
      <c r="O18" s="17">
        <v>5000</v>
      </c>
      <c r="P18" s="17">
        <v>5000</v>
      </c>
      <c r="Q18" s="17">
        <v>5000</v>
      </c>
      <c r="R18" s="17">
        <v>10000</v>
      </c>
      <c r="S18" s="17">
        <v>10000</v>
      </c>
      <c r="T18" s="17">
        <v>5000</v>
      </c>
      <c r="U18" s="17">
        <v>5000</v>
      </c>
      <c r="V18" s="17">
        <v>5000</v>
      </c>
      <c r="W18" s="17"/>
      <c r="X18" s="17">
        <v>5000</v>
      </c>
      <c r="Y18" s="17"/>
      <c r="Z18" s="17">
        <v>5000</v>
      </c>
      <c r="AA18" s="17"/>
      <c r="AB18" s="17"/>
      <c r="AC18" s="17"/>
      <c r="AD18" s="17"/>
      <c r="AE18" s="17"/>
      <c r="AF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8" s="19">
        <f>Programacion[[#This Row],[ENERO]]+Programacion[[#This Row],[FEBRERO]]+Programacion[[#This Row],[MARZO]]</f>
        <v>0</v>
      </c>
      <c r="AH18" s="19">
        <f>Programacion[[#This Row],[DEVENGADO ENERO]]+Programacion[[#This Row],[DEVENGADO FEBRERO]]+Programacion[[#This Row],[DEVENGADO MARZO]]</f>
        <v>0</v>
      </c>
      <c r="AI18" s="19">
        <f>Programacion[[#This Row],[ABRIL]]+Programacion[[#This Row],[MAYO]]+Programacion[[#This Row],[JUNIO]]</f>
        <v>20000</v>
      </c>
      <c r="AJ18" s="19">
        <f>Programacion[[#This Row],[DEVENGADO ABRIL]]+Programacion[[#This Row],[DEVENGADO MAYO]]+Programacion[[#This Row],[DEVENGADO JUNIO]]</f>
        <v>20000</v>
      </c>
      <c r="AK18" s="19">
        <f>Programacion[[#This Row],[JULIO]]+Programacion[[#This Row],[AGOSTO]]+Programacion[[#This Row],[SEPTIEMBRE]]</f>
        <v>15000</v>
      </c>
      <c r="AL18" s="19">
        <f>Programacion[[#This Row],[DEVENGADO JULIO]]+Programacion[[#This Row],[DEVENGADO AGOSTO]]+Programacion[[#This Row],[DEVENGADO SEPTIEMBRE]]</f>
        <v>5000</v>
      </c>
      <c r="AM18" s="19">
        <f>Programacion[[#This Row],[OCTUBRE]]+Programacion[[#This Row],[NOVIEMBRE]]+Programacion[[#This Row],[DICIEMBRE]]</f>
        <v>5000</v>
      </c>
      <c r="AN18" s="20">
        <f>Programacion[[#This Row],[DEVENGADO OCTUBRE]]+Programacion[[#This Row],[DEVENGADO NOVIEMBRE]]+Programacion[[#This Row],[DEVENGADO DICIEMBRE]]</f>
        <v>0</v>
      </c>
      <c r="AO18" s="20">
        <f>Programacion[[#This Row],[ENERO]]+Programacion[[#This Row],[FEBRERO]]+Programacion[[#This Row],[MARZO]]+Programacion[[#This Row],[ABRIL]]+Programacion[[#This Row],[MAYO]]+Programacion[[#This Row],[JUNIO]]</f>
        <v>20000</v>
      </c>
      <c r="AP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8" s="123"/>
    </row>
    <row r="19" spans="1:46" x14ac:dyDescent="0.3">
      <c r="A19" s="11" t="s">
        <v>45</v>
      </c>
      <c r="B19" s="12" t="s">
        <v>60</v>
      </c>
      <c r="C19" s="13" t="s">
        <v>58</v>
      </c>
      <c r="D19" s="14" t="s">
        <v>48</v>
      </c>
      <c r="E19" s="15">
        <v>39</v>
      </c>
      <c r="F19" s="16">
        <v>2.2999999999999998</v>
      </c>
      <c r="G19" s="14" t="s">
        <v>59</v>
      </c>
      <c r="H19" s="17"/>
      <c r="I19" s="17"/>
      <c r="J19" s="17">
        <v>5760</v>
      </c>
      <c r="K19" s="17">
        <v>5760</v>
      </c>
      <c r="L19" s="17">
        <v>5760</v>
      </c>
      <c r="M19" s="17">
        <v>5760</v>
      </c>
      <c r="N19" s="17">
        <v>5760</v>
      </c>
      <c r="O19" s="17">
        <v>5760</v>
      </c>
      <c r="P19" s="17">
        <v>12240</v>
      </c>
      <c r="Q19" s="17">
        <v>12240</v>
      </c>
      <c r="R19" s="17">
        <v>6480</v>
      </c>
      <c r="S19" s="17">
        <v>6480</v>
      </c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19" s="19">
        <f>Programacion[[#This Row],[ENERO]]+Programacion[[#This Row],[FEBRERO]]+Programacion[[#This Row],[MARZO]]</f>
        <v>11520</v>
      </c>
      <c r="AH19" s="19">
        <f>Programacion[[#This Row],[DEVENGADO ENERO]]+Programacion[[#This Row],[DEVENGADO FEBRERO]]+Programacion[[#This Row],[DEVENGADO MARZO]]</f>
        <v>11520</v>
      </c>
      <c r="AI19" s="19">
        <f>Programacion[[#This Row],[ABRIL]]+Programacion[[#This Row],[MAYO]]+Programacion[[#This Row],[JUNIO]]</f>
        <v>24480</v>
      </c>
      <c r="AJ19" s="19">
        <f>Programacion[[#This Row],[DEVENGADO ABRIL]]+Programacion[[#This Row],[DEVENGADO MAYO]]+Programacion[[#This Row],[DEVENGADO JUNIO]]</f>
        <v>24480</v>
      </c>
      <c r="AK19" s="19">
        <f>Programacion[[#This Row],[JULIO]]+Programacion[[#This Row],[AGOSTO]]+Programacion[[#This Row],[SEPTIEMBRE]]</f>
        <v>0</v>
      </c>
      <c r="AL19" s="19">
        <f>Programacion[[#This Row],[DEVENGADO JULIO]]+Programacion[[#This Row],[DEVENGADO AGOSTO]]+Programacion[[#This Row],[DEVENGADO SEPTIEMBRE]]</f>
        <v>0</v>
      </c>
      <c r="AM19" s="19">
        <f>Programacion[[#This Row],[OCTUBRE]]+Programacion[[#This Row],[NOVIEMBRE]]+Programacion[[#This Row],[DICIEMBRE]]</f>
        <v>0</v>
      </c>
      <c r="AN19" s="20">
        <f>Programacion[[#This Row],[DEVENGADO OCTUBRE]]+Programacion[[#This Row],[DEVENGADO NOVIEMBRE]]+Programacion[[#This Row],[DEVENGADO DICIEMBRE]]</f>
        <v>0</v>
      </c>
      <c r="AO19" s="20">
        <f>Programacion[[#This Row],[ENERO]]+Programacion[[#This Row],[FEBRERO]]+Programacion[[#This Row],[MARZO]]+Programacion[[#This Row],[ABRIL]]+Programacion[[#This Row],[MAYO]]+Programacion[[#This Row],[JUNIO]]</f>
        <v>36000</v>
      </c>
      <c r="AP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1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19" s="123"/>
    </row>
    <row r="20" spans="1:46" x14ac:dyDescent="0.3">
      <c r="A20" s="11" t="s">
        <v>45</v>
      </c>
      <c r="B20" s="12" t="s">
        <v>61</v>
      </c>
      <c r="C20" s="13" t="s">
        <v>58</v>
      </c>
      <c r="D20" s="14" t="s">
        <v>48</v>
      </c>
      <c r="E20" s="15">
        <v>3</v>
      </c>
      <c r="F20" s="16">
        <v>2.2999999999999998</v>
      </c>
      <c r="G20" s="14" t="s">
        <v>59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>
        <v>6000</v>
      </c>
      <c r="U20" s="17"/>
      <c r="V20" s="17">
        <v>6000</v>
      </c>
      <c r="W20" s="17"/>
      <c r="X20" s="17">
        <v>6000</v>
      </c>
      <c r="Y20" s="17"/>
      <c r="Z20" s="17">
        <v>6000</v>
      </c>
      <c r="AA20" s="17"/>
      <c r="AB20" s="17">
        <v>6000</v>
      </c>
      <c r="AC20" s="17"/>
      <c r="AD20" s="17">
        <v>6000</v>
      </c>
      <c r="AE20" s="17"/>
      <c r="AF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0" s="19">
        <f>Programacion[[#This Row],[ENERO]]+Programacion[[#This Row],[FEBRERO]]+Programacion[[#This Row],[MARZO]]</f>
        <v>0</v>
      </c>
      <c r="AH20" s="19">
        <f>Programacion[[#This Row],[DEVENGADO ENERO]]+Programacion[[#This Row],[DEVENGADO FEBRERO]]+Programacion[[#This Row],[DEVENGADO MARZO]]</f>
        <v>0</v>
      </c>
      <c r="AI20" s="19">
        <f>Programacion[[#This Row],[ABRIL]]+Programacion[[#This Row],[MAYO]]+Programacion[[#This Row],[JUNIO]]</f>
        <v>0</v>
      </c>
      <c r="AJ20" s="19">
        <f>Programacion[[#This Row],[DEVENGADO ABRIL]]+Programacion[[#This Row],[DEVENGADO MAYO]]+Programacion[[#This Row],[DEVENGADO JUNIO]]</f>
        <v>0</v>
      </c>
      <c r="AK20" s="19">
        <f>Programacion[[#This Row],[JULIO]]+Programacion[[#This Row],[AGOSTO]]+Programacion[[#This Row],[SEPTIEMBRE]]</f>
        <v>18000</v>
      </c>
      <c r="AL20" s="19">
        <f>Programacion[[#This Row],[DEVENGADO JULIO]]+Programacion[[#This Row],[DEVENGADO AGOSTO]]+Programacion[[#This Row],[DEVENGADO SEPTIEMBRE]]</f>
        <v>0</v>
      </c>
      <c r="AM20" s="19">
        <f>Programacion[[#This Row],[OCTUBRE]]+Programacion[[#This Row],[NOVIEMBRE]]+Programacion[[#This Row],[DICIEMBRE]]</f>
        <v>18000</v>
      </c>
      <c r="AN20" s="20">
        <f>Programacion[[#This Row],[DEVENGADO OCTUBRE]]+Programacion[[#This Row],[DEVENGADO NOVIEMBRE]]+Programacion[[#This Row],[DEVENGADO DICIEMBRE]]</f>
        <v>0</v>
      </c>
      <c r="AO20" s="20">
        <f>Programacion[[#This Row],[ENERO]]+Programacion[[#This Row],[FEBRERO]]+Programacion[[#This Row],[MARZO]]+Programacion[[#This Row],[ABRIL]]+Programacion[[#This Row],[MAYO]]+Programacion[[#This Row],[JUNIO]]</f>
        <v>0</v>
      </c>
      <c r="AP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23"/>
    </row>
    <row r="21" spans="1:46" x14ac:dyDescent="0.3">
      <c r="A21" s="11" t="s">
        <v>45</v>
      </c>
      <c r="B21" s="12" t="s">
        <v>62</v>
      </c>
      <c r="C21" s="13" t="s">
        <v>58</v>
      </c>
      <c r="D21" s="14" t="s">
        <v>48</v>
      </c>
      <c r="E21" s="15">
        <v>39</v>
      </c>
      <c r="F21" s="16">
        <v>2.2999999999999998</v>
      </c>
      <c r="G21" s="14" t="s">
        <v>59</v>
      </c>
      <c r="H21" s="17"/>
      <c r="I21" s="17"/>
      <c r="J21" s="17">
        <v>4320</v>
      </c>
      <c r="K21" s="17">
        <v>4320</v>
      </c>
      <c r="L21" s="17">
        <v>4320</v>
      </c>
      <c r="M21" s="17">
        <v>4320</v>
      </c>
      <c r="N21" s="17">
        <v>4320</v>
      </c>
      <c r="O21" s="17">
        <v>4320</v>
      </c>
      <c r="P21" s="17">
        <v>9180</v>
      </c>
      <c r="Q21" s="17">
        <v>9180</v>
      </c>
      <c r="R21" s="17">
        <v>4860</v>
      </c>
      <c r="S21" s="17">
        <v>4860</v>
      </c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1" s="19">
        <f>Programacion[[#This Row],[ENERO]]+Programacion[[#This Row],[FEBRERO]]+Programacion[[#This Row],[MARZO]]</f>
        <v>8640</v>
      </c>
      <c r="AH21" s="19">
        <f>Programacion[[#This Row],[DEVENGADO ENERO]]+Programacion[[#This Row],[DEVENGADO FEBRERO]]+Programacion[[#This Row],[DEVENGADO MARZO]]</f>
        <v>8640</v>
      </c>
      <c r="AI21" s="19">
        <f>Programacion[[#This Row],[ABRIL]]+Programacion[[#This Row],[MAYO]]+Programacion[[#This Row],[JUNIO]]</f>
        <v>18360</v>
      </c>
      <c r="AJ21" s="19">
        <f>Programacion[[#This Row],[DEVENGADO ABRIL]]+Programacion[[#This Row],[DEVENGADO MAYO]]+Programacion[[#This Row],[DEVENGADO JUNIO]]</f>
        <v>18360</v>
      </c>
      <c r="AK21" s="19">
        <f>Programacion[[#This Row],[JULIO]]+Programacion[[#This Row],[AGOSTO]]+Programacion[[#This Row],[SEPTIEMBRE]]</f>
        <v>0</v>
      </c>
      <c r="AL21" s="19">
        <f>Programacion[[#This Row],[DEVENGADO JULIO]]+Programacion[[#This Row],[DEVENGADO AGOSTO]]+Programacion[[#This Row],[DEVENGADO SEPTIEMBRE]]</f>
        <v>0</v>
      </c>
      <c r="AM21" s="19">
        <f>Programacion[[#This Row],[OCTUBRE]]+Programacion[[#This Row],[NOVIEMBRE]]+Programacion[[#This Row],[DICIEMBRE]]</f>
        <v>0</v>
      </c>
      <c r="AN21" s="20">
        <f>Programacion[[#This Row],[DEVENGADO OCTUBRE]]+Programacion[[#This Row],[DEVENGADO NOVIEMBRE]]+Programacion[[#This Row],[DEVENGADO DICIEMBRE]]</f>
        <v>0</v>
      </c>
      <c r="AO21" s="20">
        <f>Programacion[[#This Row],[ENERO]]+Programacion[[#This Row],[FEBRERO]]+Programacion[[#This Row],[MARZO]]+Programacion[[#This Row],[ABRIL]]+Programacion[[#This Row],[MAYO]]+Programacion[[#This Row],[JUNIO]]</f>
        <v>27000</v>
      </c>
      <c r="AP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1" s="123"/>
    </row>
    <row r="22" spans="1:46" ht="28.8" x14ac:dyDescent="0.3">
      <c r="A22" s="11" t="s">
        <v>45</v>
      </c>
      <c r="B22" s="12" t="s">
        <v>63</v>
      </c>
      <c r="C22" s="13" t="s">
        <v>58</v>
      </c>
      <c r="D22" s="14" t="s">
        <v>48</v>
      </c>
      <c r="E22" s="15">
        <v>3</v>
      </c>
      <c r="F22" s="16">
        <v>2.2999999999999998</v>
      </c>
      <c r="G22" s="14" t="s">
        <v>59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>
        <v>4000</v>
      </c>
      <c r="U22" s="17">
        <v>4000</v>
      </c>
      <c r="V22" s="17">
        <v>4000</v>
      </c>
      <c r="W22" s="17"/>
      <c r="X22" s="17">
        <v>4000</v>
      </c>
      <c r="Y22" s="17"/>
      <c r="Z22" s="17">
        <v>4000</v>
      </c>
      <c r="AA22" s="17"/>
      <c r="AB22" s="17">
        <v>4000</v>
      </c>
      <c r="AC22" s="17"/>
      <c r="AD22" s="17">
        <v>4000</v>
      </c>
      <c r="AE22" s="17"/>
      <c r="AF2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2" s="19">
        <f>Programacion[[#This Row],[ENERO]]+Programacion[[#This Row],[FEBRERO]]+Programacion[[#This Row],[MARZO]]</f>
        <v>0</v>
      </c>
      <c r="AH22" s="19">
        <f>Programacion[[#This Row],[DEVENGADO ENERO]]+Programacion[[#This Row],[DEVENGADO FEBRERO]]+Programacion[[#This Row],[DEVENGADO MARZO]]</f>
        <v>0</v>
      </c>
      <c r="AI22" s="19">
        <f>Programacion[[#This Row],[ABRIL]]+Programacion[[#This Row],[MAYO]]+Programacion[[#This Row],[JUNIO]]</f>
        <v>0</v>
      </c>
      <c r="AJ22" s="19">
        <f>Programacion[[#This Row],[DEVENGADO ABRIL]]+Programacion[[#This Row],[DEVENGADO MAYO]]+Programacion[[#This Row],[DEVENGADO JUNIO]]</f>
        <v>0</v>
      </c>
      <c r="AK22" s="19">
        <f>Programacion[[#This Row],[JULIO]]+Programacion[[#This Row],[AGOSTO]]+Programacion[[#This Row],[SEPTIEMBRE]]</f>
        <v>12000</v>
      </c>
      <c r="AL22" s="19">
        <f>Programacion[[#This Row],[DEVENGADO JULIO]]+Programacion[[#This Row],[DEVENGADO AGOSTO]]+Programacion[[#This Row],[DEVENGADO SEPTIEMBRE]]</f>
        <v>4000</v>
      </c>
      <c r="AM22" s="19">
        <f>Programacion[[#This Row],[OCTUBRE]]+Programacion[[#This Row],[NOVIEMBRE]]+Programacion[[#This Row],[DICIEMBRE]]</f>
        <v>12000</v>
      </c>
      <c r="AN22" s="20">
        <f>Programacion[[#This Row],[DEVENGADO OCTUBRE]]+Programacion[[#This Row],[DEVENGADO NOVIEMBRE]]+Programacion[[#This Row],[DEVENGADO DICIEMBRE]]</f>
        <v>0</v>
      </c>
      <c r="AO22" s="20">
        <f>Programacion[[#This Row],[ENERO]]+Programacion[[#This Row],[FEBRERO]]+Programacion[[#This Row],[MARZO]]+Programacion[[#This Row],[ABRIL]]+Programacion[[#This Row],[MAYO]]+Programacion[[#This Row],[JUNIO]]</f>
        <v>0</v>
      </c>
      <c r="AP2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2" s="123"/>
    </row>
    <row r="23" spans="1:46" ht="28.8" x14ac:dyDescent="0.3">
      <c r="A23" s="11" t="s">
        <v>45</v>
      </c>
      <c r="B23" s="12" t="s">
        <v>64</v>
      </c>
      <c r="C23" s="13" t="s">
        <v>58</v>
      </c>
      <c r="D23" s="14" t="s">
        <v>48</v>
      </c>
      <c r="E23" s="15">
        <v>39</v>
      </c>
      <c r="F23" s="16">
        <v>2.2999999999999998</v>
      </c>
      <c r="G23" s="14" t="s">
        <v>59</v>
      </c>
      <c r="H23" s="17"/>
      <c r="I23" s="17"/>
      <c r="J23" s="17">
        <v>3840</v>
      </c>
      <c r="K23" s="17">
        <v>3840</v>
      </c>
      <c r="L23" s="17">
        <v>3840</v>
      </c>
      <c r="M23" s="17">
        <v>3840</v>
      </c>
      <c r="N23" s="17">
        <v>3840</v>
      </c>
      <c r="O23" s="17">
        <v>3840</v>
      </c>
      <c r="P23" s="17">
        <v>8160</v>
      </c>
      <c r="Q23" s="17">
        <v>8160</v>
      </c>
      <c r="R23" s="17">
        <v>4320</v>
      </c>
      <c r="S23" s="17">
        <v>4320</v>
      </c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3" s="19">
        <f>Programacion[[#This Row],[ENERO]]+Programacion[[#This Row],[FEBRERO]]+Programacion[[#This Row],[MARZO]]</f>
        <v>7680</v>
      </c>
      <c r="AH23" s="19">
        <f>Programacion[[#This Row],[DEVENGADO ENERO]]+Programacion[[#This Row],[DEVENGADO FEBRERO]]+Programacion[[#This Row],[DEVENGADO MARZO]]</f>
        <v>7680</v>
      </c>
      <c r="AI23" s="19">
        <f>Programacion[[#This Row],[ABRIL]]+Programacion[[#This Row],[MAYO]]+Programacion[[#This Row],[JUNIO]]</f>
        <v>16320</v>
      </c>
      <c r="AJ23" s="19">
        <f>Programacion[[#This Row],[DEVENGADO ABRIL]]+Programacion[[#This Row],[DEVENGADO MAYO]]+Programacion[[#This Row],[DEVENGADO JUNIO]]</f>
        <v>16320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24000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3" s="123"/>
    </row>
    <row r="24" spans="1:46" x14ac:dyDescent="0.3">
      <c r="A24" s="11" t="s">
        <v>45</v>
      </c>
      <c r="B24" s="12" t="s">
        <v>65</v>
      </c>
      <c r="C24" s="13" t="s">
        <v>58</v>
      </c>
      <c r="D24" s="14" t="s">
        <v>48</v>
      </c>
      <c r="E24" s="15">
        <v>3</v>
      </c>
      <c r="F24" s="16">
        <v>2.2999999999999998</v>
      </c>
      <c r="G24" s="14" t="s">
        <v>59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>
        <v>4000</v>
      </c>
      <c r="U24" s="17">
        <v>4000</v>
      </c>
      <c r="V24" s="17">
        <v>4000</v>
      </c>
      <c r="W24" s="17"/>
      <c r="X24" s="17">
        <v>4000</v>
      </c>
      <c r="Y24" s="17"/>
      <c r="Z24" s="17">
        <v>4000</v>
      </c>
      <c r="AA24" s="17"/>
      <c r="AB24" s="17">
        <v>4000</v>
      </c>
      <c r="AC24" s="17"/>
      <c r="AD24" s="17">
        <v>4000</v>
      </c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0</v>
      </c>
      <c r="AJ24" s="19">
        <f>Programacion[[#This Row],[DEVENGADO ABRIL]]+Programacion[[#This Row],[DEVENGADO MAYO]]+Programacion[[#This Row],[DEVENGADO JUNIO]]</f>
        <v>0</v>
      </c>
      <c r="AK24" s="19">
        <f>Programacion[[#This Row],[JULIO]]+Programacion[[#This Row],[AGOSTO]]+Programacion[[#This Row],[SEPTIEMBRE]]</f>
        <v>12000</v>
      </c>
      <c r="AL24" s="19">
        <f>Programacion[[#This Row],[DEVENGADO JULIO]]+Programacion[[#This Row],[DEVENGADO AGOSTO]]+Programacion[[#This Row],[DEVENGADO SEPTIEMBRE]]</f>
        <v>4000</v>
      </c>
      <c r="AM24" s="19">
        <f>Programacion[[#This Row],[OCTUBRE]]+Programacion[[#This Row],[NOVIEMBRE]]+Programacion[[#This Row],[DICIEMBRE]]</f>
        <v>12000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4" s="123"/>
    </row>
    <row r="25" spans="1:46" ht="28.8" x14ac:dyDescent="0.3">
      <c r="A25" s="11" t="s">
        <v>45</v>
      </c>
      <c r="B25" s="12" t="s">
        <v>66</v>
      </c>
      <c r="C25" s="13" t="s">
        <v>67</v>
      </c>
      <c r="D25" s="14" t="s">
        <v>48</v>
      </c>
      <c r="E25" s="15">
        <v>39</v>
      </c>
      <c r="F25" s="16">
        <v>2.2999999999999998</v>
      </c>
      <c r="G25" s="14" t="s">
        <v>68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>
        <v>18930.900000000001</v>
      </c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18930.900000000001</v>
      </c>
      <c r="AG25" s="19">
        <f>Programacion[[#This Row],[ENERO]]+Programacion[[#This Row],[FEBRERO]]+Programacion[[#This Row],[MARZO]]</f>
        <v>0</v>
      </c>
      <c r="AH25" s="19">
        <f>Programacion[[#This Row],[DEVENGADO ENERO]]+Programacion[[#This Row],[DEVENGADO FEBRERO]]+Programacion[[#This Row],[DEVENGADO MARZO]]</f>
        <v>0</v>
      </c>
      <c r="AI25" s="19">
        <f>Programacion[[#This Row],[ABRIL]]+Programacion[[#This Row],[MAYO]]+Programacion[[#This Row],[JUNIO]]</f>
        <v>0</v>
      </c>
      <c r="AJ25" s="19">
        <f>Programacion[[#This Row],[DEVENGADO ABRIL]]+Programacion[[#This Row],[DEVENGADO MAYO]]+Programacion[[#This Row],[DEVENGADO JUNIO]]</f>
        <v>0</v>
      </c>
      <c r="AK25" s="19">
        <f>Programacion[[#This Row],[JULIO]]+Programacion[[#This Row],[AGOSTO]]+Programacion[[#This Row],[SEPTIEMBRE]]</f>
        <v>18930.900000000001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18930.900000000001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123"/>
    </row>
    <row r="26" spans="1:46" x14ac:dyDescent="0.3">
      <c r="A26" s="107" t="s">
        <v>45</v>
      </c>
      <c r="B26" s="108" t="s">
        <v>246</v>
      </c>
      <c r="C26" s="109" t="s">
        <v>200</v>
      </c>
      <c r="D26" s="109" t="s">
        <v>48</v>
      </c>
      <c r="E26" s="110">
        <v>39</v>
      </c>
      <c r="F26" s="111">
        <v>2.2999999999999998</v>
      </c>
      <c r="G26" s="109" t="s">
        <v>247</v>
      </c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>
        <v>3000</v>
      </c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6" s="33">
        <f>Programacion[[#This Row],[ENERO]]+Programacion[[#This Row],[FEBRERO]]+Programacion[[#This Row],[MARZO]]</f>
        <v>0</v>
      </c>
      <c r="AH26" s="33">
        <f>Programacion[[#This Row],[DEVENGADO ENERO]]+Programacion[[#This Row],[DEVENGADO FEBRERO]]+Programacion[[#This Row],[DEVENGADO MARZO]]</f>
        <v>0</v>
      </c>
      <c r="AI26" s="33">
        <f>Programacion[[#This Row],[ABRIL]]+Programacion[[#This Row],[MAYO]]+Programacion[[#This Row],[JUNIO]]</f>
        <v>3000</v>
      </c>
      <c r="AJ26" s="33">
        <f>Programacion[[#This Row],[DEVENGADO ABRIL]]+Programacion[[#This Row],[DEVENGADO MAYO]]+Programacion[[#This Row],[DEVENGADO JUNIO]]</f>
        <v>0</v>
      </c>
      <c r="AK26" s="33">
        <f>Programacion[[#This Row],[JULIO]]+Programacion[[#This Row],[AGOSTO]]+Programacion[[#This Row],[SEPTIEMBRE]]</f>
        <v>0</v>
      </c>
      <c r="AL26" s="33">
        <f>Programacion[[#This Row],[DEVENGADO JULIO]]+Programacion[[#This Row],[DEVENGADO AGOSTO]]+Programacion[[#This Row],[DEVENGADO SEPTIEMBRE]]</f>
        <v>0</v>
      </c>
      <c r="AM26" s="33">
        <f>Programacion[[#This Row],[OCTUBRE]]+Programacion[[#This Row],[NOVIEMBRE]]+Programacion[[#This Row],[DICIEMBRE]]</f>
        <v>0</v>
      </c>
      <c r="AN26" s="21">
        <f>Programacion[[#This Row],[DEVENGADO OCTUBRE]]+Programacion[[#This Row],[DEVENGADO NOVIEMBRE]]+Programacion[[#This Row],[DEVENGADO DICIEMBRE]]</f>
        <v>0</v>
      </c>
      <c r="AO26" s="21">
        <f>Programacion[[#This Row],[ENERO]]+Programacion[[#This Row],[FEBRERO]]+Programacion[[#This Row],[MARZO]]+Programacion[[#This Row],[ABRIL]]+Programacion[[#This Row],[MAYO]]+Programacion[[#This Row],[JUNIO]]</f>
        <v>3000</v>
      </c>
      <c r="AP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" s="123"/>
    </row>
    <row r="27" spans="1:46" x14ac:dyDescent="0.3">
      <c r="A27" s="11" t="s">
        <v>45</v>
      </c>
      <c r="B27" s="12" t="s">
        <v>69</v>
      </c>
      <c r="C27" s="13" t="s">
        <v>67</v>
      </c>
      <c r="D27" s="14" t="s">
        <v>48</v>
      </c>
      <c r="E27" s="15">
        <v>39</v>
      </c>
      <c r="F27" s="16">
        <v>2.2999999999999998</v>
      </c>
      <c r="G27" s="14" t="s">
        <v>70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>
        <v>11000</v>
      </c>
      <c r="S27" s="17"/>
      <c r="T27" s="17"/>
      <c r="U27" s="17">
        <v>11000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27" s="19">
        <f>Programacion[[#This Row],[ENERO]]+Programacion[[#This Row],[FEBRERO]]+Programacion[[#This Row],[MARZO]]</f>
        <v>0</v>
      </c>
      <c r="AH27" s="19">
        <f>Programacion[[#This Row],[DEVENGADO ENERO]]+Programacion[[#This Row],[DEVENGADO FEBRERO]]+Programacion[[#This Row],[DEVENGADO MARZO]]</f>
        <v>0</v>
      </c>
      <c r="AI27" s="19">
        <f>Programacion[[#This Row],[ABRIL]]+Programacion[[#This Row],[MAYO]]+Programacion[[#This Row],[JUNIO]]</f>
        <v>11000</v>
      </c>
      <c r="AJ27" s="19">
        <f>Programacion[[#This Row],[DEVENGADO ABRIL]]+Programacion[[#This Row],[DEVENGADO MAYO]]+Programacion[[#This Row],[DEVENGADO JUNIO]]</f>
        <v>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11000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11000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27" s="123"/>
    </row>
    <row r="28" spans="1:46" x14ac:dyDescent="0.3">
      <c r="A28" s="11" t="s">
        <v>45</v>
      </c>
      <c r="B28" s="12" t="s">
        <v>71</v>
      </c>
      <c r="C28" s="13" t="s">
        <v>67</v>
      </c>
      <c r="D28" s="14" t="s">
        <v>48</v>
      </c>
      <c r="E28" s="15">
        <v>39</v>
      </c>
      <c r="F28" s="16">
        <v>2.2999999999999998</v>
      </c>
      <c r="G28" s="14" t="s">
        <v>68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>
        <v>25000</v>
      </c>
      <c r="W28" s="17"/>
      <c r="X28" s="17"/>
      <c r="Y28" s="17"/>
      <c r="Z28" s="17"/>
      <c r="AA28" s="17"/>
      <c r="AB28" s="17"/>
      <c r="AC28" s="17"/>
      <c r="AD28" s="17"/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25000</v>
      </c>
      <c r="AL28" s="19">
        <f>Programacion[[#This Row],[DEVENGADO JULIO]]+Programacion[[#This Row],[DEVENGADO AGOSTO]]+Programacion[[#This Row],[DEVENGADO SEPTIEMBRE]]</f>
        <v>0</v>
      </c>
      <c r="AM28" s="19">
        <f>Programacion[[#This Row],[OCTUBRE]]+Programacion[[#This Row],[NOVIEMBRE]]+Programacion[[#This Row],[DICIEMBRE]]</f>
        <v>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25000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8" s="123"/>
    </row>
    <row r="29" spans="1:46" x14ac:dyDescent="0.3">
      <c r="A29" s="11" t="s">
        <v>45</v>
      </c>
      <c r="B29" s="12" t="s">
        <v>72</v>
      </c>
      <c r="C29" s="13" t="s">
        <v>58</v>
      </c>
      <c r="D29" s="14" t="s">
        <v>48</v>
      </c>
      <c r="E29" s="15">
        <v>31</v>
      </c>
      <c r="F29" s="16">
        <v>2.2999999999999998</v>
      </c>
      <c r="G29" s="14" t="s">
        <v>73</v>
      </c>
      <c r="H29" s="17"/>
      <c r="I29" s="17"/>
      <c r="J29" s="17"/>
      <c r="K29" s="17"/>
      <c r="L29" s="17">
        <v>8500</v>
      </c>
      <c r="M29" s="17">
        <v>8500</v>
      </c>
      <c r="N29" s="17">
        <v>8500</v>
      </c>
      <c r="O29" s="17">
        <v>8500</v>
      </c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29" s="19">
        <f>Programacion[[#This Row],[ENERO]]+Programacion[[#This Row],[FEBRERO]]+Programacion[[#This Row],[MARZO]]</f>
        <v>8500</v>
      </c>
      <c r="AH29" s="19">
        <f>Programacion[[#This Row],[DEVENGADO ENERO]]+Programacion[[#This Row],[DEVENGADO FEBRERO]]+Programacion[[#This Row],[DEVENGADO MARZO]]</f>
        <v>8500</v>
      </c>
      <c r="AI29" s="19">
        <f>Programacion[[#This Row],[ABRIL]]+Programacion[[#This Row],[MAYO]]+Programacion[[#This Row],[JUNIO]]</f>
        <v>8500</v>
      </c>
      <c r="AJ29" s="19">
        <f>Programacion[[#This Row],[DEVENGADO ABRIL]]+Programacion[[#This Row],[DEVENGADO MAYO]]+Programacion[[#This Row],[DEVENGADO JUNIO]]</f>
        <v>8500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17000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29" s="123"/>
    </row>
    <row r="30" spans="1:46" x14ac:dyDescent="0.3">
      <c r="A30" s="11" t="s">
        <v>45</v>
      </c>
      <c r="B30" s="12" t="s">
        <v>72</v>
      </c>
      <c r="C30" s="13" t="s">
        <v>58</v>
      </c>
      <c r="D30" s="14" t="s">
        <v>48</v>
      </c>
      <c r="E30" s="15">
        <v>31</v>
      </c>
      <c r="F30" s="16">
        <v>2.2999999999999998</v>
      </c>
      <c r="G30" s="14" t="s">
        <v>73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>
        <v>14400</v>
      </c>
      <c r="S30" s="17">
        <v>14400</v>
      </c>
      <c r="T30" s="17"/>
      <c r="U30" s="17"/>
      <c r="V30" s="17">
        <v>7800</v>
      </c>
      <c r="W30" s="17"/>
      <c r="X30" s="17">
        <v>7800</v>
      </c>
      <c r="Y30" s="17"/>
      <c r="Z30" s="17"/>
      <c r="AA30" s="17"/>
      <c r="AB30" s="17"/>
      <c r="AC30" s="17"/>
      <c r="AD30" s="17"/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14400</v>
      </c>
      <c r="AJ30" s="19">
        <f>Programacion[[#This Row],[DEVENGADO ABRIL]]+Programacion[[#This Row],[DEVENGADO MAYO]]+Programacion[[#This Row],[DEVENGADO JUNIO]]</f>
        <v>14400</v>
      </c>
      <c r="AK30" s="19">
        <f>Programacion[[#This Row],[JULIO]]+Programacion[[#This Row],[AGOSTO]]+Programacion[[#This Row],[SEPTIEMBRE]]</f>
        <v>15600</v>
      </c>
      <c r="AL30" s="19">
        <f>Programacion[[#This Row],[DEVENGADO JULIO]]+Programacion[[#This Row],[DEVENGADO AGOSTO]]+Programacion[[#This Row],[DEVENGADO SEPTIEMBRE]]</f>
        <v>0</v>
      </c>
      <c r="AM30" s="19">
        <f>Programacion[[#This Row],[OCTUBRE]]+Programacion[[#This Row],[NOVIEMBRE]]+Programacion[[#This Row],[DICIEMBRE]]</f>
        <v>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14400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14400</v>
      </c>
      <c r="AT30" s="123"/>
    </row>
    <row r="31" spans="1:46" x14ac:dyDescent="0.3">
      <c r="A31" s="11" t="s">
        <v>45</v>
      </c>
      <c r="B31" s="12" t="s">
        <v>72</v>
      </c>
      <c r="C31" s="13" t="s">
        <v>58</v>
      </c>
      <c r="D31" s="14" t="s">
        <v>48</v>
      </c>
      <c r="E31" s="15">
        <v>39</v>
      </c>
      <c r="F31" s="16">
        <v>2.2999999999999998</v>
      </c>
      <c r="G31" s="14" t="s">
        <v>73</v>
      </c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>
        <v>7500</v>
      </c>
      <c r="AA31" s="33"/>
      <c r="AB31" s="33">
        <v>7500</v>
      </c>
      <c r="AC31" s="33"/>
      <c r="AD31" s="33"/>
      <c r="AE31" s="33"/>
      <c r="AF3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31" s="33">
        <f>Programacion[[#This Row],[ENERO]]+Programacion[[#This Row],[FEBRERO]]+Programacion[[#This Row],[MARZO]]</f>
        <v>0</v>
      </c>
      <c r="AH31" s="33">
        <f>Programacion[[#This Row],[DEVENGADO ENERO]]+Programacion[[#This Row],[DEVENGADO FEBRERO]]+Programacion[[#This Row],[DEVENGADO MARZO]]</f>
        <v>0</v>
      </c>
      <c r="AI31" s="33">
        <f>Programacion[[#This Row],[ABRIL]]+Programacion[[#This Row],[MAYO]]+Programacion[[#This Row],[JUNIO]]</f>
        <v>0</v>
      </c>
      <c r="AJ31" s="33">
        <f>Programacion[[#This Row],[DEVENGADO ABRIL]]+Programacion[[#This Row],[DEVENGADO MAYO]]+Programacion[[#This Row],[DEVENGADO JUNIO]]</f>
        <v>0</v>
      </c>
      <c r="AK31" s="33">
        <f>Programacion[[#This Row],[JULIO]]+Programacion[[#This Row],[AGOSTO]]+Programacion[[#This Row],[SEPTIEMBRE]]</f>
        <v>0</v>
      </c>
      <c r="AL31" s="33">
        <f>Programacion[[#This Row],[DEVENGADO JULIO]]+Programacion[[#This Row],[DEVENGADO AGOSTO]]+Programacion[[#This Row],[DEVENGADO SEPTIEMBRE]]</f>
        <v>0</v>
      </c>
      <c r="AM31" s="33">
        <f>Programacion[[#This Row],[OCTUBRE]]+Programacion[[#This Row],[NOVIEMBRE]]+Programacion[[#This Row],[DICIEMBRE]]</f>
        <v>15000</v>
      </c>
      <c r="AN31" s="21">
        <f>Programacion[[#This Row],[DEVENGADO OCTUBRE]]+Programacion[[#This Row],[DEVENGADO NOVIEMBRE]]+Programacion[[#This Row],[DEVENGADO DICIEMBRE]]</f>
        <v>0</v>
      </c>
      <c r="AO31" s="21">
        <f>Programacion[[#This Row],[ENERO]]+Programacion[[#This Row],[FEBRERO]]+Programacion[[#This Row],[MARZO]]+Programacion[[#This Row],[ABRIL]]+Programacion[[#This Row],[MAYO]]+Programacion[[#This Row],[JUNIO]]</f>
        <v>0</v>
      </c>
      <c r="AP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1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23"/>
    </row>
    <row r="32" spans="1:46" ht="28.8" x14ac:dyDescent="0.3">
      <c r="A32" s="11" t="s">
        <v>45</v>
      </c>
      <c r="B32" s="12" t="s">
        <v>74</v>
      </c>
      <c r="C32" s="13" t="s">
        <v>58</v>
      </c>
      <c r="D32" s="14" t="s">
        <v>48</v>
      </c>
      <c r="E32" s="15">
        <v>31</v>
      </c>
      <c r="F32" s="16">
        <v>2.2999999999999998</v>
      </c>
      <c r="G32" s="14" t="s">
        <v>73</v>
      </c>
      <c r="H32" s="17"/>
      <c r="I32" s="17"/>
      <c r="J32" s="17"/>
      <c r="K32" s="17"/>
      <c r="L32" s="17"/>
      <c r="M32" s="17"/>
      <c r="N32" s="17">
        <v>4000</v>
      </c>
      <c r="O32" s="17">
        <v>4000</v>
      </c>
      <c r="P32" s="17"/>
      <c r="Q32" s="17"/>
      <c r="R32" s="17">
        <v>4000</v>
      </c>
      <c r="S32" s="17">
        <v>4000</v>
      </c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2" s="19">
        <f>Programacion[[#This Row],[ENERO]]+Programacion[[#This Row],[FEBRERO]]+Programacion[[#This Row],[MARZO]]</f>
        <v>0</v>
      </c>
      <c r="AH32" s="19">
        <f>Programacion[[#This Row],[DEVENGADO ENERO]]+Programacion[[#This Row],[DEVENGADO FEBRERO]]+Programacion[[#This Row],[DEVENGADO MARZO]]</f>
        <v>0</v>
      </c>
      <c r="AI32" s="19">
        <f>Programacion[[#This Row],[ABRIL]]+Programacion[[#This Row],[MAYO]]+Programacion[[#This Row],[JUNIO]]</f>
        <v>8000</v>
      </c>
      <c r="AJ32" s="19">
        <f>Programacion[[#This Row],[DEVENGADO ABRIL]]+Programacion[[#This Row],[DEVENGADO MAYO]]+Programacion[[#This Row],[DEVENGADO JUNIO]]</f>
        <v>8000</v>
      </c>
      <c r="AK32" s="19">
        <f>Programacion[[#This Row],[JULIO]]+Programacion[[#This Row],[AGOSTO]]+Programacion[[#This Row],[SEPTIEMBRE]]</f>
        <v>0</v>
      </c>
      <c r="AL32" s="19">
        <f>Programacion[[#This Row],[DEVENGADO JULIO]]+Programacion[[#This Row],[DEVENGADO AGOSTO]]+Programacion[[#This Row],[DEVENGADO SEPTIEMBRE]]</f>
        <v>0</v>
      </c>
      <c r="AM32" s="19">
        <f>Programacion[[#This Row],[OCTUBRE]]+Programacion[[#This Row],[NOVIEMBRE]]+Programacion[[#This Row],[DICIEMBRE]]</f>
        <v>0</v>
      </c>
      <c r="AN32" s="20">
        <f>Programacion[[#This Row],[DEVENGADO OCTUBRE]]+Programacion[[#This Row],[DEVENGADO NOVIEMBRE]]+Programacion[[#This Row],[DEVENGADO DICIEMBRE]]</f>
        <v>0</v>
      </c>
      <c r="AO32" s="20">
        <f>Programacion[[#This Row],[ENERO]]+Programacion[[#This Row],[FEBRERO]]+Programacion[[#This Row],[MARZO]]+Programacion[[#This Row],[ABRIL]]+Programacion[[#This Row],[MAYO]]+Programacion[[#This Row],[JUNIO]]</f>
        <v>8000</v>
      </c>
      <c r="AP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2" s="123"/>
    </row>
    <row r="33" spans="1:46" ht="28.8" x14ac:dyDescent="0.3">
      <c r="A33" s="11" t="s">
        <v>45</v>
      </c>
      <c r="B33" s="12" t="s">
        <v>75</v>
      </c>
      <c r="C33" s="13" t="s">
        <v>76</v>
      </c>
      <c r="D33" s="14" t="s">
        <v>48</v>
      </c>
      <c r="E33" s="15">
        <v>39</v>
      </c>
      <c r="F33" s="16">
        <v>2.2999999999999998</v>
      </c>
      <c r="G33" s="14" t="s">
        <v>77</v>
      </c>
      <c r="H33" s="17"/>
      <c r="I33" s="17"/>
      <c r="J33" s="17"/>
      <c r="K33" s="17"/>
      <c r="L33" s="17">
        <v>3640</v>
      </c>
      <c r="M33" s="17">
        <v>3640</v>
      </c>
      <c r="N33" s="17">
        <v>1820</v>
      </c>
      <c r="O33" s="17">
        <v>1820</v>
      </c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3" s="19">
        <f>Programacion[[#This Row],[ENERO]]+Programacion[[#This Row],[FEBRERO]]+Programacion[[#This Row],[MARZO]]</f>
        <v>3640</v>
      </c>
      <c r="AH33" s="19">
        <f>Programacion[[#This Row],[DEVENGADO ENERO]]+Programacion[[#This Row],[DEVENGADO FEBRERO]]+Programacion[[#This Row],[DEVENGADO MARZO]]</f>
        <v>3640</v>
      </c>
      <c r="AI33" s="19">
        <f>Programacion[[#This Row],[ABRIL]]+Programacion[[#This Row],[MAYO]]+Programacion[[#This Row],[JUNIO]]</f>
        <v>1820</v>
      </c>
      <c r="AJ33" s="19">
        <f>Programacion[[#This Row],[DEVENGADO ABRIL]]+Programacion[[#This Row],[DEVENGADO MAYO]]+Programacion[[#This Row],[DEVENGADO JUNIO]]</f>
        <v>1820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5460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3" s="123"/>
    </row>
    <row r="34" spans="1:46" ht="28.8" x14ac:dyDescent="0.3">
      <c r="A34" s="11" t="s">
        <v>45</v>
      </c>
      <c r="B34" s="12" t="s">
        <v>78</v>
      </c>
      <c r="C34" s="13" t="s">
        <v>76</v>
      </c>
      <c r="D34" s="14" t="s">
        <v>48</v>
      </c>
      <c r="E34" s="15">
        <v>39</v>
      </c>
      <c r="F34" s="16">
        <v>2.2999999999999998</v>
      </c>
      <c r="G34" s="14" t="s">
        <v>77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>
        <v>4161.6000000000004</v>
      </c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4161.6000000000004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4161.6000000000004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4161.6000000000004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23"/>
    </row>
    <row r="35" spans="1:46" ht="28.8" x14ac:dyDescent="0.3">
      <c r="A35" s="11" t="s">
        <v>45</v>
      </c>
      <c r="B35" s="12" t="s">
        <v>79</v>
      </c>
      <c r="C35" s="13" t="s">
        <v>76</v>
      </c>
      <c r="D35" s="14" t="s">
        <v>48</v>
      </c>
      <c r="E35" s="15">
        <v>39</v>
      </c>
      <c r="F35" s="16">
        <v>2.2999999999999998</v>
      </c>
      <c r="G35" s="14" t="s">
        <v>77</v>
      </c>
      <c r="H35" s="17"/>
      <c r="I35" s="17"/>
      <c r="J35" s="17"/>
      <c r="K35" s="17"/>
      <c r="L35" s="17">
        <v>690</v>
      </c>
      <c r="M35" s="17">
        <v>690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35" s="19">
        <f>Programacion[[#This Row],[ENERO]]+Programacion[[#This Row],[FEBRERO]]+Programacion[[#This Row],[MARZO]]</f>
        <v>690</v>
      </c>
      <c r="AH35" s="19">
        <f>Programacion[[#This Row],[DEVENGADO ENERO]]+Programacion[[#This Row],[DEVENGADO FEBRERO]]+Programacion[[#This Row],[DEVENGADO MARZO]]</f>
        <v>690</v>
      </c>
      <c r="AI35" s="19">
        <f>Programacion[[#This Row],[ABRIL]]+Programacion[[#This Row],[MAYO]]+Programacion[[#This Row],[JUNIO]]</f>
        <v>0</v>
      </c>
      <c r="AJ35" s="19">
        <f>Programacion[[#This Row],[DEVENGADO ABRIL]]+Programacion[[#This Row],[DEVENGADO MAYO]]+Programacion[[#This Row],[DEVENGADO JUNIO]]</f>
        <v>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690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35" s="123"/>
    </row>
    <row r="36" spans="1:46" ht="28.8" x14ac:dyDescent="0.3">
      <c r="A36" s="11" t="s">
        <v>45</v>
      </c>
      <c r="B36" s="12" t="s">
        <v>80</v>
      </c>
      <c r="C36" s="13" t="s">
        <v>76</v>
      </c>
      <c r="D36" s="14" t="s">
        <v>48</v>
      </c>
      <c r="E36" s="15">
        <v>39</v>
      </c>
      <c r="F36" s="16">
        <v>2.2999999999999998</v>
      </c>
      <c r="G36" s="14" t="s">
        <v>77</v>
      </c>
      <c r="H36" s="17"/>
      <c r="I36" s="17"/>
      <c r="J36" s="17"/>
      <c r="K36" s="17"/>
      <c r="L36" s="17"/>
      <c r="M36" s="17"/>
      <c r="N36" s="17"/>
      <c r="O36" s="17"/>
      <c r="P36" s="17">
        <v>500</v>
      </c>
      <c r="Q36" s="17">
        <v>500</v>
      </c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500</v>
      </c>
      <c r="AJ36" s="19">
        <f>Programacion[[#This Row],[DEVENGADO ABRIL]]+Programacion[[#This Row],[DEVENGADO MAYO]]+Programacion[[#This Row],[DEVENGADO JUNIO]]</f>
        <v>500</v>
      </c>
      <c r="AK36" s="19">
        <f>Programacion[[#This Row],[JULIO]]+Programacion[[#This Row],[AGOSTO]]+Programacion[[#This Row],[SEPTIEMBRE]]</f>
        <v>0</v>
      </c>
      <c r="AL36" s="19">
        <f>Programacion[[#This Row],[DEVENGADO JULIO]]+Programacion[[#This Row],[DEVENGADO AGOSTO]]+Programacion[[#This Row],[DEVENGADO SEPTIEMBRE]]</f>
        <v>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500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36" s="123"/>
    </row>
    <row r="37" spans="1:46" ht="28.8" x14ac:dyDescent="0.3">
      <c r="A37" s="11" t="s">
        <v>45</v>
      </c>
      <c r="B37" s="12" t="s">
        <v>81</v>
      </c>
      <c r="C37" s="13" t="s">
        <v>76</v>
      </c>
      <c r="D37" s="14" t="s">
        <v>48</v>
      </c>
      <c r="E37" s="15">
        <v>39</v>
      </c>
      <c r="F37" s="16">
        <v>2.2999999999999998</v>
      </c>
      <c r="G37" s="14" t="s">
        <v>77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>
        <v>7350</v>
      </c>
      <c r="U37" s="17">
        <v>7350</v>
      </c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37" s="19">
        <f>Programacion[[#This Row],[ENERO]]+Programacion[[#This Row],[FEBRERO]]+Programacion[[#This Row],[MARZO]]</f>
        <v>0</v>
      </c>
      <c r="AH37" s="19">
        <f>Programacion[[#This Row],[DEVENGADO ENERO]]+Programacion[[#This Row],[DEVENGADO FEBRERO]]+Programacion[[#This Row],[DEVENGADO MARZO]]</f>
        <v>0</v>
      </c>
      <c r="AI37" s="19">
        <f>Programacion[[#This Row],[ABRIL]]+Programacion[[#This Row],[MAYO]]+Programacion[[#This Row],[JUNIO]]</f>
        <v>0</v>
      </c>
      <c r="AJ37" s="19">
        <f>Programacion[[#This Row],[DEVENGADO ABRIL]]+Programacion[[#This Row],[DEVENGADO MAYO]]+Programacion[[#This Row],[DEVENGADO JUNIO]]</f>
        <v>0</v>
      </c>
      <c r="AK37" s="19">
        <f>Programacion[[#This Row],[JULIO]]+Programacion[[#This Row],[AGOSTO]]+Programacion[[#This Row],[SEPTIEMBRE]]</f>
        <v>7350</v>
      </c>
      <c r="AL37" s="19">
        <f>Programacion[[#This Row],[DEVENGADO JULIO]]+Programacion[[#This Row],[DEVENGADO AGOSTO]]+Programacion[[#This Row],[DEVENGADO SEPTIEMBRE]]</f>
        <v>7350</v>
      </c>
      <c r="AM37" s="19">
        <f>Programacion[[#This Row],[OCTUBRE]]+Programacion[[#This Row],[NOVIEMBRE]]+Programacion[[#This Row],[DICIEMBRE]]</f>
        <v>0</v>
      </c>
      <c r="AN37" s="20">
        <f>Programacion[[#This Row],[DEVENGADO OCTUBRE]]+Programacion[[#This Row],[DEVENGADO NOVIEMBRE]]+Programacion[[#This Row],[DEVENGADO DICIEMBRE]]</f>
        <v>0</v>
      </c>
      <c r="AO37" s="20">
        <f>Programacion[[#This Row],[ENERO]]+Programacion[[#This Row],[FEBRERO]]+Programacion[[#This Row],[MARZO]]+Programacion[[#This Row],[ABRIL]]+Programacion[[#This Row],[MAYO]]+Programacion[[#This Row],[JUNIO]]</f>
        <v>0</v>
      </c>
      <c r="AP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37" s="123"/>
    </row>
    <row r="38" spans="1:46" ht="28.8" x14ac:dyDescent="0.3">
      <c r="A38" s="11" t="s">
        <v>45</v>
      </c>
      <c r="B38" s="12" t="s">
        <v>82</v>
      </c>
      <c r="C38" s="13" t="s">
        <v>76</v>
      </c>
      <c r="D38" s="14" t="s">
        <v>48</v>
      </c>
      <c r="E38" s="15">
        <v>39</v>
      </c>
      <c r="F38" s="16">
        <v>2.2999999999999998</v>
      </c>
      <c r="G38" s="14" t="s">
        <v>77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>
        <v>880</v>
      </c>
      <c r="U38" s="17">
        <v>880</v>
      </c>
      <c r="V38" s="17"/>
      <c r="W38" s="17"/>
      <c r="X38" s="17">
        <v>880</v>
      </c>
      <c r="Y38" s="17"/>
      <c r="Z38" s="17"/>
      <c r="AA38" s="17"/>
      <c r="AB38" s="17"/>
      <c r="AC38" s="17"/>
      <c r="AD38" s="17">
        <v>880</v>
      </c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0</v>
      </c>
      <c r="AJ38" s="19">
        <f>Programacion[[#This Row],[DEVENGADO ABRIL]]+Programacion[[#This Row],[DEVENGADO MAYO]]+Programacion[[#This Row],[DEVENGADO JUNIO]]</f>
        <v>0</v>
      </c>
      <c r="AK38" s="19">
        <f>Programacion[[#This Row],[JULIO]]+Programacion[[#This Row],[AGOSTO]]+Programacion[[#This Row],[SEPTIEMBRE]]</f>
        <v>1760</v>
      </c>
      <c r="AL38" s="19">
        <f>Programacion[[#This Row],[DEVENGADO JULIO]]+Programacion[[#This Row],[DEVENGADO AGOSTO]]+Programacion[[#This Row],[DEVENGADO SEPTIEMBRE]]</f>
        <v>880</v>
      </c>
      <c r="AM38" s="19">
        <f>Programacion[[#This Row],[OCTUBRE]]+Programacion[[#This Row],[NOVIEMBRE]]+Programacion[[#This Row],[DICIEMBRE]]</f>
        <v>880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38" s="123"/>
    </row>
    <row r="39" spans="1:46" x14ac:dyDescent="0.3">
      <c r="A39" s="22" t="s">
        <v>45</v>
      </c>
      <c r="B39" s="23" t="s">
        <v>233</v>
      </c>
      <c r="C39" s="13" t="s">
        <v>83</v>
      </c>
      <c r="D39" s="13" t="s">
        <v>48</v>
      </c>
      <c r="E39" s="24">
        <v>39</v>
      </c>
      <c r="F39" s="25">
        <v>2.6</v>
      </c>
      <c r="G39" s="13" t="s">
        <v>234</v>
      </c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>
        <v>2270</v>
      </c>
      <c r="W39" s="33"/>
      <c r="X39" s="33"/>
      <c r="Y39" s="33"/>
      <c r="Z39" s="33"/>
      <c r="AA39" s="33"/>
      <c r="AB39" s="33"/>
      <c r="AC39" s="33"/>
      <c r="AD39" s="33"/>
      <c r="AE39" s="33"/>
      <c r="AF3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39" s="33">
        <f>Programacion[[#This Row],[ENERO]]+Programacion[[#This Row],[FEBRERO]]+Programacion[[#This Row],[MARZO]]</f>
        <v>0</v>
      </c>
      <c r="AH39" s="33">
        <f>Programacion[[#This Row],[DEVENGADO ENERO]]+Programacion[[#This Row],[DEVENGADO FEBRERO]]+Programacion[[#This Row],[DEVENGADO MARZO]]</f>
        <v>0</v>
      </c>
      <c r="AI39" s="33">
        <f>Programacion[[#This Row],[ABRIL]]+Programacion[[#This Row],[MAYO]]+Programacion[[#This Row],[JUNIO]]</f>
        <v>0</v>
      </c>
      <c r="AJ39" s="33">
        <f>Programacion[[#This Row],[DEVENGADO ABRIL]]+Programacion[[#This Row],[DEVENGADO MAYO]]+Programacion[[#This Row],[DEVENGADO JUNIO]]</f>
        <v>0</v>
      </c>
      <c r="AK39" s="33">
        <f>Programacion[[#This Row],[JULIO]]+Programacion[[#This Row],[AGOSTO]]+Programacion[[#This Row],[SEPTIEMBRE]]</f>
        <v>2270</v>
      </c>
      <c r="AL39" s="33">
        <f>Programacion[[#This Row],[DEVENGADO JULIO]]+Programacion[[#This Row],[DEVENGADO AGOSTO]]+Programacion[[#This Row],[DEVENGADO SEPTIEMBRE]]</f>
        <v>0</v>
      </c>
      <c r="AM39" s="33">
        <f>Programacion[[#This Row],[OCTUBRE]]+Programacion[[#This Row],[NOVIEMBRE]]+Programacion[[#This Row],[DICIEMBRE]]</f>
        <v>0</v>
      </c>
      <c r="AN39" s="21">
        <f>Programacion[[#This Row],[DEVENGADO OCTUBRE]]+Programacion[[#This Row],[DEVENGADO NOVIEMBRE]]+Programacion[[#This Row],[DEVENGADO DICIEMBRE]]</f>
        <v>0</v>
      </c>
      <c r="AO39" s="21">
        <f>Programacion[[#This Row],[ENERO]]+Programacion[[#This Row],[FEBRERO]]+Programacion[[#This Row],[MARZO]]+Programacion[[#This Row],[ABRIL]]+Programacion[[#This Row],[MAYO]]+Programacion[[#This Row],[JUNIO]]</f>
        <v>0</v>
      </c>
      <c r="AP3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3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9" s="123"/>
    </row>
    <row r="40" spans="1:46" x14ac:dyDescent="0.3">
      <c r="A40" s="22" t="s">
        <v>45</v>
      </c>
      <c r="B40" s="23" t="s">
        <v>248</v>
      </c>
      <c r="C40" s="13" t="s">
        <v>83</v>
      </c>
      <c r="D40" s="13" t="s">
        <v>48</v>
      </c>
      <c r="E40" s="24">
        <v>39</v>
      </c>
      <c r="F40" s="25">
        <v>2.6</v>
      </c>
      <c r="G40" s="13" t="s">
        <v>235</v>
      </c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>
        <v>1073</v>
      </c>
      <c r="W40" s="121"/>
      <c r="X40" s="121"/>
      <c r="Y40" s="121"/>
      <c r="Z40" s="121"/>
      <c r="AA40" s="121"/>
      <c r="AB40" s="121"/>
      <c r="AC40" s="121"/>
      <c r="AD40" s="121"/>
      <c r="AE40" s="121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1073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23"/>
    </row>
    <row r="41" spans="1:46" ht="28.8" x14ac:dyDescent="0.3">
      <c r="A41" s="26" t="s">
        <v>84</v>
      </c>
      <c r="B41" s="27" t="s">
        <v>85</v>
      </c>
      <c r="C41" s="28" t="s">
        <v>67</v>
      </c>
      <c r="D41" s="28" t="s">
        <v>48</v>
      </c>
      <c r="E41" s="29">
        <v>39</v>
      </c>
      <c r="F41" s="30">
        <v>2.2999999999999998</v>
      </c>
      <c r="G41" s="28" t="s">
        <v>68</v>
      </c>
      <c r="H41" s="31"/>
      <c r="I41" s="31"/>
      <c r="J41" s="31"/>
      <c r="K41" s="31"/>
      <c r="L41" s="31">
        <v>15803</v>
      </c>
      <c r="M41" s="31">
        <v>15803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41" s="19">
        <f>Programacion[[#This Row],[ENERO]]+Programacion[[#This Row],[FEBRERO]]+Programacion[[#This Row],[MARZO]]</f>
        <v>15803</v>
      </c>
      <c r="AH41" s="19">
        <f>Programacion[[#This Row],[DEVENGADO ENERO]]+Programacion[[#This Row],[DEVENGADO FEBRERO]]+Programacion[[#This Row],[DEVENGADO MARZO]]</f>
        <v>15803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15803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41" s="123"/>
    </row>
    <row r="42" spans="1:46" ht="28.8" x14ac:dyDescent="0.3">
      <c r="A42" s="26" t="s">
        <v>84</v>
      </c>
      <c r="B42" s="27" t="s">
        <v>86</v>
      </c>
      <c r="C42" s="28" t="s">
        <v>47</v>
      </c>
      <c r="D42" s="28" t="s">
        <v>48</v>
      </c>
      <c r="E42" s="29">
        <v>39</v>
      </c>
      <c r="F42" s="30">
        <v>2.2999999999999998</v>
      </c>
      <c r="G42" s="28" t="s">
        <v>49</v>
      </c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>
        <v>2000</v>
      </c>
      <c r="S42" s="31">
        <v>4000</v>
      </c>
      <c r="T42" s="31"/>
      <c r="U42" s="31"/>
      <c r="V42" s="31">
        <v>2000</v>
      </c>
      <c r="W42" s="31"/>
      <c r="X42" s="31"/>
      <c r="Y42" s="31"/>
      <c r="Z42" s="31"/>
      <c r="AA42" s="31"/>
      <c r="AB42" s="31">
        <v>2000</v>
      </c>
      <c r="AC42" s="31"/>
      <c r="AD42" s="31"/>
      <c r="AE42" s="31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2000</v>
      </c>
      <c r="AJ42" s="19">
        <f>Programacion[[#This Row],[DEVENGADO ABRIL]]+Programacion[[#This Row],[DEVENGADO MAYO]]+Programacion[[#This Row],[DEVENGADO JUNIO]]</f>
        <v>4000</v>
      </c>
      <c r="AK42" s="19">
        <f>Programacion[[#This Row],[JULIO]]+Programacion[[#This Row],[AGOSTO]]+Programacion[[#This Row],[SEPTIEMBRE]]</f>
        <v>2000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2000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2000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42" s="123"/>
    </row>
    <row r="43" spans="1:46" x14ac:dyDescent="0.3">
      <c r="A43" s="26" t="s">
        <v>84</v>
      </c>
      <c r="B43" s="27" t="s">
        <v>87</v>
      </c>
      <c r="C43" s="28" t="s">
        <v>47</v>
      </c>
      <c r="D43" s="28" t="s">
        <v>48</v>
      </c>
      <c r="E43" s="29">
        <v>39</v>
      </c>
      <c r="F43" s="30">
        <v>2.2999999999999998</v>
      </c>
      <c r="G43" s="28" t="s">
        <v>51</v>
      </c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>
        <v>1080</v>
      </c>
      <c r="S43" s="31">
        <v>4360</v>
      </c>
      <c r="T43" s="31"/>
      <c r="U43" s="31"/>
      <c r="V43" s="31">
        <v>1080</v>
      </c>
      <c r="W43" s="31"/>
      <c r="X43" s="31"/>
      <c r="Y43" s="31"/>
      <c r="Z43" s="31"/>
      <c r="AA43" s="31"/>
      <c r="AB43" s="31">
        <v>1080</v>
      </c>
      <c r="AC43" s="31"/>
      <c r="AD43" s="31"/>
      <c r="AE43" s="31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1080</v>
      </c>
      <c r="AJ43" s="19">
        <f>Programacion[[#This Row],[DEVENGADO ABRIL]]+Programacion[[#This Row],[DEVENGADO MAYO]]+Programacion[[#This Row],[DEVENGADO JUNIO]]</f>
        <v>4360</v>
      </c>
      <c r="AK43" s="19">
        <f>Programacion[[#This Row],[JULIO]]+Programacion[[#This Row],[AGOSTO]]+Programacion[[#This Row],[SEPTIEMBRE]]</f>
        <v>1080</v>
      </c>
      <c r="AL43" s="19">
        <f>Programacion[[#This Row],[DEVENGADO JULIO]]+Programacion[[#This Row],[DEVENGADO AGOSTO]]+Programacion[[#This Row],[DEVENGADO SEPTIEMBRE]]</f>
        <v>0</v>
      </c>
      <c r="AM43" s="19">
        <f>Programacion[[#This Row],[OCTUBRE]]+Programacion[[#This Row],[NOVIEMBRE]]+Programacion[[#This Row],[DICIEMBRE]]</f>
        <v>1080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1080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43" s="123"/>
    </row>
    <row r="44" spans="1:46" x14ac:dyDescent="0.3">
      <c r="A44" s="26" t="s">
        <v>84</v>
      </c>
      <c r="B44" s="27" t="s">
        <v>88</v>
      </c>
      <c r="C44" s="28" t="s">
        <v>47</v>
      </c>
      <c r="D44" s="28" t="s">
        <v>48</v>
      </c>
      <c r="E44" s="29">
        <v>39</v>
      </c>
      <c r="F44" s="30">
        <v>2.2999999999999998</v>
      </c>
      <c r="G44" s="28" t="s">
        <v>89</v>
      </c>
      <c r="H44" s="31"/>
      <c r="I44" s="31"/>
      <c r="J44" s="31"/>
      <c r="K44" s="31"/>
      <c r="L44" s="31">
        <v>800</v>
      </c>
      <c r="M44" s="31">
        <v>800</v>
      </c>
      <c r="N44" s="31">
        <v>400</v>
      </c>
      <c r="O44" s="31">
        <v>400</v>
      </c>
      <c r="P44" s="31">
        <v>400</v>
      </c>
      <c r="Q44" s="31">
        <v>400</v>
      </c>
      <c r="R44" s="31">
        <v>400</v>
      </c>
      <c r="S44" s="31">
        <v>400</v>
      </c>
      <c r="T44" s="31">
        <v>400</v>
      </c>
      <c r="U44" s="31"/>
      <c r="V44" s="31">
        <v>400</v>
      </c>
      <c r="W44" s="31"/>
      <c r="X44" s="31">
        <v>400</v>
      </c>
      <c r="Y44" s="31"/>
      <c r="Z44" s="31">
        <v>400</v>
      </c>
      <c r="AA44" s="31"/>
      <c r="AB44" s="31">
        <v>400</v>
      </c>
      <c r="AC44" s="31"/>
      <c r="AD44" s="31">
        <v>400</v>
      </c>
      <c r="AE44" s="31"/>
      <c r="AF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44" s="19">
        <f>Programacion[[#This Row],[ENERO]]+Programacion[[#This Row],[FEBRERO]]+Programacion[[#This Row],[MARZO]]</f>
        <v>800</v>
      </c>
      <c r="AH44" s="19">
        <f>Programacion[[#This Row],[DEVENGADO ENERO]]+Programacion[[#This Row],[DEVENGADO FEBRERO]]+Programacion[[#This Row],[DEVENGADO MARZO]]</f>
        <v>800</v>
      </c>
      <c r="AI44" s="19">
        <f>Programacion[[#This Row],[ABRIL]]+Programacion[[#This Row],[MAYO]]+Programacion[[#This Row],[JUNIO]]</f>
        <v>1200</v>
      </c>
      <c r="AJ44" s="19">
        <f>Programacion[[#This Row],[DEVENGADO ABRIL]]+Programacion[[#This Row],[DEVENGADO MAYO]]+Programacion[[#This Row],[DEVENGADO JUNIO]]</f>
        <v>1200</v>
      </c>
      <c r="AK44" s="19">
        <f>Programacion[[#This Row],[JULIO]]+Programacion[[#This Row],[AGOSTO]]+Programacion[[#This Row],[SEPTIEMBRE]]</f>
        <v>1200</v>
      </c>
      <c r="AL44" s="19">
        <f>Programacion[[#This Row],[DEVENGADO JULIO]]+Programacion[[#This Row],[DEVENGADO AGOSTO]]+Programacion[[#This Row],[DEVENGADO SEPTIEMBRE]]</f>
        <v>0</v>
      </c>
      <c r="AM44" s="19">
        <f>Programacion[[#This Row],[OCTUBRE]]+Programacion[[#This Row],[NOVIEMBRE]]+Programacion[[#This Row],[DICIEMBRE]]</f>
        <v>1200</v>
      </c>
      <c r="AN44" s="20">
        <f>Programacion[[#This Row],[DEVENGADO OCTUBRE]]+Programacion[[#This Row],[DEVENGADO NOVIEMBRE]]+Programacion[[#This Row],[DEVENGADO DICIEMBRE]]</f>
        <v>0</v>
      </c>
      <c r="AO44" s="20">
        <f>Programacion[[#This Row],[ENERO]]+Programacion[[#This Row],[FEBRERO]]+Programacion[[#This Row],[MARZO]]+Programacion[[#This Row],[ABRIL]]+Programacion[[#This Row],[MAYO]]+Programacion[[#This Row],[JUNIO]]</f>
        <v>2000</v>
      </c>
      <c r="AP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44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44" s="123"/>
    </row>
    <row r="45" spans="1:46" x14ac:dyDescent="0.3">
      <c r="A45" s="26" t="s">
        <v>84</v>
      </c>
      <c r="B45" s="27" t="s">
        <v>87</v>
      </c>
      <c r="C45" s="28" t="s">
        <v>47</v>
      </c>
      <c r="D45" s="28" t="s">
        <v>48</v>
      </c>
      <c r="E45" s="29">
        <v>39</v>
      </c>
      <c r="F45" s="30">
        <v>2.2999999999999998</v>
      </c>
      <c r="G45" s="28" t="s">
        <v>51</v>
      </c>
      <c r="H45" s="31"/>
      <c r="I45" s="31"/>
      <c r="J45" s="31"/>
      <c r="K45" s="31"/>
      <c r="L45" s="31">
        <v>2000</v>
      </c>
      <c r="M45" s="31">
        <v>2000</v>
      </c>
      <c r="N45" s="31">
        <v>2000</v>
      </c>
      <c r="O45" s="31">
        <v>1600</v>
      </c>
      <c r="P45" s="31">
        <v>1200</v>
      </c>
      <c r="Q45" s="31">
        <v>1600</v>
      </c>
      <c r="R45" s="31">
        <v>1200</v>
      </c>
      <c r="S45" s="31">
        <v>1200</v>
      </c>
      <c r="T45" s="31">
        <v>1080</v>
      </c>
      <c r="U45" s="31"/>
      <c r="V45" s="31">
        <v>1080</v>
      </c>
      <c r="W45" s="31"/>
      <c r="X45" s="31">
        <v>1080</v>
      </c>
      <c r="Y45" s="31"/>
      <c r="Z45" s="31">
        <v>1080</v>
      </c>
      <c r="AA45" s="31"/>
      <c r="AB45" s="31">
        <v>1080</v>
      </c>
      <c r="AC45" s="31"/>
      <c r="AD45" s="31">
        <v>1080</v>
      </c>
      <c r="AE45" s="31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12880</v>
      </c>
      <c r="AG45" s="19">
        <f>Programacion[[#This Row],[ENERO]]+Programacion[[#This Row],[FEBRERO]]+Programacion[[#This Row],[MARZO]]</f>
        <v>2000</v>
      </c>
      <c r="AH45" s="19">
        <f>Programacion[[#This Row],[DEVENGADO ENERO]]+Programacion[[#This Row],[DEVENGADO FEBRERO]]+Programacion[[#This Row],[DEVENGADO MARZO]]</f>
        <v>2000</v>
      </c>
      <c r="AI45" s="19">
        <f>Programacion[[#This Row],[ABRIL]]+Programacion[[#This Row],[MAYO]]+Programacion[[#This Row],[JUNIO]]</f>
        <v>4400</v>
      </c>
      <c r="AJ45" s="19">
        <f>Programacion[[#This Row],[DEVENGADO ABRIL]]+Programacion[[#This Row],[DEVENGADO MAYO]]+Programacion[[#This Row],[DEVENGADO JUNIO]]</f>
        <v>4400</v>
      </c>
      <c r="AK45" s="19">
        <f>Programacion[[#This Row],[JULIO]]+Programacion[[#This Row],[AGOSTO]]+Programacion[[#This Row],[SEPTIEMBRE]]</f>
        <v>3240</v>
      </c>
      <c r="AL45" s="19">
        <f>Programacion[[#This Row],[DEVENGADO JULIO]]+Programacion[[#This Row],[DEVENGADO AGOSTO]]+Programacion[[#This Row],[DEVENGADO SEPTIEMBRE]]</f>
        <v>0</v>
      </c>
      <c r="AM45" s="19">
        <f>Programacion[[#This Row],[OCTUBRE]]+Programacion[[#This Row],[NOVIEMBRE]]+Programacion[[#This Row],[DICIEMBRE]]</f>
        <v>3240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6400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6400</v>
      </c>
      <c r="AT45" s="123"/>
    </row>
    <row r="46" spans="1:46" x14ac:dyDescent="0.3">
      <c r="A46" s="26" t="s">
        <v>84</v>
      </c>
      <c r="B46" s="27" t="s">
        <v>90</v>
      </c>
      <c r="C46" s="28" t="s">
        <v>47</v>
      </c>
      <c r="D46" s="28" t="s">
        <v>48</v>
      </c>
      <c r="E46" s="29">
        <v>39</v>
      </c>
      <c r="F46" s="30">
        <v>2.2999999999999998</v>
      </c>
      <c r="G46" s="28" t="s">
        <v>91</v>
      </c>
      <c r="H46" s="31"/>
      <c r="I46" s="31"/>
      <c r="J46" s="31"/>
      <c r="K46" s="31"/>
      <c r="L46" s="31">
        <v>60</v>
      </c>
      <c r="M46" s="31">
        <v>60</v>
      </c>
      <c r="N46" s="31">
        <v>60</v>
      </c>
      <c r="O46" s="31">
        <v>28.6</v>
      </c>
      <c r="P46" s="31">
        <v>60</v>
      </c>
      <c r="Q46" s="31">
        <v>60</v>
      </c>
      <c r="R46" s="31">
        <v>60</v>
      </c>
      <c r="S46" s="31">
        <v>18.59</v>
      </c>
      <c r="T46" s="31">
        <v>50</v>
      </c>
      <c r="U46" s="31">
        <v>-27.7</v>
      </c>
      <c r="V46" s="31">
        <v>50</v>
      </c>
      <c r="W46" s="31"/>
      <c r="X46" s="31">
        <v>50</v>
      </c>
      <c r="Y46" s="31"/>
      <c r="Z46" s="31">
        <v>50</v>
      </c>
      <c r="AA46" s="31"/>
      <c r="AB46" s="31">
        <v>50</v>
      </c>
      <c r="AC46" s="31"/>
      <c r="AD46" s="31">
        <v>50</v>
      </c>
      <c r="AE46" s="31"/>
      <c r="AF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46" s="19">
        <f>Programacion[[#This Row],[ENERO]]+Programacion[[#This Row],[FEBRERO]]+Programacion[[#This Row],[MARZO]]</f>
        <v>60</v>
      </c>
      <c r="AH46" s="19">
        <f>Programacion[[#This Row],[DEVENGADO ENERO]]+Programacion[[#This Row],[DEVENGADO FEBRERO]]+Programacion[[#This Row],[DEVENGADO MARZO]]</f>
        <v>60</v>
      </c>
      <c r="AI46" s="19">
        <f>Programacion[[#This Row],[ABRIL]]+Programacion[[#This Row],[MAYO]]+Programacion[[#This Row],[JUNIO]]</f>
        <v>180</v>
      </c>
      <c r="AJ46" s="19">
        <f>Programacion[[#This Row],[DEVENGADO ABRIL]]+Programacion[[#This Row],[DEVENGADO MAYO]]+Programacion[[#This Row],[DEVENGADO JUNIO]]</f>
        <v>107.19</v>
      </c>
      <c r="AK46" s="19">
        <f>Programacion[[#This Row],[JULIO]]+Programacion[[#This Row],[AGOSTO]]+Programacion[[#This Row],[SEPTIEMBRE]]</f>
        <v>150</v>
      </c>
      <c r="AL46" s="19">
        <f>Programacion[[#This Row],[DEVENGADO JULIO]]+Programacion[[#This Row],[DEVENGADO AGOSTO]]+Programacion[[#This Row],[DEVENGADO SEPTIEMBRE]]</f>
        <v>-27.7</v>
      </c>
      <c r="AM46" s="19">
        <f>Programacion[[#This Row],[OCTUBRE]]+Programacion[[#This Row],[NOVIEMBRE]]+Programacion[[#This Row],[DICIEMBRE]]</f>
        <v>150</v>
      </c>
      <c r="AN46" s="20">
        <f>Programacion[[#This Row],[DEVENGADO OCTUBRE]]+Programacion[[#This Row],[DEVENGADO NOVIEMBRE]]+Programacion[[#This Row],[DEVENGADO DICIEMBRE]]</f>
        <v>0</v>
      </c>
      <c r="AO46" s="20">
        <f>Programacion[[#This Row],[ENERO]]+Programacion[[#This Row],[FEBRERO]]+Programacion[[#This Row],[MARZO]]+Programacion[[#This Row],[ABRIL]]+Programacion[[#This Row],[MAYO]]+Programacion[[#This Row],[JUNIO]]</f>
        <v>240</v>
      </c>
      <c r="AP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46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-27.7</v>
      </c>
      <c r="AS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139.49</v>
      </c>
      <c r="AT46" s="123"/>
    </row>
    <row r="47" spans="1:46" x14ac:dyDescent="0.3">
      <c r="A47" s="26" t="s">
        <v>84</v>
      </c>
      <c r="B47" s="27" t="s">
        <v>92</v>
      </c>
      <c r="C47" s="28" t="s">
        <v>83</v>
      </c>
      <c r="D47" s="28" t="s">
        <v>48</v>
      </c>
      <c r="E47" s="29">
        <v>39</v>
      </c>
      <c r="F47" s="30">
        <v>2.6</v>
      </c>
      <c r="G47" s="28" t="s">
        <v>93</v>
      </c>
      <c r="H47" s="31"/>
      <c r="I47" s="31"/>
      <c r="J47" s="31"/>
      <c r="K47" s="31"/>
      <c r="L47" s="31"/>
      <c r="M47" s="31"/>
      <c r="N47" s="31"/>
      <c r="O47" s="31"/>
      <c r="P47" s="31">
        <v>43460</v>
      </c>
      <c r="Q47" s="31">
        <v>43460</v>
      </c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47" s="19">
        <f>Programacion[[#This Row],[ENERO]]+Programacion[[#This Row],[FEBRERO]]+Programacion[[#This Row],[MARZO]]</f>
        <v>0</v>
      </c>
      <c r="AH47" s="19">
        <f>Programacion[[#This Row],[DEVENGADO ENERO]]+Programacion[[#This Row],[DEVENGADO FEBRERO]]+Programacion[[#This Row],[DEVENGADO MARZO]]</f>
        <v>0</v>
      </c>
      <c r="AI47" s="19">
        <f>Programacion[[#This Row],[ABRIL]]+Programacion[[#This Row],[MAYO]]+Programacion[[#This Row],[JUNIO]]</f>
        <v>43460</v>
      </c>
      <c r="AJ47" s="19">
        <f>Programacion[[#This Row],[DEVENGADO ABRIL]]+Programacion[[#This Row],[DEVENGADO MAYO]]+Programacion[[#This Row],[DEVENGADO JUNIO]]</f>
        <v>43460</v>
      </c>
      <c r="AK47" s="19">
        <f>Programacion[[#This Row],[JULIO]]+Programacion[[#This Row],[AGOSTO]]+Programacion[[#This Row],[SEPTIEMBRE]]</f>
        <v>0</v>
      </c>
      <c r="AL47" s="19">
        <f>Programacion[[#This Row],[DEVENGADO JULIO]]+Programacion[[#This Row],[DEVENGADO AGOSTO]]+Programacion[[#This Row],[DEVENGADO SEPTIEMBRE]]</f>
        <v>0</v>
      </c>
      <c r="AM47" s="19">
        <f>Programacion[[#This Row],[OCTUBRE]]+Programacion[[#This Row],[NOVIEMBRE]]+Programacion[[#This Row],[DICIEMBRE]]</f>
        <v>0</v>
      </c>
      <c r="AN47" s="20">
        <f>Programacion[[#This Row],[DEVENGADO OCTUBRE]]+Programacion[[#This Row],[DEVENGADO NOVIEMBRE]]+Programacion[[#This Row],[DEVENGADO DICIEMBRE]]</f>
        <v>0</v>
      </c>
      <c r="AO47" s="20">
        <f>Programacion[[#This Row],[ENERO]]+Programacion[[#This Row],[FEBRERO]]+Programacion[[#This Row],[MARZO]]+Programacion[[#This Row],[ABRIL]]+Programacion[[#This Row],[MAYO]]+Programacion[[#This Row],[JUNIO]]</f>
        <v>43460</v>
      </c>
      <c r="AP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4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47" s="123"/>
    </row>
    <row r="48" spans="1:46" x14ac:dyDescent="0.3">
      <c r="A48" s="26" t="s">
        <v>84</v>
      </c>
      <c r="B48" s="27" t="s">
        <v>94</v>
      </c>
      <c r="C48" s="28" t="s">
        <v>67</v>
      </c>
      <c r="D48" s="28" t="s">
        <v>48</v>
      </c>
      <c r="E48" s="29">
        <v>39</v>
      </c>
      <c r="F48" s="30">
        <v>2.2999999999999998</v>
      </c>
      <c r="G48" s="28" t="s">
        <v>70</v>
      </c>
      <c r="H48" s="31"/>
      <c r="I48" s="31"/>
      <c r="J48" s="31"/>
      <c r="K48" s="31"/>
      <c r="L48" s="31">
        <v>28760</v>
      </c>
      <c r="M48" s="31">
        <v>28760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48" s="19">
        <f>Programacion[[#This Row],[ENERO]]+Programacion[[#This Row],[FEBRERO]]+Programacion[[#This Row],[MARZO]]</f>
        <v>28760</v>
      </c>
      <c r="AH48" s="19">
        <f>Programacion[[#This Row],[DEVENGADO ENERO]]+Programacion[[#This Row],[DEVENGADO FEBRERO]]+Programacion[[#This Row],[DEVENGADO MARZO]]</f>
        <v>28760</v>
      </c>
      <c r="AI48" s="19">
        <f>Programacion[[#This Row],[ABRIL]]+Programacion[[#This Row],[MAYO]]+Programacion[[#This Row],[JUNIO]]</f>
        <v>0</v>
      </c>
      <c r="AJ48" s="19">
        <f>Programacion[[#This Row],[DEVENGADO ABRIL]]+Programacion[[#This Row],[DEVENGADO MAYO]]+Programacion[[#This Row],[DEVENGADO JUNIO]]</f>
        <v>0</v>
      </c>
      <c r="AK48" s="19">
        <f>Programacion[[#This Row],[JULIO]]+Programacion[[#This Row],[AGOSTO]]+Programacion[[#This Row],[SEPTIEMBRE]]</f>
        <v>0</v>
      </c>
      <c r="AL48" s="19">
        <f>Programacion[[#This Row],[DEVENGADO JULIO]]+Programacion[[#This Row],[DEVENGADO AGOSTO]]+Programacion[[#This Row],[DEVENGADO SEPTIEMBRE]]</f>
        <v>0</v>
      </c>
      <c r="AM48" s="19">
        <f>Programacion[[#This Row],[OCTUBRE]]+Programacion[[#This Row],[NOVIEMBRE]]+Programacion[[#This Row],[DICIEMBRE]]</f>
        <v>0</v>
      </c>
      <c r="AN48" s="20">
        <f>Programacion[[#This Row],[DEVENGADO OCTUBRE]]+Programacion[[#This Row],[DEVENGADO NOVIEMBRE]]+Programacion[[#This Row],[DEVENGADO DICIEMBRE]]</f>
        <v>0</v>
      </c>
      <c r="AO48" s="20">
        <f>Programacion[[#This Row],[ENERO]]+Programacion[[#This Row],[FEBRERO]]+Programacion[[#This Row],[MARZO]]+Programacion[[#This Row],[ABRIL]]+Programacion[[#This Row],[MAYO]]+Programacion[[#This Row],[JUNIO]]</f>
        <v>28760</v>
      </c>
      <c r="AP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4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48" s="123"/>
    </row>
    <row r="49" spans="1:46" x14ac:dyDescent="0.3">
      <c r="A49" s="26" t="s">
        <v>84</v>
      </c>
      <c r="B49" s="27" t="s">
        <v>95</v>
      </c>
      <c r="C49" s="28" t="s">
        <v>67</v>
      </c>
      <c r="D49" s="28" t="s">
        <v>48</v>
      </c>
      <c r="E49" s="29">
        <v>39</v>
      </c>
      <c r="F49" s="30">
        <v>2.2999999999999998</v>
      </c>
      <c r="G49" s="28" t="s">
        <v>68</v>
      </c>
      <c r="H49" s="31"/>
      <c r="I49" s="31"/>
      <c r="J49" s="31"/>
      <c r="K49" s="31"/>
      <c r="L49" s="31">
        <v>19580</v>
      </c>
      <c r="M49" s="31">
        <v>19580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49" s="19">
        <f>Programacion[[#This Row],[ENERO]]+Programacion[[#This Row],[FEBRERO]]+Programacion[[#This Row],[MARZO]]</f>
        <v>19580</v>
      </c>
      <c r="AH49" s="19">
        <f>Programacion[[#This Row],[DEVENGADO ENERO]]+Programacion[[#This Row],[DEVENGADO FEBRERO]]+Programacion[[#This Row],[DEVENGADO MARZO]]</f>
        <v>19580</v>
      </c>
      <c r="AI49" s="19">
        <f>Programacion[[#This Row],[ABRIL]]+Programacion[[#This Row],[MAYO]]+Programacion[[#This Row],[JUNIO]]</f>
        <v>0</v>
      </c>
      <c r="AJ49" s="19">
        <f>Programacion[[#This Row],[DEVENGADO ABRIL]]+Programacion[[#This Row],[DEVENGADO MAYO]]+Programacion[[#This Row],[DEVENGADO JUNIO]]</f>
        <v>0</v>
      </c>
      <c r="AK49" s="19">
        <f>Programacion[[#This Row],[JULIO]]+Programacion[[#This Row],[AGOSTO]]+Programacion[[#This Row],[SEPTIEMBRE]]</f>
        <v>0</v>
      </c>
      <c r="AL49" s="19">
        <f>Programacion[[#This Row],[DEVENGADO JULIO]]+Programacion[[#This Row],[DEVENGADO AGOSTO]]+Programacion[[#This Row],[DEVENGADO SEPTIEMBRE]]</f>
        <v>0</v>
      </c>
      <c r="AM49" s="19">
        <f>Programacion[[#This Row],[OCTUBRE]]+Programacion[[#This Row],[NOVIEMBRE]]+Programacion[[#This Row],[DICIEMBRE]]</f>
        <v>0</v>
      </c>
      <c r="AN49" s="20">
        <f>Programacion[[#This Row],[DEVENGADO OCTUBRE]]+Programacion[[#This Row],[DEVENGADO NOVIEMBRE]]+Programacion[[#This Row],[DEVENGADO DICIEMBRE]]</f>
        <v>0</v>
      </c>
      <c r="AO49" s="20">
        <f>Programacion[[#This Row],[ENERO]]+Programacion[[#This Row],[FEBRERO]]+Programacion[[#This Row],[MARZO]]+Programacion[[#This Row],[ABRIL]]+Programacion[[#This Row],[MAYO]]+Programacion[[#This Row],[JUNIO]]</f>
        <v>19580</v>
      </c>
      <c r="AP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49" s="123"/>
    </row>
    <row r="50" spans="1:46" ht="28.8" x14ac:dyDescent="0.3">
      <c r="A50" s="26" t="s">
        <v>84</v>
      </c>
      <c r="B50" s="27" t="s">
        <v>96</v>
      </c>
      <c r="C50" s="28" t="s">
        <v>67</v>
      </c>
      <c r="D50" s="28" t="s">
        <v>48</v>
      </c>
      <c r="E50" s="29">
        <v>39</v>
      </c>
      <c r="F50" s="30">
        <v>2.2999999999999998</v>
      </c>
      <c r="G50" s="28" t="s">
        <v>68</v>
      </c>
      <c r="H50" s="31"/>
      <c r="I50" s="31"/>
      <c r="J50" s="31"/>
      <c r="K50" s="31"/>
      <c r="L50" s="31">
        <v>8760</v>
      </c>
      <c r="M50" s="31">
        <v>8760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50" s="19">
        <f>Programacion[[#This Row],[ENERO]]+Programacion[[#This Row],[FEBRERO]]+Programacion[[#This Row],[MARZO]]</f>
        <v>8760</v>
      </c>
      <c r="AH50" s="19">
        <f>Programacion[[#This Row],[DEVENGADO ENERO]]+Programacion[[#This Row],[DEVENGADO FEBRERO]]+Programacion[[#This Row],[DEVENGADO MARZO]]</f>
        <v>8760</v>
      </c>
      <c r="AI50" s="19">
        <f>Programacion[[#This Row],[ABRIL]]+Programacion[[#This Row],[MAYO]]+Programacion[[#This Row],[JUNIO]]</f>
        <v>0</v>
      </c>
      <c r="AJ50" s="19">
        <f>Programacion[[#This Row],[DEVENGADO ABRIL]]+Programacion[[#This Row],[DEVENGADO MAYO]]+Programacion[[#This Row],[DEVENGADO JUNIO]]</f>
        <v>0</v>
      </c>
      <c r="AK50" s="19">
        <f>Programacion[[#This Row],[JULIO]]+Programacion[[#This Row],[AGOSTO]]+Programacion[[#This Row],[SEPTIEMBRE]]</f>
        <v>0</v>
      </c>
      <c r="AL50" s="19">
        <f>Programacion[[#This Row],[DEVENGADO JULIO]]+Programacion[[#This Row],[DEVENGADO AGOSTO]]+Programacion[[#This Row],[DEVENGADO SEPTIEMBRE]]</f>
        <v>0</v>
      </c>
      <c r="AM50" s="19">
        <f>Programacion[[#This Row],[OCTUBRE]]+Programacion[[#This Row],[NOVIEMBRE]]+Programacion[[#This Row],[DICIEMBRE]]</f>
        <v>0</v>
      </c>
      <c r="AN50" s="20">
        <f>Programacion[[#This Row],[DEVENGADO OCTUBRE]]+Programacion[[#This Row],[DEVENGADO NOVIEMBRE]]+Programacion[[#This Row],[DEVENGADO DICIEMBRE]]</f>
        <v>0</v>
      </c>
      <c r="AO50" s="20">
        <f>Programacion[[#This Row],[ENERO]]+Programacion[[#This Row],[FEBRERO]]+Programacion[[#This Row],[MARZO]]+Programacion[[#This Row],[ABRIL]]+Programacion[[#This Row],[MAYO]]+Programacion[[#This Row],[JUNIO]]</f>
        <v>8760</v>
      </c>
      <c r="AP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5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50" s="123"/>
    </row>
    <row r="51" spans="1:46" ht="28.8" x14ac:dyDescent="0.3">
      <c r="A51" s="26" t="s">
        <v>84</v>
      </c>
      <c r="B51" s="27" t="s">
        <v>97</v>
      </c>
      <c r="C51" s="28" t="s">
        <v>67</v>
      </c>
      <c r="D51" s="28" t="s">
        <v>48</v>
      </c>
      <c r="E51" s="29">
        <v>39</v>
      </c>
      <c r="F51" s="30">
        <v>2.2999999999999998</v>
      </c>
      <c r="G51" s="28" t="s">
        <v>68</v>
      </c>
      <c r="H51" s="31"/>
      <c r="I51" s="31"/>
      <c r="J51" s="31"/>
      <c r="K51" s="31"/>
      <c r="L51" s="31"/>
      <c r="M51" s="31"/>
      <c r="N51" s="31">
        <v>42000</v>
      </c>
      <c r="O51" s="31">
        <v>42000</v>
      </c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51" s="19">
        <f>Programacion[[#This Row],[ENERO]]+Programacion[[#This Row],[FEBRERO]]+Programacion[[#This Row],[MARZO]]</f>
        <v>0</v>
      </c>
      <c r="AH51" s="19">
        <f>Programacion[[#This Row],[DEVENGADO ENERO]]+Programacion[[#This Row],[DEVENGADO FEBRERO]]+Programacion[[#This Row],[DEVENGADO MARZO]]</f>
        <v>0</v>
      </c>
      <c r="AI51" s="19">
        <f>Programacion[[#This Row],[ABRIL]]+Programacion[[#This Row],[MAYO]]+Programacion[[#This Row],[JUNIO]]</f>
        <v>42000</v>
      </c>
      <c r="AJ51" s="19">
        <f>Programacion[[#This Row],[DEVENGADO ABRIL]]+Programacion[[#This Row],[DEVENGADO MAYO]]+Programacion[[#This Row],[DEVENGADO JUNIO]]</f>
        <v>42000</v>
      </c>
      <c r="AK51" s="19">
        <f>Programacion[[#This Row],[JULIO]]+Programacion[[#This Row],[AGOSTO]]+Programacion[[#This Row],[SEPTIEMBRE]]</f>
        <v>0</v>
      </c>
      <c r="AL51" s="19">
        <f>Programacion[[#This Row],[DEVENGADO JULIO]]+Programacion[[#This Row],[DEVENGADO AGOSTO]]+Programacion[[#This Row],[DEVENGADO SEPTIEMBRE]]</f>
        <v>0</v>
      </c>
      <c r="AM51" s="19">
        <f>Programacion[[#This Row],[OCTUBRE]]+Programacion[[#This Row],[NOVIEMBRE]]+Programacion[[#This Row],[DICIEMBRE]]</f>
        <v>0</v>
      </c>
      <c r="AN51" s="20">
        <f>Programacion[[#This Row],[DEVENGADO OCTUBRE]]+Programacion[[#This Row],[DEVENGADO NOVIEMBRE]]+Programacion[[#This Row],[DEVENGADO DICIEMBRE]]</f>
        <v>0</v>
      </c>
      <c r="AO51" s="20">
        <f>Programacion[[#This Row],[ENERO]]+Programacion[[#This Row],[FEBRERO]]+Programacion[[#This Row],[MARZO]]+Programacion[[#This Row],[ABRIL]]+Programacion[[#This Row],[MAYO]]+Programacion[[#This Row],[JUNIO]]</f>
        <v>42000</v>
      </c>
      <c r="AP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51" s="123"/>
    </row>
    <row r="52" spans="1:46" ht="28.8" x14ac:dyDescent="0.3">
      <c r="A52" s="26" t="s">
        <v>84</v>
      </c>
      <c r="B52" s="27" t="s">
        <v>98</v>
      </c>
      <c r="C52" s="28" t="s">
        <v>67</v>
      </c>
      <c r="D52" s="28" t="s">
        <v>48</v>
      </c>
      <c r="E52" s="29">
        <v>39</v>
      </c>
      <c r="F52" s="30">
        <v>2.2999999999999998</v>
      </c>
      <c r="G52" s="28" t="s">
        <v>68</v>
      </c>
      <c r="H52" s="31"/>
      <c r="I52" s="31"/>
      <c r="J52" s="31"/>
      <c r="K52" s="31"/>
      <c r="L52" s="31">
        <v>16800</v>
      </c>
      <c r="M52" s="31">
        <v>16800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52" s="19">
        <f>Programacion[[#This Row],[ENERO]]+Programacion[[#This Row],[FEBRERO]]+Programacion[[#This Row],[MARZO]]</f>
        <v>16800</v>
      </c>
      <c r="AH52" s="19">
        <f>Programacion[[#This Row],[DEVENGADO ENERO]]+Programacion[[#This Row],[DEVENGADO FEBRERO]]+Programacion[[#This Row],[DEVENGADO MARZO]]</f>
        <v>16800</v>
      </c>
      <c r="AI52" s="19">
        <f>Programacion[[#This Row],[ABRIL]]+Programacion[[#This Row],[MAYO]]+Programacion[[#This Row],[JUNIO]]</f>
        <v>0</v>
      </c>
      <c r="AJ52" s="19">
        <f>Programacion[[#This Row],[DEVENGADO ABRIL]]+Programacion[[#This Row],[DEVENGADO MAYO]]+Programacion[[#This Row],[DEVENGADO JUNIO]]</f>
        <v>0</v>
      </c>
      <c r="AK52" s="19">
        <f>Programacion[[#This Row],[JULIO]]+Programacion[[#This Row],[AGOSTO]]+Programacion[[#This Row],[SEPTIEMBRE]]</f>
        <v>0</v>
      </c>
      <c r="AL52" s="19">
        <f>Programacion[[#This Row],[DEVENGADO JULIO]]+Programacion[[#This Row],[DEVENGADO AGOSTO]]+Programacion[[#This Row],[DEVENGADO SEPTIEMBRE]]</f>
        <v>0</v>
      </c>
      <c r="AM52" s="19">
        <f>Programacion[[#This Row],[OCTUBRE]]+Programacion[[#This Row],[NOVIEMBRE]]+Programacion[[#This Row],[DICIEMBRE]]</f>
        <v>0</v>
      </c>
      <c r="AN52" s="20">
        <f>Programacion[[#This Row],[DEVENGADO OCTUBRE]]+Programacion[[#This Row],[DEVENGADO NOVIEMBRE]]+Programacion[[#This Row],[DEVENGADO DICIEMBRE]]</f>
        <v>0</v>
      </c>
      <c r="AO52" s="20">
        <f>Programacion[[#This Row],[ENERO]]+Programacion[[#This Row],[FEBRERO]]+Programacion[[#This Row],[MARZO]]+Programacion[[#This Row],[ABRIL]]+Programacion[[#This Row],[MAYO]]+Programacion[[#This Row],[JUNIO]]</f>
        <v>16800</v>
      </c>
      <c r="AP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5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52" s="123"/>
    </row>
    <row r="53" spans="1:46" ht="28.8" x14ac:dyDescent="0.3">
      <c r="A53" s="26" t="s">
        <v>84</v>
      </c>
      <c r="B53" s="27" t="s">
        <v>99</v>
      </c>
      <c r="C53" s="28" t="s">
        <v>67</v>
      </c>
      <c r="D53" s="28" t="s">
        <v>48</v>
      </c>
      <c r="E53" s="29">
        <v>39</v>
      </c>
      <c r="F53" s="30">
        <v>2.2999999999999998</v>
      </c>
      <c r="G53" s="28" t="s">
        <v>68</v>
      </c>
      <c r="H53" s="31"/>
      <c r="I53" s="31"/>
      <c r="J53" s="31"/>
      <c r="K53" s="31"/>
      <c r="L53" s="31">
        <v>15000</v>
      </c>
      <c r="M53" s="31">
        <v>15000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53" s="19">
        <f>Programacion[[#This Row],[ENERO]]+Programacion[[#This Row],[FEBRERO]]+Programacion[[#This Row],[MARZO]]</f>
        <v>15000</v>
      </c>
      <c r="AH53" s="19">
        <f>Programacion[[#This Row],[DEVENGADO ENERO]]+Programacion[[#This Row],[DEVENGADO FEBRERO]]+Programacion[[#This Row],[DEVENGADO MARZO]]</f>
        <v>15000</v>
      </c>
      <c r="AI53" s="19">
        <f>Programacion[[#This Row],[ABRIL]]+Programacion[[#This Row],[MAYO]]+Programacion[[#This Row],[JUNIO]]</f>
        <v>0</v>
      </c>
      <c r="AJ53" s="19">
        <f>Programacion[[#This Row],[DEVENGADO ABRIL]]+Programacion[[#This Row],[DEVENGADO MAYO]]+Programacion[[#This Row],[DEVENGADO JUNIO]]</f>
        <v>0</v>
      </c>
      <c r="AK53" s="19">
        <f>Programacion[[#This Row],[JULIO]]+Programacion[[#This Row],[AGOSTO]]+Programacion[[#This Row],[SEPTIEMBRE]]</f>
        <v>0</v>
      </c>
      <c r="AL53" s="19">
        <f>Programacion[[#This Row],[DEVENGADO JULIO]]+Programacion[[#This Row],[DEVENGADO AGOSTO]]+Programacion[[#This Row],[DEVENGADO SEPTIEMBRE]]</f>
        <v>0</v>
      </c>
      <c r="AM53" s="19">
        <f>Programacion[[#This Row],[OCTUBRE]]+Programacion[[#This Row],[NOVIEMBRE]]+Programacion[[#This Row],[DICIEMBRE]]</f>
        <v>0</v>
      </c>
      <c r="AN53" s="20">
        <f>Programacion[[#This Row],[DEVENGADO OCTUBRE]]+Programacion[[#This Row],[DEVENGADO NOVIEMBRE]]+Programacion[[#This Row],[DEVENGADO DICIEMBRE]]</f>
        <v>0</v>
      </c>
      <c r="AO53" s="20">
        <f>Programacion[[#This Row],[ENERO]]+Programacion[[#This Row],[FEBRERO]]+Programacion[[#This Row],[MARZO]]+Programacion[[#This Row],[ABRIL]]+Programacion[[#This Row],[MAYO]]+Programacion[[#This Row],[JUNIO]]</f>
        <v>15000</v>
      </c>
      <c r="AP5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5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53" s="123"/>
    </row>
    <row r="54" spans="1:46" x14ac:dyDescent="0.3">
      <c r="A54" s="26" t="s">
        <v>84</v>
      </c>
      <c r="B54" s="27" t="s">
        <v>100</v>
      </c>
      <c r="C54" s="28" t="s">
        <v>101</v>
      </c>
      <c r="D54" s="28" t="s">
        <v>48</v>
      </c>
      <c r="E54" s="29">
        <v>78</v>
      </c>
      <c r="F54" s="30">
        <v>2.2999999999999998</v>
      </c>
      <c r="G54" s="28" t="s">
        <v>102</v>
      </c>
      <c r="H54" s="31"/>
      <c r="I54" s="31"/>
      <c r="J54" s="31">
        <v>1160</v>
      </c>
      <c r="K54" s="31">
        <v>1160</v>
      </c>
      <c r="L54" s="31">
        <v>580</v>
      </c>
      <c r="M54" s="31">
        <v>580</v>
      </c>
      <c r="N54" s="31">
        <v>580</v>
      </c>
      <c r="O54" s="31">
        <v>580</v>
      </c>
      <c r="P54" s="31">
        <v>580</v>
      </c>
      <c r="Q54" s="31">
        <v>580</v>
      </c>
      <c r="R54" s="31">
        <v>580</v>
      </c>
      <c r="S54" s="31">
        <v>580</v>
      </c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54" s="19">
        <f>Programacion[[#This Row],[ENERO]]+Programacion[[#This Row],[FEBRERO]]+Programacion[[#This Row],[MARZO]]</f>
        <v>1740</v>
      </c>
      <c r="AH54" s="19">
        <f>Programacion[[#This Row],[DEVENGADO ENERO]]+Programacion[[#This Row],[DEVENGADO FEBRERO]]+Programacion[[#This Row],[DEVENGADO MARZO]]</f>
        <v>1740</v>
      </c>
      <c r="AI54" s="19">
        <f>Programacion[[#This Row],[ABRIL]]+Programacion[[#This Row],[MAYO]]+Programacion[[#This Row],[JUNIO]]</f>
        <v>1740</v>
      </c>
      <c r="AJ54" s="19">
        <f>Programacion[[#This Row],[DEVENGADO ABRIL]]+Programacion[[#This Row],[DEVENGADO MAYO]]+Programacion[[#This Row],[DEVENGADO JUNIO]]</f>
        <v>1740</v>
      </c>
      <c r="AK54" s="19">
        <f>Programacion[[#This Row],[JULIO]]+Programacion[[#This Row],[AGOSTO]]+Programacion[[#This Row],[SEPTIEMBRE]]</f>
        <v>0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3480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54" s="123"/>
    </row>
    <row r="55" spans="1:46" x14ac:dyDescent="0.3">
      <c r="A55" s="26" t="s">
        <v>84</v>
      </c>
      <c r="B55" s="27" t="s">
        <v>103</v>
      </c>
      <c r="C55" s="28" t="s">
        <v>101</v>
      </c>
      <c r="D55" s="28" t="s">
        <v>48</v>
      </c>
      <c r="E55" s="29">
        <v>78</v>
      </c>
      <c r="F55" s="30">
        <v>2.2999999999999998</v>
      </c>
      <c r="G55" s="28" t="s">
        <v>102</v>
      </c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>
        <v>580</v>
      </c>
      <c r="U55" s="31">
        <v>580</v>
      </c>
      <c r="V55" s="31">
        <v>580</v>
      </c>
      <c r="W55" s="31"/>
      <c r="X55" s="31">
        <v>580</v>
      </c>
      <c r="Y55" s="31"/>
      <c r="Z55" s="31">
        <v>580</v>
      </c>
      <c r="AA55" s="31"/>
      <c r="AB55" s="31">
        <v>580</v>
      </c>
      <c r="AC55" s="31"/>
      <c r="AD55" s="31">
        <v>580</v>
      </c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55" s="19">
        <f>Programacion[[#This Row],[ENERO]]+Programacion[[#This Row],[FEBRERO]]+Programacion[[#This Row],[MARZO]]</f>
        <v>0</v>
      </c>
      <c r="AH55" s="19">
        <f>Programacion[[#This Row],[DEVENGADO ENERO]]+Programacion[[#This Row],[DEVENGADO FEBRERO]]+Programacion[[#This Row],[DEVENGADO MARZO]]</f>
        <v>0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1740</v>
      </c>
      <c r="AL55" s="19">
        <f>Programacion[[#This Row],[DEVENGADO JULIO]]+Programacion[[#This Row],[DEVENGADO AGOSTO]]+Programacion[[#This Row],[DEVENGADO SEPTIEMBRE]]</f>
        <v>580</v>
      </c>
      <c r="AM55" s="19">
        <f>Programacion[[#This Row],[OCTUBRE]]+Programacion[[#This Row],[NOVIEMBRE]]+Programacion[[#This Row],[DICIEMBRE]]</f>
        <v>1740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0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</v>
      </c>
      <c r="AT55" s="123"/>
    </row>
    <row r="56" spans="1:46" ht="28.8" x14ac:dyDescent="0.3">
      <c r="A56" s="26" t="s">
        <v>84</v>
      </c>
      <c r="B56" s="27" t="s">
        <v>104</v>
      </c>
      <c r="C56" s="28" t="s">
        <v>83</v>
      </c>
      <c r="D56" s="28" t="s">
        <v>48</v>
      </c>
      <c r="E56" s="29">
        <v>78</v>
      </c>
      <c r="F56" s="30">
        <v>2.6</v>
      </c>
      <c r="G56" s="28" t="s">
        <v>105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>
        <v>192947.98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192947.98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0</v>
      </c>
      <c r="AJ56" s="19">
        <f>Programacion[[#This Row],[DEVENGADO ABRIL]]+Programacion[[#This Row],[DEVENGADO MAYO]]+Programacion[[#This Row],[DEVENGADO JUNIO]]</f>
        <v>0</v>
      </c>
      <c r="AK56" s="19">
        <f>Programacion[[#This Row],[JULIO]]+Programacion[[#This Row],[AGOSTO]]+Programacion[[#This Row],[SEPTIEMBRE]]</f>
        <v>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192947.98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192947.98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123"/>
    </row>
    <row r="57" spans="1:46" x14ac:dyDescent="0.3">
      <c r="A57" s="26" t="s">
        <v>84</v>
      </c>
      <c r="B57" s="27" t="s">
        <v>106</v>
      </c>
      <c r="C57" s="28" t="s">
        <v>58</v>
      </c>
      <c r="D57" s="28" t="s">
        <v>48</v>
      </c>
      <c r="E57" s="29">
        <v>3</v>
      </c>
      <c r="F57" s="30">
        <v>2.2999999999999998</v>
      </c>
      <c r="G57" s="28" t="s">
        <v>73</v>
      </c>
      <c r="H57" s="31"/>
      <c r="I57" s="31"/>
      <c r="J57" s="31">
        <v>5000</v>
      </c>
      <c r="K57" s="31">
        <v>5000</v>
      </c>
      <c r="L57" s="31">
        <v>5000</v>
      </c>
      <c r="M57" s="31">
        <v>5000</v>
      </c>
      <c r="N57" s="31">
        <v>5000</v>
      </c>
      <c r="O57" s="31">
        <v>5000</v>
      </c>
      <c r="P57" s="31">
        <v>5000</v>
      </c>
      <c r="Q57" s="31">
        <v>5000</v>
      </c>
      <c r="R57" s="31">
        <v>5000</v>
      </c>
      <c r="S57" s="31">
        <v>5000</v>
      </c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57" s="19">
        <f>Programacion[[#This Row],[ENERO]]+Programacion[[#This Row],[FEBRERO]]+Programacion[[#This Row],[MARZO]]</f>
        <v>10000</v>
      </c>
      <c r="AH57" s="19">
        <f>Programacion[[#This Row],[DEVENGADO ENERO]]+Programacion[[#This Row],[DEVENGADO FEBRERO]]+Programacion[[#This Row],[DEVENGADO MARZO]]</f>
        <v>10000</v>
      </c>
      <c r="AI57" s="19">
        <f>Programacion[[#This Row],[ABRIL]]+Programacion[[#This Row],[MAYO]]+Programacion[[#This Row],[JUNIO]]</f>
        <v>15000</v>
      </c>
      <c r="AJ57" s="19">
        <f>Programacion[[#This Row],[DEVENGADO ABRIL]]+Programacion[[#This Row],[DEVENGADO MAYO]]+Programacion[[#This Row],[DEVENGADO JUNIO]]</f>
        <v>15000</v>
      </c>
      <c r="AK57" s="19">
        <f>Programacion[[#This Row],[JULIO]]+Programacion[[#This Row],[AGOSTO]]+Programacion[[#This Row],[SEPTIEMBRE]]</f>
        <v>0</v>
      </c>
      <c r="AL57" s="19">
        <f>Programacion[[#This Row],[DEVENGADO JULIO]]+Programacion[[#This Row],[DEVENGADO AGOSTO]]+Programacion[[#This Row],[DEVENGADO SEPTIEMBRE]]</f>
        <v>0</v>
      </c>
      <c r="AM57" s="19">
        <f>Programacion[[#This Row],[OCTUBRE]]+Programacion[[#This Row],[NOVIEMBRE]]+Programacion[[#This Row],[DICIEMBRE]]</f>
        <v>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25000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57" s="123"/>
    </row>
    <row r="58" spans="1:46" x14ac:dyDescent="0.3">
      <c r="A58" s="26" t="s">
        <v>84</v>
      </c>
      <c r="B58" s="27" t="s">
        <v>107</v>
      </c>
      <c r="C58" s="28" t="s">
        <v>58</v>
      </c>
      <c r="D58" s="28" t="s">
        <v>48</v>
      </c>
      <c r="E58" s="29">
        <v>78</v>
      </c>
      <c r="F58" s="30">
        <v>2.2999999999999998</v>
      </c>
      <c r="G58" s="28" t="s">
        <v>73</v>
      </c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>
        <v>5000</v>
      </c>
      <c r="U58" s="31"/>
      <c r="V58" s="31">
        <v>5000</v>
      </c>
      <c r="W58" s="31"/>
      <c r="X58" s="31">
        <v>5000</v>
      </c>
      <c r="Y58" s="31"/>
      <c r="Z58" s="31">
        <v>5000</v>
      </c>
      <c r="AA58" s="31"/>
      <c r="AB58" s="31">
        <v>5000</v>
      </c>
      <c r="AC58" s="31"/>
      <c r="AD58" s="31">
        <v>5000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58" s="19">
        <f>Programacion[[#This Row],[ENERO]]+Programacion[[#This Row],[FEBRERO]]+Programacion[[#This Row],[MARZO]]</f>
        <v>0</v>
      </c>
      <c r="AH58" s="19">
        <f>Programacion[[#This Row],[DEVENGADO ENERO]]+Programacion[[#This Row],[DEVENGADO FEBRERO]]+Programacion[[#This Row],[DEVENGADO MARZO]]</f>
        <v>0</v>
      </c>
      <c r="AI58" s="19">
        <f>Programacion[[#This Row],[ABRIL]]+Programacion[[#This Row],[MAYO]]+Programacion[[#This Row],[JUNIO]]</f>
        <v>0</v>
      </c>
      <c r="AJ58" s="19">
        <f>Programacion[[#This Row],[DEVENGADO ABRIL]]+Programacion[[#This Row],[DEVENGADO MAYO]]+Programacion[[#This Row],[DEVENGADO JUNIO]]</f>
        <v>0</v>
      </c>
      <c r="AK58" s="19">
        <f>Programacion[[#This Row],[JULIO]]+Programacion[[#This Row],[AGOSTO]]+Programacion[[#This Row],[SEPTIEMBRE]]</f>
        <v>15000</v>
      </c>
      <c r="AL58" s="19">
        <f>Programacion[[#This Row],[DEVENGADO JULIO]]+Programacion[[#This Row],[DEVENGADO AGOSTO]]+Programacion[[#This Row],[DEVENGADO SEPTIEMBRE]]</f>
        <v>0</v>
      </c>
      <c r="AM58" s="19">
        <f>Programacion[[#This Row],[OCTUBRE]]+Programacion[[#This Row],[NOVIEMBRE]]+Programacion[[#This Row],[DICIEMBRE]]</f>
        <v>15000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123"/>
    </row>
    <row r="59" spans="1:46" x14ac:dyDescent="0.3">
      <c r="A59" s="26" t="s">
        <v>84</v>
      </c>
      <c r="B59" s="27" t="s">
        <v>108</v>
      </c>
      <c r="C59" s="28" t="s">
        <v>58</v>
      </c>
      <c r="D59" s="28" t="s">
        <v>48</v>
      </c>
      <c r="E59" s="29">
        <v>3</v>
      </c>
      <c r="F59" s="30">
        <v>2.2999999999999998</v>
      </c>
      <c r="G59" s="28" t="s">
        <v>73</v>
      </c>
      <c r="H59" s="31"/>
      <c r="I59" s="31"/>
      <c r="J59" s="31">
        <v>5000</v>
      </c>
      <c r="K59" s="31">
        <v>5000</v>
      </c>
      <c r="L59" s="31">
        <v>5000</v>
      </c>
      <c r="M59" s="31">
        <v>5000</v>
      </c>
      <c r="N59" s="31">
        <v>5000</v>
      </c>
      <c r="O59" s="31">
        <v>5000</v>
      </c>
      <c r="P59" s="31">
        <v>5000</v>
      </c>
      <c r="Q59" s="31">
        <v>5000</v>
      </c>
      <c r="R59" s="31">
        <v>5000</v>
      </c>
      <c r="S59" s="31">
        <v>5000</v>
      </c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59" s="19">
        <f>Programacion[[#This Row],[ENERO]]+Programacion[[#This Row],[FEBRERO]]+Programacion[[#This Row],[MARZO]]</f>
        <v>10000</v>
      </c>
      <c r="AH59" s="19">
        <f>Programacion[[#This Row],[DEVENGADO ENERO]]+Programacion[[#This Row],[DEVENGADO FEBRERO]]+Programacion[[#This Row],[DEVENGADO MARZO]]</f>
        <v>10000</v>
      </c>
      <c r="AI59" s="19">
        <f>Programacion[[#This Row],[ABRIL]]+Programacion[[#This Row],[MAYO]]+Programacion[[#This Row],[JUNIO]]</f>
        <v>15000</v>
      </c>
      <c r="AJ59" s="19">
        <f>Programacion[[#This Row],[DEVENGADO ABRIL]]+Programacion[[#This Row],[DEVENGADO MAYO]]+Programacion[[#This Row],[DEVENGADO JUNIO]]</f>
        <v>15000</v>
      </c>
      <c r="AK59" s="19">
        <f>Programacion[[#This Row],[JULIO]]+Programacion[[#This Row],[AGOSTO]]+Programacion[[#This Row],[SEPTIEMBRE]]</f>
        <v>0</v>
      </c>
      <c r="AL59" s="19">
        <f>Programacion[[#This Row],[DEVENGADO JULIO]]+Programacion[[#This Row],[DEVENGADO AGOSTO]]+Programacion[[#This Row],[DEVENGADO SEPTIEMBRE]]</f>
        <v>0</v>
      </c>
      <c r="AM59" s="19">
        <f>Programacion[[#This Row],[OCTUBRE]]+Programacion[[#This Row],[NOVIEMBRE]]+Programacion[[#This Row],[DICIEMBRE]]</f>
        <v>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25000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59" s="123"/>
    </row>
    <row r="60" spans="1:46" x14ac:dyDescent="0.3">
      <c r="A60" s="26" t="s">
        <v>84</v>
      </c>
      <c r="B60" s="27" t="s">
        <v>109</v>
      </c>
      <c r="C60" s="28" t="s">
        <v>58</v>
      </c>
      <c r="D60" s="28" t="s">
        <v>48</v>
      </c>
      <c r="E60" s="29">
        <v>78</v>
      </c>
      <c r="F60" s="30">
        <v>2.2999999999999998</v>
      </c>
      <c r="G60" s="28" t="s">
        <v>73</v>
      </c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>
        <v>5000</v>
      </c>
      <c r="U60" s="31"/>
      <c r="V60" s="31">
        <v>5000</v>
      </c>
      <c r="W60" s="31"/>
      <c r="X60" s="31">
        <v>5000</v>
      </c>
      <c r="Y60" s="31"/>
      <c r="Z60" s="31">
        <v>5000</v>
      </c>
      <c r="AA60" s="31"/>
      <c r="AB60" s="31">
        <v>5000</v>
      </c>
      <c r="AC60" s="31"/>
      <c r="AD60" s="31">
        <v>5000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0" s="19">
        <f>Programacion[[#This Row],[ENERO]]+Programacion[[#This Row],[FEBRERO]]+Programacion[[#This Row],[MARZO]]</f>
        <v>0</v>
      </c>
      <c r="AH60" s="19">
        <f>Programacion[[#This Row],[DEVENGADO ENERO]]+Programacion[[#This Row],[DEVENGADO FEBRERO]]+Programacion[[#This Row],[DEVENGADO MARZO]]</f>
        <v>0</v>
      </c>
      <c r="AI60" s="19">
        <f>Programacion[[#This Row],[ABRIL]]+Programacion[[#This Row],[MAYO]]+Programacion[[#This Row],[JUNIO]]</f>
        <v>0</v>
      </c>
      <c r="AJ60" s="19">
        <f>Programacion[[#This Row],[DEVENGADO ABRIL]]+Programacion[[#This Row],[DEVENGADO MAYO]]+Programacion[[#This Row],[DEVENGADO JUNIO]]</f>
        <v>0</v>
      </c>
      <c r="AK60" s="19">
        <f>Programacion[[#This Row],[JULIO]]+Programacion[[#This Row],[AGOSTO]]+Programacion[[#This Row],[SEPTIEMBRE]]</f>
        <v>15000</v>
      </c>
      <c r="AL60" s="19">
        <f>Programacion[[#This Row],[DEVENGADO JULIO]]+Programacion[[#This Row],[DEVENGADO AGOSTO]]+Programacion[[#This Row],[DEVENGADO SEPTIEMBRE]]</f>
        <v>0</v>
      </c>
      <c r="AM60" s="19">
        <f>Programacion[[#This Row],[OCTUBRE]]+Programacion[[#This Row],[NOVIEMBRE]]+Programacion[[#This Row],[DICIEMBRE]]</f>
        <v>15000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0" s="123"/>
    </row>
    <row r="61" spans="1:46" x14ac:dyDescent="0.3">
      <c r="A61" s="26" t="s">
        <v>84</v>
      </c>
      <c r="B61" s="32" t="s">
        <v>110</v>
      </c>
      <c r="C61" s="28" t="s">
        <v>58</v>
      </c>
      <c r="D61" s="28" t="s">
        <v>48</v>
      </c>
      <c r="E61" s="29">
        <v>3</v>
      </c>
      <c r="F61" s="30">
        <v>2.2999999999999998</v>
      </c>
      <c r="G61" s="28" t="s">
        <v>73</v>
      </c>
      <c r="H61" s="31"/>
      <c r="I61" s="31"/>
      <c r="J61" s="31"/>
      <c r="K61" s="31"/>
      <c r="L61" s="31">
        <v>5000</v>
      </c>
      <c r="M61" s="31">
        <v>5000</v>
      </c>
      <c r="N61" s="31">
        <v>5000</v>
      </c>
      <c r="O61" s="31">
        <v>5000</v>
      </c>
      <c r="P61" s="31">
        <v>5000</v>
      </c>
      <c r="Q61" s="31">
        <v>5000</v>
      </c>
      <c r="R61" s="31">
        <v>5000</v>
      </c>
      <c r="S61" s="31">
        <v>5000</v>
      </c>
      <c r="T61" s="31">
        <v>5000</v>
      </c>
      <c r="U61" s="31">
        <v>5000</v>
      </c>
      <c r="V61" s="31">
        <v>5000</v>
      </c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61" s="19">
        <f>Programacion[[#This Row],[ENERO]]+Programacion[[#This Row],[FEBRERO]]+Programacion[[#This Row],[MARZO]]</f>
        <v>5000</v>
      </c>
      <c r="AH61" s="19">
        <f>Programacion[[#This Row],[DEVENGADO ENERO]]+Programacion[[#This Row],[DEVENGADO FEBRERO]]+Programacion[[#This Row],[DEVENGADO MARZO]]</f>
        <v>5000</v>
      </c>
      <c r="AI61" s="19">
        <f>Programacion[[#This Row],[ABRIL]]+Programacion[[#This Row],[MAYO]]+Programacion[[#This Row],[JUNIO]]</f>
        <v>15000</v>
      </c>
      <c r="AJ61" s="19">
        <f>Programacion[[#This Row],[DEVENGADO ABRIL]]+Programacion[[#This Row],[DEVENGADO MAYO]]+Programacion[[#This Row],[DEVENGADO JUNIO]]</f>
        <v>15000</v>
      </c>
      <c r="AK61" s="19">
        <f>Programacion[[#This Row],[JULIO]]+Programacion[[#This Row],[AGOSTO]]+Programacion[[#This Row],[SEPTIEMBRE]]</f>
        <v>10000</v>
      </c>
      <c r="AL61" s="19">
        <f>Programacion[[#This Row],[DEVENGADO JULIO]]+Programacion[[#This Row],[DEVENGADO AGOSTO]]+Programacion[[#This Row],[DEVENGADO SEPTIEMBRE]]</f>
        <v>5000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20000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61" s="123"/>
    </row>
    <row r="62" spans="1:46" x14ac:dyDescent="0.3">
      <c r="A62" s="26" t="s">
        <v>84</v>
      </c>
      <c r="B62" s="32" t="s">
        <v>254</v>
      </c>
      <c r="C62" s="28" t="s">
        <v>58</v>
      </c>
      <c r="D62" s="28" t="s">
        <v>48</v>
      </c>
      <c r="E62" s="29">
        <v>78</v>
      </c>
      <c r="F62" s="30">
        <v>2.2999999999999998</v>
      </c>
      <c r="G62" s="28" t="s">
        <v>73</v>
      </c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>
        <v>4000</v>
      </c>
      <c r="W62" s="31"/>
      <c r="X62" s="31">
        <v>4000</v>
      </c>
      <c r="Y62" s="31"/>
      <c r="Z62" s="31">
        <v>4000</v>
      </c>
      <c r="AA62" s="31"/>
      <c r="AB62" s="31">
        <v>4000</v>
      </c>
      <c r="AC62" s="31"/>
      <c r="AD62" s="31">
        <v>3000</v>
      </c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19000</v>
      </c>
      <c r="AG62" s="19">
        <f>Programacion[[#This Row],[ENERO]]+Programacion[[#This Row],[FEBRERO]]+Programacion[[#This Row],[MARZO]]</f>
        <v>0</v>
      </c>
      <c r="AH62" s="19">
        <f>Programacion[[#This Row],[DEVENGADO ENERO]]+Programacion[[#This Row],[DEVENGADO FEBRERO]]+Programacion[[#This Row],[DEVENGADO MARZO]]</f>
        <v>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8000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11000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19000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123"/>
    </row>
    <row r="63" spans="1:46" ht="28.8" x14ac:dyDescent="0.3">
      <c r="A63" s="107" t="s">
        <v>84</v>
      </c>
      <c r="B63" s="108" t="s">
        <v>249</v>
      </c>
      <c r="C63" s="28" t="s">
        <v>111</v>
      </c>
      <c r="D63" s="109" t="s">
        <v>48</v>
      </c>
      <c r="E63" s="110">
        <v>78</v>
      </c>
      <c r="F63" s="111">
        <v>2.2999999999999998</v>
      </c>
      <c r="G63" s="109" t="s">
        <v>129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>
        <v>660</v>
      </c>
      <c r="AE63" s="33"/>
      <c r="AF6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63" s="33">
        <f>Programacion[[#This Row],[ENERO]]+Programacion[[#This Row],[FEBRERO]]+Programacion[[#This Row],[MARZO]]</f>
        <v>0</v>
      </c>
      <c r="AH63" s="33">
        <f>Programacion[[#This Row],[DEVENGADO ENERO]]+Programacion[[#This Row],[DEVENGADO FEBRERO]]+Programacion[[#This Row],[DEVENGADO MARZO]]</f>
        <v>0</v>
      </c>
      <c r="AI63" s="33">
        <f>Programacion[[#This Row],[ABRIL]]+Programacion[[#This Row],[MAYO]]+Programacion[[#This Row],[JUNIO]]</f>
        <v>0</v>
      </c>
      <c r="AJ63" s="33">
        <f>Programacion[[#This Row],[DEVENGADO ABRIL]]+Programacion[[#This Row],[DEVENGADO MAYO]]+Programacion[[#This Row],[DEVENGADO JUNIO]]</f>
        <v>0</v>
      </c>
      <c r="AK63" s="33">
        <f>Programacion[[#This Row],[JULIO]]+Programacion[[#This Row],[AGOSTO]]+Programacion[[#This Row],[SEPTIEMBRE]]</f>
        <v>0</v>
      </c>
      <c r="AL63" s="33">
        <f>Programacion[[#This Row],[DEVENGADO JULIO]]+Programacion[[#This Row],[DEVENGADO AGOSTO]]+Programacion[[#This Row],[DEVENGADO SEPTIEMBRE]]</f>
        <v>0</v>
      </c>
      <c r="AM63" s="33">
        <f>Programacion[[#This Row],[OCTUBRE]]+Programacion[[#This Row],[NOVIEMBRE]]+Programacion[[#This Row],[DICIEMBRE]]</f>
        <v>660</v>
      </c>
      <c r="AN63" s="21">
        <f>Programacion[[#This Row],[DEVENGADO OCTUBRE]]+Programacion[[#This Row],[DEVENGADO NOVIEMBRE]]+Programacion[[#This Row],[DEVENGADO DICIEMBRE]]</f>
        <v>0</v>
      </c>
      <c r="AO63" s="21">
        <f>Programacion[[#This Row],[ENERO]]+Programacion[[#This Row],[FEBRERO]]+Programacion[[#This Row],[MARZO]]+Programacion[[#This Row],[ABRIL]]+Programacion[[#This Row],[MAYO]]+Programacion[[#This Row],[JUNIO]]</f>
        <v>0</v>
      </c>
      <c r="AP6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6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123"/>
    </row>
    <row r="64" spans="1:46" ht="28.8" x14ac:dyDescent="0.3">
      <c r="A64" s="26" t="s">
        <v>84</v>
      </c>
      <c r="B64" s="32" t="s">
        <v>111</v>
      </c>
      <c r="C64" s="28" t="s">
        <v>111</v>
      </c>
      <c r="D64" s="28" t="s">
        <v>48</v>
      </c>
      <c r="E64" s="29">
        <v>78</v>
      </c>
      <c r="F64" s="30">
        <v>2.2999999999999998</v>
      </c>
      <c r="G64" s="28" t="s">
        <v>112</v>
      </c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>
        <v>1130</v>
      </c>
      <c r="W64" s="31"/>
      <c r="X64" s="31">
        <v>1130</v>
      </c>
      <c r="Y64" s="31"/>
      <c r="Z64" s="31">
        <v>1130</v>
      </c>
      <c r="AA64" s="31"/>
      <c r="AB64" s="31">
        <v>1130</v>
      </c>
      <c r="AC64" s="31"/>
      <c r="AD64" s="31">
        <v>1130</v>
      </c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5650</v>
      </c>
      <c r="AG64" s="19">
        <f>Programacion[[#This Row],[ENERO]]+Programacion[[#This Row],[FEBRERO]]+Programacion[[#This Row],[MARZO]]</f>
        <v>0</v>
      </c>
      <c r="AH64" s="19">
        <f>Programacion[[#This Row],[DEVENGADO ENERO]]+Programacion[[#This Row],[DEVENGADO FEBRERO]]+Programacion[[#This Row],[DEVENGADO MARZO]]</f>
        <v>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2260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3390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5650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4" s="123"/>
    </row>
    <row r="65" spans="1:46" x14ac:dyDescent="0.3">
      <c r="A65" s="26" t="s">
        <v>84</v>
      </c>
      <c r="B65" s="32" t="s">
        <v>113</v>
      </c>
      <c r="C65" s="28" t="s">
        <v>58</v>
      </c>
      <c r="D65" s="28" t="s">
        <v>48</v>
      </c>
      <c r="E65" s="29">
        <v>39</v>
      </c>
      <c r="F65" s="30">
        <v>2.2999999999999998</v>
      </c>
      <c r="G65" s="28" t="s">
        <v>73</v>
      </c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>
        <v>1130</v>
      </c>
      <c r="S65" s="31"/>
      <c r="T65" s="31"/>
      <c r="U65" s="31">
        <v>1130</v>
      </c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65" s="33">
        <f>Programacion[[#This Row],[ENERO]]+Programacion[[#This Row],[FEBRERO]]+Programacion[[#This Row],[MARZO]]</f>
        <v>0</v>
      </c>
      <c r="AH65" s="33">
        <f>Programacion[[#This Row],[DEVENGADO ENERO]]+Programacion[[#This Row],[DEVENGADO FEBRERO]]+Programacion[[#This Row],[DEVENGADO MARZO]]</f>
        <v>0</v>
      </c>
      <c r="AI65" s="33">
        <f>Programacion[[#This Row],[ABRIL]]+Programacion[[#This Row],[MAYO]]+Programacion[[#This Row],[JUNIO]]</f>
        <v>1130</v>
      </c>
      <c r="AJ65" s="33">
        <f>Programacion[[#This Row],[DEVENGADO ABRIL]]+Programacion[[#This Row],[DEVENGADO MAYO]]+Programacion[[#This Row],[DEVENGADO JUNIO]]</f>
        <v>0</v>
      </c>
      <c r="AK65" s="33">
        <f>Programacion[[#This Row],[JULIO]]+Programacion[[#This Row],[AGOSTO]]+Programacion[[#This Row],[SEPTIEMBRE]]</f>
        <v>0</v>
      </c>
      <c r="AL65" s="33">
        <f>Programacion[[#This Row],[DEVENGADO JULIO]]+Programacion[[#This Row],[DEVENGADO AGOSTO]]+Programacion[[#This Row],[DEVENGADO SEPTIEMBRE]]</f>
        <v>1130</v>
      </c>
      <c r="AM65" s="33">
        <f>Programacion[[#This Row],[OCTUBRE]]+Programacion[[#This Row],[NOVIEMBRE]]+Programacion[[#This Row],[DICIEMBRE]]</f>
        <v>0</v>
      </c>
      <c r="AN65" s="21">
        <f>Programacion[[#This Row],[DEVENGADO OCTUBRE]]+Programacion[[#This Row],[DEVENGADO NOVIEMBRE]]+Programacion[[#This Row],[DEVENGADO DICIEMBRE]]</f>
        <v>0</v>
      </c>
      <c r="AO65" s="21">
        <f>Programacion[[#This Row],[ENERO]]+Programacion[[#This Row],[FEBRERO]]+Programacion[[#This Row],[MARZO]]+Programacion[[#This Row],[ABRIL]]+Programacion[[#This Row],[MAYO]]+Programacion[[#This Row],[JUNIO]]</f>
        <v>1130</v>
      </c>
      <c r="AP6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6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65" s="123"/>
    </row>
    <row r="66" spans="1:46" ht="28.8" x14ac:dyDescent="0.3">
      <c r="A66" s="26" t="s">
        <v>84</v>
      </c>
      <c r="B66" s="120" t="s">
        <v>236</v>
      </c>
      <c r="C66" s="109" t="s">
        <v>47</v>
      </c>
      <c r="D66" s="28" t="s">
        <v>48</v>
      </c>
      <c r="E66" s="110">
        <v>78</v>
      </c>
      <c r="F66" s="30">
        <v>2.2999999999999998</v>
      </c>
      <c r="G66" s="28" t="s">
        <v>49</v>
      </c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1">
        <v>1550</v>
      </c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66" s="33">
        <f>Programacion[[#This Row],[ENERO]]+Programacion[[#This Row],[FEBRERO]]+Programacion[[#This Row],[MARZO]]</f>
        <v>0</v>
      </c>
      <c r="AH66" s="33">
        <f>Programacion[[#This Row],[DEVENGADO ENERO]]+Programacion[[#This Row],[DEVENGADO FEBRERO]]+Programacion[[#This Row],[DEVENGADO MARZO]]</f>
        <v>0</v>
      </c>
      <c r="AI66" s="33">
        <f>Programacion[[#This Row],[ABRIL]]+Programacion[[#This Row],[MAYO]]+Programacion[[#This Row],[JUNIO]]</f>
        <v>1550</v>
      </c>
      <c r="AJ66" s="33">
        <f>Programacion[[#This Row],[DEVENGADO ABRIL]]+Programacion[[#This Row],[DEVENGADO MAYO]]+Programacion[[#This Row],[DEVENGADO JUNIO]]</f>
        <v>0</v>
      </c>
      <c r="AK66" s="33">
        <f>Programacion[[#This Row],[JULIO]]+Programacion[[#This Row],[AGOSTO]]+Programacion[[#This Row],[SEPTIEMBRE]]</f>
        <v>0</v>
      </c>
      <c r="AL66" s="33">
        <f>Programacion[[#This Row],[DEVENGADO JULIO]]+Programacion[[#This Row],[DEVENGADO AGOSTO]]+Programacion[[#This Row],[DEVENGADO SEPTIEMBRE]]</f>
        <v>0</v>
      </c>
      <c r="AM66" s="33">
        <f>Programacion[[#This Row],[OCTUBRE]]+Programacion[[#This Row],[NOVIEMBRE]]+Programacion[[#This Row],[DICIEMBRE]]</f>
        <v>0</v>
      </c>
      <c r="AN66" s="21">
        <f>Programacion[[#This Row],[DEVENGADO OCTUBRE]]+Programacion[[#This Row],[DEVENGADO NOVIEMBRE]]+Programacion[[#This Row],[DEVENGADO DICIEMBRE]]</f>
        <v>0</v>
      </c>
      <c r="AO66" s="21">
        <f>Programacion[[#This Row],[ENERO]]+Programacion[[#This Row],[FEBRERO]]+Programacion[[#This Row],[MARZO]]+Programacion[[#This Row],[ABRIL]]+Programacion[[#This Row],[MAYO]]+Programacion[[#This Row],[JUNIO]]</f>
        <v>1550</v>
      </c>
      <c r="AP6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123"/>
    </row>
    <row r="67" spans="1:46" x14ac:dyDescent="0.3">
      <c r="A67" s="26" t="s">
        <v>84</v>
      </c>
      <c r="B67" s="120" t="s">
        <v>87</v>
      </c>
      <c r="C67" s="109" t="s">
        <v>47</v>
      </c>
      <c r="D67" s="28" t="s">
        <v>48</v>
      </c>
      <c r="E67" s="110">
        <v>78</v>
      </c>
      <c r="F67" s="30">
        <v>2.2999999999999998</v>
      </c>
      <c r="G67" s="28" t="s">
        <v>51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1">
        <v>3280</v>
      </c>
      <c r="S67" s="33"/>
      <c r="T67" s="33"/>
      <c r="U67" s="33">
        <v>2000</v>
      </c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67" s="33">
        <f>Programacion[[#This Row],[ENERO]]+Programacion[[#This Row],[FEBRERO]]+Programacion[[#This Row],[MARZO]]</f>
        <v>0</v>
      </c>
      <c r="AH67" s="33">
        <f>Programacion[[#This Row],[DEVENGADO ENERO]]+Programacion[[#This Row],[DEVENGADO FEBRERO]]+Programacion[[#This Row],[DEVENGADO MARZO]]</f>
        <v>0</v>
      </c>
      <c r="AI67" s="33">
        <f>Programacion[[#This Row],[ABRIL]]+Programacion[[#This Row],[MAYO]]+Programacion[[#This Row],[JUNIO]]</f>
        <v>3280</v>
      </c>
      <c r="AJ67" s="33">
        <f>Programacion[[#This Row],[DEVENGADO ABRIL]]+Programacion[[#This Row],[DEVENGADO MAYO]]+Programacion[[#This Row],[DEVENGADO JUNIO]]</f>
        <v>0</v>
      </c>
      <c r="AK67" s="33">
        <f>Programacion[[#This Row],[JULIO]]+Programacion[[#This Row],[AGOSTO]]+Programacion[[#This Row],[SEPTIEMBRE]]</f>
        <v>0</v>
      </c>
      <c r="AL67" s="33">
        <f>Programacion[[#This Row],[DEVENGADO JULIO]]+Programacion[[#This Row],[DEVENGADO AGOSTO]]+Programacion[[#This Row],[DEVENGADO SEPTIEMBRE]]</f>
        <v>2000</v>
      </c>
      <c r="AM67" s="33">
        <f>Programacion[[#This Row],[OCTUBRE]]+Programacion[[#This Row],[NOVIEMBRE]]+Programacion[[#This Row],[DICIEMBRE]]</f>
        <v>0</v>
      </c>
      <c r="AN67" s="21">
        <f>Programacion[[#This Row],[DEVENGADO OCTUBRE]]+Programacion[[#This Row],[DEVENGADO NOVIEMBRE]]+Programacion[[#This Row],[DEVENGADO DICIEMBRE]]</f>
        <v>0</v>
      </c>
      <c r="AO67" s="21">
        <f>Programacion[[#This Row],[ENERO]]+Programacion[[#This Row],[FEBRERO]]+Programacion[[#This Row],[MARZO]]+Programacion[[#This Row],[ABRIL]]+Programacion[[#This Row],[MAYO]]+Programacion[[#This Row],[JUNIO]]</f>
        <v>3280</v>
      </c>
      <c r="AP6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6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67" s="123"/>
    </row>
    <row r="68" spans="1:46" x14ac:dyDescent="0.3">
      <c r="A68" s="26" t="s">
        <v>84</v>
      </c>
      <c r="B68" s="120" t="s">
        <v>237</v>
      </c>
      <c r="C68" s="109" t="s">
        <v>47</v>
      </c>
      <c r="D68" s="28" t="s">
        <v>48</v>
      </c>
      <c r="E68" s="110">
        <v>78</v>
      </c>
      <c r="F68" s="30">
        <v>2.2999999999999998</v>
      </c>
      <c r="G68" s="28" t="s">
        <v>241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1">
        <v>829</v>
      </c>
      <c r="S68" s="33">
        <v>829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68" s="33">
        <f>Programacion[[#This Row],[ENERO]]+Programacion[[#This Row],[FEBRERO]]+Programacion[[#This Row],[MARZO]]</f>
        <v>0</v>
      </c>
      <c r="AH68" s="33">
        <f>Programacion[[#This Row],[DEVENGADO ENERO]]+Programacion[[#This Row],[DEVENGADO FEBRERO]]+Programacion[[#This Row],[DEVENGADO MARZO]]</f>
        <v>0</v>
      </c>
      <c r="AI68" s="33">
        <f>Programacion[[#This Row],[ABRIL]]+Programacion[[#This Row],[MAYO]]+Programacion[[#This Row],[JUNIO]]</f>
        <v>829</v>
      </c>
      <c r="AJ68" s="33">
        <f>Programacion[[#This Row],[DEVENGADO ABRIL]]+Programacion[[#This Row],[DEVENGADO MAYO]]+Programacion[[#This Row],[DEVENGADO JUNIO]]</f>
        <v>829</v>
      </c>
      <c r="AK68" s="33">
        <f>Programacion[[#This Row],[JULIO]]+Programacion[[#This Row],[AGOSTO]]+Programacion[[#This Row],[SEPTIEMBRE]]</f>
        <v>0</v>
      </c>
      <c r="AL68" s="33">
        <f>Programacion[[#This Row],[DEVENGADO JULIO]]+Programacion[[#This Row],[DEVENGADO AGOSTO]]+Programacion[[#This Row],[DEVENGADO SEPTIEMBRE]]</f>
        <v>0</v>
      </c>
      <c r="AM68" s="33">
        <f>Programacion[[#This Row],[OCTUBRE]]+Programacion[[#This Row],[NOVIEMBRE]]+Programacion[[#This Row],[DICIEMBRE]]</f>
        <v>0</v>
      </c>
      <c r="AN68" s="21">
        <f>Programacion[[#This Row],[DEVENGADO OCTUBRE]]+Programacion[[#This Row],[DEVENGADO NOVIEMBRE]]+Programacion[[#This Row],[DEVENGADO DICIEMBRE]]</f>
        <v>0</v>
      </c>
      <c r="AO68" s="21">
        <f>Programacion[[#This Row],[ENERO]]+Programacion[[#This Row],[FEBRERO]]+Programacion[[#This Row],[MARZO]]+Programacion[[#This Row],[ABRIL]]+Programacion[[#This Row],[MAYO]]+Programacion[[#This Row],[JUNIO]]</f>
        <v>829</v>
      </c>
      <c r="AP6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6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68" s="123"/>
    </row>
    <row r="69" spans="1:46" x14ac:dyDescent="0.3">
      <c r="A69" s="26" t="s">
        <v>84</v>
      </c>
      <c r="B69" s="120" t="s">
        <v>238</v>
      </c>
      <c r="C69" s="109" t="s">
        <v>47</v>
      </c>
      <c r="D69" s="28" t="s">
        <v>48</v>
      </c>
      <c r="E69" s="110">
        <v>78</v>
      </c>
      <c r="F69" s="30">
        <v>2.2999999999999998</v>
      </c>
      <c r="G69" s="28" t="s">
        <v>242</v>
      </c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1">
        <v>3500</v>
      </c>
      <c r="S69" s="33">
        <v>3500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9" s="33">
        <f>Programacion[[#This Row],[ENERO]]+Programacion[[#This Row],[FEBRERO]]+Programacion[[#This Row],[MARZO]]</f>
        <v>0</v>
      </c>
      <c r="AH69" s="33">
        <f>Programacion[[#This Row],[DEVENGADO ENERO]]+Programacion[[#This Row],[DEVENGADO FEBRERO]]+Programacion[[#This Row],[DEVENGADO MARZO]]</f>
        <v>0</v>
      </c>
      <c r="AI69" s="33">
        <f>Programacion[[#This Row],[ABRIL]]+Programacion[[#This Row],[MAYO]]+Programacion[[#This Row],[JUNIO]]</f>
        <v>3500</v>
      </c>
      <c r="AJ69" s="33">
        <f>Programacion[[#This Row],[DEVENGADO ABRIL]]+Programacion[[#This Row],[DEVENGADO MAYO]]+Programacion[[#This Row],[DEVENGADO JUNIO]]</f>
        <v>3500</v>
      </c>
      <c r="AK69" s="33">
        <f>Programacion[[#This Row],[JULIO]]+Programacion[[#This Row],[AGOSTO]]+Programacion[[#This Row],[SEPTIEMBRE]]</f>
        <v>0</v>
      </c>
      <c r="AL69" s="33">
        <f>Programacion[[#This Row],[DEVENGADO JULIO]]+Programacion[[#This Row],[DEVENGADO AGOSTO]]+Programacion[[#This Row],[DEVENGADO SEPTIEMBRE]]</f>
        <v>0</v>
      </c>
      <c r="AM69" s="33">
        <f>Programacion[[#This Row],[OCTUBRE]]+Programacion[[#This Row],[NOVIEMBRE]]+Programacion[[#This Row],[DICIEMBRE]]</f>
        <v>0</v>
      </c>
      <c r="AN69" s="21">
        <f>Programacion[[#This Row],[DEVENGADO OCTUBRE]]+Programacion[[#This Row],[DEVENGADO NOVIEMBRE]]+Programacion[[#This Row],[DEVENGADO DICIEMBRE]]</f>
        <v>0</v>
      </c>
      <c r="AO69" s="21">
        <f>Programacion[[#This Row],[ENERO]]+Programacion[[#This Row],[FEBRERO]]+Programacion[[#This Row],[MARZO]]+Programacion[[#This Row],[ABRIL]]+Programacion[[#This Row],[MAYO]]+Programacion[[#This Row],[JUNIO]]</f>
        <v>3500</v>
      </c>
      <c r="AP6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6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69" s="123"/>
    </row>
    <row r="70" spans="1:46" x14ac:dyDescent="0.3">
      <c r="A70" s="26" t="s">
        <v>84</v>
      </c>
      <c r="B70" s="120" t="s">
        <v>88</v>
      </c>
      <c r="C70" s="109" t="s">
        <v>47</v>
      </c>
      <c r="D70" s="28" t="s">
        <v>48</v>
      </c>
      <c r="E70" s="110">
        <v>78</v>
      </c>
      <c r="F70" s="30">
        <v>2.2999999999999998</v>
      </c>
      <c r="G70" s="28" t="s">
        <v>89</v>
      </c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>
        <v>400</v>
      </c>
      <c r="U70" s="33">
        <v>400</v>
      </c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70" s="33">
        <f>Programacion[[#This Row],[ENERO]]+Programacion[[#This Row],[FEBRERO]]+Programacion[[#This Row],[MARZO]]</f>
        <v>0</v>
      </c>
      <c r="AH70" s="33">
        <f>Programacion[[#This Row],[DEVENGADO ENERO]]+Programacion[[#This Row],[DEVENGADO FEBRERO]]+Programacion[[#This Row],[DEVENGADO MARZO]]</f>
        <v>0</v>
      </c>
      <c r="AI70" s="33">
        <f>Programacion[[#This Row],[ABRIL]]+Programacion[[#This Row],[MAYO]]+Programacion[[#This Row],[JUNIO]]</f>
        <v>0</v>
      </c>
      <c r="AJ70" s="33">
        <f>Programacion[[#This Row],[DEVENGADO ABRIL]]+Programacion[[#This Row],[DEVENGADO MAYO]]+Programacion[[#This Row],[DEVENGADO JUNIO]]</f>
        <v>0</v>
      </c>
      <c r="AK70" s="33">
        <f>Programacion[[#This Row],[JULIO]]+Programacion[[#This Row],[AGOSTO]]+Programacion[[#This Row],[SEPTIEMBRE]]</f>
        <v>400</v>
      </c>
      <c r="AL70" s="33">
        <f>Programacion[[#This Row],[DEVENGADO JULIO]]+Programacion[[#This Row],[DEVENGADO AGOSTO]]+Programacion[[#This Row],[DEVENGADO SEPTIEMBRE]]</f>
        <v>400</v>
      </c>
      <c r="AM70" s="33">
        <f>Programacion[[#This Row],[OCTUBRE]]+Programacion[[#This Row],[NOVIEMBRE]]+Programacion[[#This Row],[DICIEMBRE]]</f>
        <v>0</v>
      </c>
      <c r="AN70" s="21">
        <f>Programacion[[#This Row],[DEVENGADO OCTUBRE]]+Programacion[[#This Row],[DEVENGADO NOVIEMBRE]]+Programacion[[#This Row],[DEVENGADO DICIEMBRE]]</f>
        <v>0</v>
      </c>
      <c r="AO70" s="21">
        <f>Programacion[[#This Row],[ENERO]]+Programacion[[#This Row],[FEBRERO]]+Programacion[[#This Row],[MARZO]]+Programacion[[#This Row],[ABRIL]]+Programacion[[#This Row],[MAYO]]+Programacion[[#This Row],[JUNIO]]</f>
        <v>0</v>
      </c>
      <c r="AP7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0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7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0" s="123"/>
    </row>
    <row r="71" spans="1:46" x14ac:dyDescent="0.3">
      <c r="A71" s="26" t="s">
        <v>84</v>
      </c>
      <c r="B71" s="120" t="s">
        <v>90</v>
      </c>
      <c r="C71" s="109" t="s">
        <v>47</v>
      </c>
      <c r="D71" s="28" t="s">
        <v>48</v>
      </c>
      <c r="E71" s="110">
        <v>78</v>
      </c>
      <c r="F71" s="30">
        <v>2.2999999999999998</v>
      </c>
      <c r="G71" s="28" t="s">
        <v>91</v>
      </c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>
        <v>50</v>
      </c>
      <c r="U71" s="33">
        <v>14.3</v>
      </c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71" s="33">
        <f>Programacion[[#This Row],[ENERO]]+Programacion[[#This Row],[FEBRERO]]+Programacion[[#This Row],[MARZO]]</f>
        <v>0</v>
      </c>
      <c r="AH71" s="33">
        <f>Programacion[[#This Row],[DEVENGADO ENERO]]+Programacion[[#This Row],[DEVENGADO FEBRERO]]+Programacion[[#This Row],[DEVENGADO MARZO]]</f>
        <v>0</v>
      </c>
      <c r="AI71" s="33">
        <f>Programacion[[#This Row],[ABRIL]]+Programacion[[#This Row],[MAYO]]+Programacion[[#This Row],[JUNIO]]</f>
        <v>0</v>
      </c>
      <c r="AJ71" s="33">
        <f>Programacion[[#This Row],[DEVENGADO ABRIL]]+Programacion[[#This Row],[DEVENGADO MAYO]]+Programacion[[#This Row],[DEVENGADO JUNIO]]</f>
        <v>0</v>
      </c>
      <c r="AK71" s="33">
        <f>Programacion[[#This Row],[JULIO]]+Programacion[[#This Row],[AGOSTO]]+Programacion[[#This Row],[SEPTIEMBRE]]</f>
        <v>50</v>
      </c>
      <c r="AL71" s="33">
        <f>Programacion[[#This Row],[DEVENGADO JULIO]]+Programacion[[#This Row],[DEVENGADO AGOSTO]]+Programacion[[#This Row],[DEVENGADO SEPTIEMBRE]]</f>
        <v>14.3</v>
      </c>
      <c r="AM71" s="33">
        <f>Programacion[[#This Row],[OCTUBRE]]+Programacion[[#This Row],[NOVIEMBRE]]+Programacion[[#This Row],[DICIEMBRE]]</f>
        <v>0</v>
      </c>
      <c r="AN71" s="21">
        <f>Programacion[[#This Row],[DEVENGADO OCTUBRE]]+Programacion[[#This Row],[DEVENGADO NOVIEMBRE]]+Programacion[[#This Row],[DEVENGADO DICIEMBRE]]</f>
        <v>0</v>
      </c>
      <c r="AO71" s="21">
        <f>Programacion[[#This Row],[ENERO]]+Programacion[[#This Row],[FEBRERO]]+Programacion[[#This Row],[MARZO]]+Programacion[[#This Row],[ABRIL]]+Programacion[[#This Row],[MAYO]]+Programacion[[#This Row],[JUNIO]]</f>
        <v>0</v>
      </c>
      <c r="AP7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7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7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71" s="123"/>
    </row>
    <row r="72" spans="1:46" ht="28.8" x14ac:dyDescent="0.3">
      <c r="A72" s="26" t="s">
        <v>84</v>
      </c>
      <c r="B72" s="120" t="s">
        <v>239</v>
      </c>
      <c r="C72" s="109" t="s">
        <v>47</v>
      </c>
      <c r="D72" s="28" t="s">
        <v>48</v>
      </c>
      <c r="E72" s="110">
        <v>78</v>
      </c>
      <c r="F72" s="30">
        <v>2.2999999999999998</v>
      </c>
      <c r="G72" s="28" t="s">
        <v>49</v>
      </c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1">
        <v>6000</v>
      </c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2" s="33">
        <f>Programacion[[#This Row],[ENERO]]+Programacion[[#This Row],[FEBRERO]]+Programacion[[#This Row],[MARZO]]</f>
        <v>0</v>
      </c>
      <c r="AH72" s="33">
        <f>Programacion[[#This Row],[DEVENGADO ENERO]]+Programacion[[#This Row],[DEVENGADO FEBRERO]]+Programacion[[#This Row],[DEVENGADO MARZO]]</f>
        <v>0</v>
      </c>
      <c r="AI72" s="33">
        <f>Programacion[[#This Row],[ABRIL]]+Programacion[[#This Row],[MAYO]]+Programacion[[#This Row],[JUNIO]]</f>
        <v>0</v>
      </c>
      <c r="AJ72" s="33">
        <f>Programacion[[#This Row],[DEVENGADO ABRIL]]+Programacion[[#This Row],[DEVENGADO MAYO]]+Programacion[[#This Row],[DEVENGADO JUNIO]]</f>
        <v>0</v>
      </c>
      <c r="AK72" s="33">
        <f>Programacion[[#This Row],[JULIO]]+Programacion[[#This Row],[AGOSTO]]+Programacion[[#This Row],[SEPTIEMBRE]]</f>
        <v>6000</v>
      </c>
      <c r="AL72" s="33">
        <f>Programacion[[#This Row],[DEVENGADO JULIO]]+Programacion[[#This Row],[DEVENGADO AGOSTO]]+Programacion[[#This Row],[DEVENGADO SEPTIEMBRE]]</f>
        <v>0</v>
      </c>
      <c r="AM72" s="33">
        <f>Programacion[[#This Row],[OCTUBRE]]+Programacion[[#This Row],[NOVIEMBRE]]+Programacion[[#This Row],[DICIEMBRE]]</f>
        <v>0</v>
      </c>
      <c r="AN72" s="21">
        <f>Programacion[[#This Row],[DEVENGADO OCTUBRE]]+Programacion[[#This Row],[DEVENGADO NOVIEMBRE]]+Programacion[[#This Row],[DEVENGADO DICIEMBRE]]</f>
        <v>0</v>
      </c>
      <c r="AO72" s="21">
        <f>Programacion[[#This Row],[ENERO]]+Programacion[[#This Row],[FEBRERO]]+Programacion[[#This Row],[MARZO]]+Programacion[[#This Row],[ABRIL]]+Programacion[[#This Row],[MAYO]]+Programacion[[#This Row],[JUNIO]]</f>
        <v>0</v>
      </c>
      <c r="AP7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21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2" s="123"/>
    </row>
    <row r="73" spans="1:46" x14ac:dyDescent="0.3">
      <c r="A73" s="26" t="s">
        <v>84</v>
      </c>
      <c r="B73" s="120" t="s">
        <v>87</v>
      </c>
      <c r="C73" s="109" t="s">
        <v>47</v>
      </c>
      <c r="D73" s="28" t="s">
        <v>48</v>
      </c>
      <c r="E73" s="110">
        <v>78</v>
      </c>
      <c r="F73" s="30">
        <v>2.2999999999999998</v>
      </c>
      <c r="G73" s="28" t="s">
        <v>51</v>
      </c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1">
        <v>5000</v>
      </c>
      <c r="U73" s="33">
        <v>2220</v>
      </c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73" s="33">
        <f>Programacion[[#This Row],[ENERO]]+Programacion[[#This Row],[FEBRERO]]+Programacion[[#This Row],[MARZO]]</f>
        <v>0</v>
      </c>
      <c r="AH73" s="33">
        <f>Programacion[[#This Row],[DEVENGADO ENERO]]+Programacion[[#This Row],[DEVENGADO FEBRERO]]+Programacion[[#This Row],[DEVENGADO MARZO]]</f>
        <v>0</v>
      </c>
      <c r="AI73" s="33">
        <f>Programacion[[#This Row],[ABRIL]]+Programacion[[#This Row],[MAYO]]+Programacion[[#This Row],[JUNIO]]</f>
        <v>0</v>
      </c>
      <c r="AJ73" s="33">
        <f>Programacion[[#This Row],[DEVENGADO ABRIL]]+Programacion[[#This Row],[DEVENGADO MAYO]]+Programacion[[#This Row],[DEVENGADO JUNIO]]</f>
        <v>0</v>
      </c>
      <c r="AK73" s="33">
        <f>Programacion[[#This Row],[JULIO]]+Programacion[[#This Row],[AGOSTO]]+Programacion[[#This Row],[SEPTIEMBRE]]</f>
        <v>5000</v>
      </c>
      <c r="AL73" s="33">
        <f>Programacion[[#This Row],[DEVENGADO JULIO]]+Programacion[[#This Row],[DEVENGADO AGOSTO]]+Programacion[[#This Row],[DEVENGADO SEPTIEMBRE]]</f>
        <v>2220</v>
      </c>
      <c r="AM73" s="33">
        <f>Programacion[[#This Row],[OCTUBRE]]+Programacion[[#This Row],[NOVIEMBRE]]+Programacion[[#This Row],[DICIEMBRE]]</f>
        <v>0</v>
      </c>
      <c r="AN73" s="21">
        <f>Programacion[[#This Row],[DEVENGADO OCTUBRE]]+Programacion[[#This Row],[DEVENGADO NOVIEMBRE]]+Programacion[[#This Row],[DEVENGADO DICIEMBRE]]</f>
        <v>0</v>
      </c>
      <c r="AO73" s="21">
        <f>Programacion[[#This Row],[ENERO]]+Programacion[[#This Row],[FEBRERO]]+Programacion[[#This Row],[MARZO]]+Programacion[[#This Row],[ABRIL]]+Programacion[[#This Row],[MAYO]]+Programacion[[#This Row],[JUNIO]]</f>
        <v>0</v>
      </c>
      <c r="AP7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7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73" s="123"/>
    </row>
    <row r="74" spans="1:46" ht="28.8" x14ac:dyDescent="0.3">
      <c r="A74" s="26" t="s">
        <v>84</v>
      </c>
      <c r="B74" s="120" t="s">
        <v>240</v>
      </c>
      <c r="C74" s="109" t="s">
        <v>67</v>
      </c>
      <c r="D74" s="28" t="s">
        <v>48</v>
      </c>
      <c r="E74" s="110">
        <v>78</v>
      </c>
      <c r="F74" s="30">
        <v>2.2999999999999998</v>
      </c>
      <c r="G74" s="28" t="s">
        <v>68</v>
      </c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1">
        <v>14000</v>
      </c>
      <c r="U74" s="33">
        <v>14000</v>
      </c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74" s="33">
        <f>Programacion[[#This Row],[ENERO]]+Programacion[[#This Row],[FEBRERO]]+Programacion[[#This Row],[MARZO]]</f>
        <v>0</v>
      </c>
      <c r="AH74" s="33">
        <f>Programacion[[#This Row],[DEVENGADO ENERO]]+Programacion[[#This Row],[DEVENGADO FEBRERO]]+Programacion[[#This Row],[DEVENGADO MARZO]]</f>
        <v>0</v>
      </c>
      <c r="AI74" s="33">
        <f>Programacion[[#This Row],[ABRIL]]+Programacion[[#This Row],[MAYO]]+Programacion[[#This Row],[JUNIO]]</f>
        <v>0</v>
      </c>
      <c r="AJ74" s="33">
        <f>Programacion[[#This Row],[DEVENGADO ABRIL]]+Programacion[[#This Row],[DEVENGADO MAYO]]+Programacion[[#This Row],[DEVENGADO JUNIO]]</f>
        <v>0</v>
      </c>
      <c r="AK74" s="33">
        <f>Programacion[[#This Row],[JULIO]]+Programacion[[#This Row],[AGOSTO]]+Programacion[[#This Row],[SEPTIEMBRE]]</f>
        <v>14000</v>
      </c>
      <c r="AL74" s="33">
        <f>Programacion[[#This Row],[DEVENGADO JULIO]]+Programacion[[#This Row],[DEVENGADO AGOSTO]]+Programacion[[#This Row],[DEVENGADO SEPTIEMBRE]]</f>
        <v>14000</v>
      </c>
      <c r="AM74" s="33">
        <f>Programacion[[#This Row],[OCTUBRE]]+Programacion[[#This Row],[NOVIEMBRE]]+Programacion[[#This Row],[DICIEMBRE]]</f>
        <v>0</v>
      </c>
      <c r="AN74" s="21">
        <f>Programacion[[#This Row],[DEVENGADO OCTUBRE]]+Programacion[[#This Row],[DEVENGADO NOVIEMBRE]]+Programacion[[#This Row],[DEVENGADO DICIEMBRE]]</f>
        <v>0</v>
      </c>
      <c r="AO74" s="21">
        <f>Programacion[[#This Row],[ENERO]]+Programacion[[#This Row],[FEBRERO]]+Programacion[[#This Row],[MARZO]]+Programacion[[#This Row],[ABRIL]]+Programacion[[#This Row],[MAYO]]+Programacion[[#This Row],[JUNIO]]</f>
        <v>0</v>
      </c>
      <c r="AP7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4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7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7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74" s="123"/>
    </row>
    <row r="75" spans="1:46" ht="28.8" x14ac:dyDescent="0.3">
      <c r="A75" s="26" t="s">
        <v>84</v>
      </c>
      <c r="B75" s="120" t="s">
        <v>104</v>
      </c>
      <c r="C75" s="109" t="s">
        <v>83</v>
      </c>
      <c r="D75" s="28" t="s">
        <v>48</v>
      </c>
      <c r="E75" s="110">
        <v>78</v>
      </c>
      <c r="F75" s="111">
        <v>2.6</v>
      </c>
      <c r="G75" s="28" t="s">
        <v>105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1">
        <v>14000</v>
      </c>
      <c r="U75" s="33">
        <v>13865</v>
      </c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14000</v>
      </c>
      <c r="AL75" s="33">
        <f>Programacion[[#This Row],[DEVENGADO JULIO]]+Programacion[[#This Row],[DEVENGADO AGOSTO]]+Programacion[[#This Row],[DEVENGADO SEPTIEMBRE]]</f>
        <v>13865</v>
      </c>
      <c r="AM75" s="33">
        <f>Programacion[[#This Row],[OCTUBRE]]+Programacion[[#This Row],[NOVIEMBRE]]+Programacion[[#This Row],[DICIEMBRE]]</f>
        <v>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75" s="123"/>
    </row>
    <row r="76" spans="1:46" x14ac:dyDescent="0.3">
      <c r="A76" s="34" t="s">
        <v>114</v>
      </c>
      <c r="B76" s="35" t="s">
        <v>115</v>
      </c>
      <c r="C76" s="36" t="s">
        <v>47</v>
      </c>
      <c r="D76" s="36" t="s">
        <v>48</v>
      </c>
      <c r="E76" s="37">
        <v>39</v>
      </c>
      <c r="F76" s="38">
        <v>2.2999999999999998</v>
      </c>
      <c r="G76" s="36" t="s">
        <v>49</v>
      </c>
      <c r="H76" s="39"/>
      <c r="I76" s="39"/>
      <c r="J76" s="39"/>
      <c r="K76" s="39"/>
      <c r="L76" s="39"/>
      <c r="M76" s="39"/>
      <c r="N76" s="39">
        <v>1220</v>
      </c>
      <c r="O76" s="39">
        <v>1047.3399999999999</v>
      </c>
      <c r="P76" s="39">
        <v>2000</v>
      </c>
      <c r="Q76" s="39">
        <v>1344.22</v>
      </c>
      <c r="R76" s="39">
        <v>2000</v>
      </c>
      <c r="S76" s="39">
        <v>1369.12</v>
      </c>
      <c r="T76" s="39">
        <v>2000</v>
      </c>
      <c r="U76" s="39">
        <v>2000</v>
      </c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76" s="19">
        <f>Programacion[[#This Row],[ENERO]]+Programacion[[#This Row],[FEBRERO]]+Programacion[[#This Row],[MARZO]]</f>
        <v>0</v>
      </c>
      <c r="AH76" s="19">
        <f>Programacion[[#This Row],[DEVENGADO ENERO]]+Programacion[[#This Row],[DEVENGADO FEBRERO]]+Programacion[[#This Row],[DEVENGADO MARZO]]</f>
        <v>0</v>
      </c>
      <c r="AI76" s="19">
        <f>Programacion[[#This Row],[ABRIL]]+Programacion[[#This Row],[MAYO]]+Programacion[[#This Row],[JUNIO]]</f>
        <v>5220</v>
      </c>
      <c r="AJ76" s="19">
        <f>Programacion[[#This Row],[DEVENGADO ABRIL]]+Programacion[[#This Row],[DEVENGADO MAYO]]+Programacion[[#This Row],[DEVENGADO JUNIO]]</f>
        <v>3760.68</v>
      </c>
      <c r="AK76" s="19">
        <f>Programacion[[#This Row],[JULIO]]+Programacion[[#This Row],[AGOSTO]]+Programacion[[#This Row],[SEPTIEMBRE]]</f>
        <v>2000</v>
      </c>
      <c r="AL76" s="19">
        <f>Programacion[[#This Row],[DEVENGADO JULIO]]+Programacion[[#This Row],[DEVENGADO AGOSTO]]+Programacion[[#This Row],[DEVENGADO SEPTIEMBRE]]</f>
        <v>2000</v>
      </c>
      <c r="AM76" s="19">
        <f>Programacion[[#This Row],[OCTUBRE]]+Programacion[[#This Row],[NOVIEMBRE]]+Programacion[[#This Row],[DICIEMBRE]]</f>
        <v>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5220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76" s="123"/>
    </row>
    <row r="77" spans="1:46" x14ac:dyDescent="0.3">
      <c r="A77" s="40" t="s">
        <v>114</v>
      </c>
      <c r="B77" s="35" t="s">
        <v>250</v>
      </c>
      <c r="C77" s="36" t="s">
        <v>47</v>
      </c>
      <c r="D77" s="36" t="s">
        <v>48</v>
      </c>
      <c r="E77" s="37">
        <v>39</v>
      </c>
      <c r="F77" s="38">
        <v>2.2999999999999998</v>
      </c>
      <c r="G77" s="36" t="s">
        <v>51</v>
      </c>
      <c r="H77" s="39"/>
      <c r="I77" s="39"/>
      <c r="J77" s="39"/>
      <c r="K77" s="39"/>
      <c r="L77" s="39"/>
      <c r="M77" s="39"/>
      <c r="N77" s="39">
        <v>1340</v>
      </c>
      <c r="O77" s="39">
        <v>513</v>
      </c>
      <c r="P77" s="39">
        <v>1080</v>
      </c>
      <c r="Q77" s="39">
        <v>1982.4</v>
      </c>
      <c r="R77" s="39">
        <v>1080</v>
      </c>
      <c r="S77" s="39">
        <v>1080</v>
      </c>
      <c r="T77" s="39">
        <v>1080</v>
      </c>
      <c r="U77" s="39">
        <v>540</v>
      </c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77" s="19">
        <f>Programacion[[#This Row],[ENERO]]+Programacion[[#This Row],[FEBRERO]]+Programacion[[#This Row],[MARZO]]</f>
        <v>0</v>
      </c>
      <c r="AH77" s="19">
        <f>Programacion[[#This Row],[DEVENGADO ENERO]]+Programacion[[#This Row],[DEVENGADO FEBRERO]]+Programacion[[#This Row],[DEVENGADO MARZO]]</f>
        <v>0</v>
      </c>
      <c r="AI77" s="19">
        <f>Programacion[[#This Row],[ABRIL]]+Programacion[[#This Row],[MAYO]]+Programacion[[#This Row],[JUNIO]]</f>
        <v>3500</v>
      </c>
      <c r="AJ77" s="19">
        <f>Programacion[[#This Row],[DEVENGADO ABRIL]]+Programacion[[#This Row],[DEVENGADO MAYO]]+Programacion[[#This Row],[DEVENGADO JUNIO]]</f>
        <v>3575.4</v>
      </c>
      <c r="AK77" s="19">
        <f>Programacion[[#This Row],[JULIO]]+Programacion[[#This Row],[AGOSTO]]+Programacion[[#This Row],[SEPTIEMBRE]]</f>
        <v>1080</v>
      </c>
      <c r="AL77" s="19">
        <f>Programacion[[#This Row],[DEVENGADO JULIO]]+Programacion[[#This Row],[DEVENGADO AGOSTO]]+Programacion[[#This Row],[DEVENGADO SEPTIEMBRE]]</f>
        <v>540</v>
      </c>
      <c r="AM77" s="19">
        <f>Programacion[[#This Row],[OCTUBRE]]+Programacion[[#This Row],[NOVIEMBRE]]+Programacion[[#This Row],[DICIEMBRE]]</f>
        <v>0</v>
      </c>
      <c r="AN77" s="20">
        <f>Programacion[[#This Row],[DEVENGADO OCTUBRE]]+Programacion[[#This Row],[DEVENGADO NOVIEMBRE]]+Programacion[[#This Row],[DEVENGADO DICIEMBRE]]</f>
        <v>0</v>
      </c>
      <c r="AO77" s="20">
        <f>Programacion[[#This Row],[ENERO]]+Programacion[[#This Row],[FEBRERO]]+Programacion[[#This Row],[MARZO]]+Programacion[[#This Row],[ABRIL]]+Programacion[[#This Row],[MAYO]]+Programacion[[#This Row],[JUNIO]]</f>
        <v>3500</v>
      </c>
      <c r="AP7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77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7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77" s="123"/>
    </row>
    <row r="78" spans="1:46" x14ac:dyDescent="0.3">
      <c r="A78" s="34" t="s">
        <v>114</v>
      </c>
      <c r="B78" s="35" t="s">
        <v>251</v>
      </c>
      <c r="C78" s="36" t="s">
        <v>47</v>
      </c>
      <c r="D78" s="36" t="s">
        <v>48</v>
      </c>
      <c r="E78" s="37">
        <v>39</v>
      </c>
      <c r="F78" s="38">
        <v>2.2999999999999998</v>
      </c>
      <c r="G78" s="36" t="s">
        <v>49</v>
      </c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9">
        <v>2000</v>
      </c>
      <c r="S78" s="33">
        <v>2000</v>
      </c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78" s="33">
        <f>Programacion[[#This Row],[ENERO]]+Programacion[[#This Row],[FEBRERO]]+Programacion[[#This Row],[MARZO]]</f>
        <v>0</v>
      </c>
      <c r="AH78" s="33">
        <f>Programacion[[#This Row],[DEVENGADO ENERO]]+Programacion[[#This Row],[DEVENGADO FEBRERO]]+Programacion[[#This Row],[DEVENGADO MARZO]]</f>
        <v>0</v>
      </c>
      <c r="AI78" s="33">
        <f>Programacion[[#This Row],[ABRIL]]+Programacion[[#This Row],[MAYO]]+Programacion[[#This Row],[JUNIO]]</f>
        <v>2000</v>
      </c>
      <c r="AJ78" s="33">
        <f>Programacion[[#This Row],[DEVENGADO ABRIL]]+Programacion[[#This Row],[DEVENGADO MAYO]]+Programacion[[#This Row],[DEVENGADO JUNIO]]</f>
        <v>2000</v>
      </c>
      <c r="AK78" s="33">
        <f>Programacion[[#This Row],[JULIO]]+Programacion[[#This Row],[AGOSTO]]+Programacion[[#This Row],[SEPTIEMBRE]]</f>
        <v>0</v>
      </c>
      <c r="AL78" s="33">
        <f>Programacion[[#This Row],[DEVENGADO JULIO]]+Programacion[[#This Row],[DEVENGADO AGOSTO]]+Programacion[[#This Row],[DEVENGADO SEPTIEMBRE]]</f>
        <v>0</v>
      </c>
      <c r="AM78" s="33">
        <f>Programacion[[#This Row],[OCTUBRE]]+Programacion[[#This Row],[NOVIEMBRE]]+Programacion[[#This Row],[DICIEMBRE]]</f>
        <v>0</v>
      </c>
      <c r="AN78" s="21">
        <f>Programacion[[#This Row],[DEVENGADO OCTUBRE]]+Programacion[[#This Row],[DEVENGADO NOVIEMBRE]]+Programacion[[#This Row],[DEVENGADO DICIEMBRE]]</f>
        <v>0</v>
      </c>
      <c r="AO78" s="21">
        <f>Programacion[[#This Row],[ENERO]]+Programacion[[#This Row],[FEBRERO]]+Programacion[[#This Row],[MARZO]]+Programacion[[#This Row],[ABRIL]]+Programacion[[#This Row],[MAYO]]+Programacion[[#This Row],[JUNIO]]</f>
        <v>2000</v>
      </c>
      <c r="AP7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78" s="123"/>
    </row>
    <row r="79" spans="1:46" x14ac:dyDescent="0.3">
      <c r="A79" s="40" t="s">
        <v>114</v>
      </c>
      <c r="B79" s="35" t="s">
        <v>252</v>
      </c>
      <c r="C79" s="36" t="s">
        <v>47</v>
      </c>
      <c r="D79" s="36" t="s">
        <v>48</v>
      </c>
      <c r="E79" s="37">
        <v>39</v>
      </c>
      <c r="F79" s="38">
        <v>2.2999999999999998</v>
      </c>
      <c r="G79" s="36" t="s">
        <v>51</v>
      </c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9">
        <v>1080</v>
      </c>
      <c r="S79" s="33">
        <v>1080</v>
      </c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1080</v>
      </c>
      <c r="AJ79" s="33">
        <f>Programacion[[#This Row],[DEVENGADO ABRIL]]+Programacion[[#This Row],[DEVENGADO MAYO]]+Programacion[[#This Row],[DEVENGADO JUNIO]]</f>
        <v>1080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1080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79" s="123"/>
    </row>
    <row r="80" spans="1:46" x14ac:dyDescent="0.3">
      <c r="A80" s="40" t="s">
        <v>114</v>
      </c>
      <c r="B80" s="35" t="s">
        <v>116</v>
      </c>
      <c r="C80" s="36" t="s">
        <v>58</v>
      </c>
      <c r="D80" s="36" t="s">
        <v>48</v>
      </c>
      <c r="E80" s="37">
        <v>31</v>
      </c>
      <c r="F80" s="38">
        <v>2.2999999999999998</v>
      </c>
      <c r="G80" s="36" t="s">
        <v>73</v>
      </c>
      <c r="H80" s="39"/>
      <c r="I80" s="39"/>
      <c r="J80" s="39"/>
      <c r="K80" s="39"/>
      <c r="L80" s="39">
        <v>10000</v>
      </c>
      <c r="M80" s="39">
        <v>10000</v>
      </c>
      <c r="N80" s="39">
        <v>5000</v>
      </c>
      <c r="O80" s="39">
        <v>5000</v>
      </c>
      <c r="P80" s="39">
        <v>5000</v>
      </c>
      <c r="Q80" s="39">
        <v>5000</v>
      </c>
      <c r="R80" s="39">
        <v>5000</v>
      </c>
      <c r="S80" s="39">
        <v>5000</v>
      </c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0" s="19">
        <f>Programacion[[#This Row],[ENERO]]+Programacion[[#This Row],[FEBRERO]]+Programacion[[#This Row],[MARZO]]</f>
        <v>10000</v>
      </c>
      <c r="AH80" s="19">
        <f>Programacion[[#This Row],[DEVENGADO ENERO]]+Programacion[[#This Row],[DEVENGADO FEBRERO]]+Programacion[[#This Row],[DEVENGADO MARZO]]</f>
        <v>10000</v>
      </c>
      <c r="AI80" s="19">
        <f>Programacion[[#This Row],[ABRIL]]+Programacion[[#This Row],[MAYO]]+Programacion[[#This Row],[JUNIO]]</f>
        <v>15000</v>
      </c>
      <c r="AJ80" s="19">
        <f>Programacion[[#This Row],[DEVENGADO ABRIL]]+Programacion[[#This Row],[DEVENGADO MAYO]]+Programacion[[#This Row],[DEVENGADO JUNIO]]</f>
        <v>15000</v>
      </c>
      <c r="AK80" s="19">
        <f>Programacion[[#This Row],[JULIO]]+Programacion[[#This Row],[AGOSTO]]+Programacion[[#This Row],[SEPTIEMBRE]]</f>
        <v>0</v>
      </c>
      <c r="AL80" s="19">
        <f>Programacion[[#This Row],[DEVENGADO JULIO]]+Programacion[[#This Row],[DEVENGADO AGOSTO]]+Programacion[[#This Row],[DEVENGADO SEPTIEMBRE]]</f>
        <v>0</v>
      </c>
      <c r="AM80" s="19">
        <f>Programacion[[#This Row],[OCTUBRE]]+Programacion[[#This Row],[NOVIEMBRE]]+Programacion[[#This Row],[DICIEMBRE]]</f>
        <v>0</v>
      </c>
      <c r="AN80" s="20">
        <f>Programacion[[#This Row],[DEVENGADO OCTUBRE]]+Programacion[[#This Row],[DEVENGADO NOVIEMBRE]]+Programacion[[#This Row],[DEVENGADO DICIEMBRE]]</f>
        <v>0</v>
      </c>
      <c r="AO80" s="20">
        <f>Programacion[[#This Row],[ENERO]]+Programacion[[#This Row],[FEBRERO]]+Programacion[[#This Row],[MARZO]]+Programacion[[#This Row],[ABRIL]]+Programacion[[#This Row],[MAYO]]+Programacion[[#This Row],[JUNIO]]</f>
        <v>25000</v>
      </c>
      <c r="AP8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0" s="123"/>
    </row>
    <row r="81" spans="1:46" x14ac:dyDescent="0.3">
      <c r="A81" s="40" t="s">
        <v>114</v>
      </c>
      <c r="B81" s="35" t="s">
        <v>116</v>
      </c>
      <c r="C81" s="36" t="s">
        <v>58</v>
      </c>
      <c r="D81" s="36" t="s">
        <v>48</v>
      </c>
      <c r="E81" s="37">
        <v>31</v>
      </c>
      <c r="F81" s="38">
        <v>2.2999999999999998</v>
      </c>
      <c r="G81" s="36" t="s">
        <v>73</v>
      </c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>
        <v>5000</v>
      </c>
      <c r="U81" s="39">
        <v>5000</v>
      </c>
      <c r="V81" s="39">
        <v>5000</v>
      </c>
      <c r="W81" s="39"/>
      <c r="X81" s="39">
        <v>5000</v>
      </c>
      <c r="Y81" s="39"/>
      <c r="Z81" s="39">
        <v>5000</v>
      </c>
      <c r="AA81" s="39"/>
      <c r="AB81" s="39">
        <v>5000</v>
      </c>
      <c r="AC81" s="39"/>
      <c r="AD81" s="39">
        <v>5000</v>
      </c>
      <c r="AE81" s="39"/>
      <c r="AF8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1" s="19">
        <f>Programacion[[#This Row],[ENERO]]+Programacion[[#This Row],[FEBRERO]]+Programacion[[#This Row],[MARZO]]</f>
        <v>0</v>
      </c>
      <c r="AH81" s="19">
        <f>Programacion[[#This Row],[DEVENGADO ENERO]]+Programacion[[#This Row],[DEVENGADO FEBRERO]]+Programacion[[#This Row],[DEVENGADO MARZO]]</f>
        <v>0</v>
      </c>
      <c r="AI81" s="19">
        <f>Programacion[[#This Row],[ABRIL]]+Programacion[[#This Row],[MAYO]]+Programacion[[#This Row],[JUNIO]]</f>
        <v>0</v>
      </c>
      <c r="AJ81" s="19">
        <f>Programacion[[#This Row],[DEVENGADO ABRIL]]+Programacion[[#This Row],[DEVENGADO MAYO]]+Programacion[[#This Row],[DEVENGADO JUNIO]]</f>
        <v>0</v>
      </c>
      <c r="AK81" s="19">
        <f>Programacion[[#This Row],[JULIO]]+Programacion[[#This Row],[AGOSTO]]+Programacion[[#This Row],[SEPTIEMBRE]]</f>
        <v>15000</v>
      </c>
      <c r="AL81" s="19">
        <f>Programacion[[#This Row],[DEVENGADO JULIO]]+Programacion[[#This Row],[DEVENGADO AGOSTO]]+Programacion[[#This Row],[DEVENGADO SEPTIEMBRE]]</f>
        <v>5000</v>
      </c>
      <c r="AM81" s="19">
        <f>Programacion[[#This Row],[OCTUBRE]]+Programacion[[#This Row],[NOVIEMBRE]]+Programacion[[#This Row],[DICIEMBRE]]</f>
        <v>15000</v>
      </c>
      <c r="AN81" s="20">
        <f>Programacion[[#This Row],[DEVENGADO OCTUBRE]]+Programacion[[#This Row],[DEVENGADO NOVIEMBRE]]+Programacion[[#This Row],[DEVENGADO DICIEMBRE]]</f>
        <v>0</v>
      </c>
      <c r="AO81" s="20">
        <f>Programacion[[#This Row],[ENERO]]+Programacion[[#This Row],[FEBRERO]]+Programacion[[#This Row],[MARZO]]+Programacion[[#This Row],[ABRIL]]+Programacion[[#This Row],[MAYO]]+Programacion[[#This Row],[JUNIO]]</f>
        <v>0</v>
      </c>
      <c r="AP8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1" s="123"/>
    </row>
    <row r="82" spans="1:46" ht="28.8" x14ac:dyDescent="0.3">
      <c r="A82" s="40" t="s">
        <v>114</v>
      </c>
      <c r="B82" s="35" t="s">
        <v>117</v>
      </c>
      <c r="C82" s="36" t="s">
        <v>58</v>
      </c>
      <c r="D82" s="36" t="s">
        <v>48</v>
      </c>
      <c r="E82" s="37">
        <v>31</v>
      </c>
      <c r="F82" s="38">
        <v>2.2999999999999998</v>
      </c>
      <c r="G82" s="36" t="s">
        <v>73</v>
      </c>
      <c r="H82" s="39"/>
      <c r="I82" s="39"/>
      <c r="J82" s="39"/>
      <c r="K82" s="39"/>
      <c r="L82" s="39">
        <v>10000</v>
      </c>
      <c r="M82" s="39">
        <v>10000</v>
      </c>
      <c r="N82" s="39">
        <v>5000</v>
      </c>
      <c r="O82" s="39">
        <v>5000</v>
      </c>
      <c r="P82" s="39">
        <v>5000</v>
      </c>
      <c r="Q82" s="39">
        <v>5000</v>
      </c>
      <c r="R82" s="39">
        <v>5000</v>
      </c>
      <c r="S82" s="39">
        <v>5000</v>
      </c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2" s="19">
        <f>Programacion[[#This Row],[ENERO]]+Programacion[[#This Row],[FEBRERO]]+Programacion[[#This Row],[MARZO]]</f>
        <v>10000</v>
      </c>
      <c r="AH82" s="19">
        <f>Programacion[[#This Row],[DEVENGADO ENERO]]+Programacion[[#This Row],[DEVENGADO FEBRERO]]+Programacion[[#This Row],[DEVENGADO MARZO]]</f>
        <v>10000</v>
      </c>
      <c r="AI82" s="19">
        <f>Programacion[[#This Row],[ABRIL]]+Programacion[[#This Row],[MAYO]]+Programacion[[#This Row],[JUNIO]]</f>
        <v>15000</v>
      </c>
      <c r="AJ82" s="19">
        <f>Programacion[[#This Row],[DEVENGADO ABRIL]]+Programacion[[#This Row],[DEVENGADO MAYO]]+Programacion[[#This Row],[DEVENGADO JUNIO]]</f>
        <v>15000</v>
      </c>
      <c r="AK82" s="19">
        <f>Programacion[[#This Row],[JULIO]]+Programacion[[#This Row],[AGOSTO]]+Programacion[[#This Row],[SEPTIEMBRE]]</f>
        <v>0</v>
      </c>
      <c r="AL82" s="19">
        <f>Programacion[[#This Row],[DEVENGADO JULIO]]+Programacion[[#This Row],[DEVENGADO AGOSTO]]+Programacion[[#This Row],[DEVENGADO SEPTIEMBRE]]</f>
        <v>0</v>
      </c>
      <c r="AM82" s="19">
        <f>Programacion[[#This Row],[OCTUBRE]]+Programacion[[#This Row],[NOVIEMBRE]]+Programacion[[#This Row],[DICIEMBRE]]</f>
        <v>0</v>
      </c>
      <c r="AN82" s="20">
        <f>Programacion[[#This Row],[DEVENGADO OCTUBRE]]+Programacion[[#This Row],[DEVENGADO NOVIEMBRE]]+Programacion[[#This Row],[DEVENGADO DICIEMBRE]]</f>
        <v>0</v>
      </c>
      <c r="AO82" s="20">
        <f>Programacion[[#This Row],[ENERO]]+Programacion[[#This Row],[FEBRERO]]+Programacion[[#This Row],[MARZO]]+Programacion[[#This Row],[ABRIL]]+Programacion[[#This Row],[MAYO]]+Programacion[[#This Row],[JUNIO]]</f>
        <v>25000</v>
      </c>
      <c r="AP8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2" s="123"/>
    </row>
    <row r="83" spans="1:46" ht="28.8" x14ac:dyDescent="0.3">
      <c r="A83" s="40" t="s">
        <v>114</v>
      </c>
      <c r="B83" s="35" t="s">
        <v>118</v>
      </c>
      <c r="C83" s="36" t="s">
        <v>58</v>
      </c>
      <c r="D83" s="36" t="s">
        <v>48</v>
      </c>
      <c r="E83" s="37">
        <v>31</v>
      </c>
      <c r="F83" s="38">
        <v>2.2999999999999998</v>
      </c>
      <c r="G83" s="36" t="s">
        <v>73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>
        <v>5000</v>
      </c>
      <c r="U83" s="33">
        <v>5000</v>
      </c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0</v>
      </c>
      <c r="AJ83" s="33">
        <f>Programacion[[#This Row],[DEVENGADO ABRIL]]+Programacion[[#This Row],[DEVENGADO MAYO]]+Programacion[[#This Row],[DEVENGADO JUNIO]]</f>
        <v>0</v>
      </c>
      <c r="AK83" s="33">
        <f>Programacion[[#This Row],[JULIO]]+Programacion[[#This Row],[AGOSTO]]+Programacion[[#This Row],[SEPTIEMBRE]]</f>
        <v>5000</v>
      </c>
      <c r="AL83" s="33">
        <f>Programacion[[#This Row],[DEVENGADO JULIO]]+Programacion[[#This Row],[DEVENGADO AGOSTO]]+Programacion[[#This Row],[DEVENGADO SEPTIEMBRE]]</f>
        <v>5000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83" s="123"/>
    </row>
    <row r="84" spans="1:46" ht="28.8" x14ac:dyDescent="0.3">
      <c r="A84" s="40" t="s">
        <v>114</v>
      </c>
      <c r="B84" s="35" t="s">
        <v>118</v>
      </c>
      <c r="C84" s="36" t="s">
        <v>58</v>
      </c>
      <c r="D84" s="36" t="s">
        <v>48</v>
      </c>
      <c r="E84" s="37">
        <v>31</v>
      </c>
      <c r="F84" s="38">
        <v>2.2999999999999998</v>
      </c>
      <c r="G84" s="36" t="s">
        <v>73</v>
      </c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>
        <v>5000</v>
      </c>
      <c r="W84" s="39"/>
      <c r="X84" s="39">
        <v>5000</v>
      </c>
      <c r="Y84" s="39"/>
      <c r="Z84" s="39">
        <v>5000</v>
      </c>
      <c r="AA84" s="39"/>
      <c r="AB84" s="39">
        <v>5000</v>
      </c>
      <c r="AC84" s="39"/>
      <c r="AD84" s="39">
        <v>5000</v>
      </c>
      <c r="AE84" s="39"/>
      <c r="AF8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4" s="19">
        <f>Programacion[[#This Row],[ENERO]]+Programacion[[#This Row],[FEBRERO]]+Programacion[[#This Row],[MARZO]]</f>
        <v>0</v>
      </c>
      <c r="AH84" s="19">
        <f>Programacion[[#This Row],[DEVENGADO ENERO]]+Programacion[[#This Row],[DEVENGADO FEBRERO]]+Programacion[[#This Row],[DEVENGADO MARZO]]</f>
        <v>0</v>
      </c>
      <c r="AI84" s="19">
        <f>Programacion[[#This Row],[ABRIL]]+Programacion[[#This Row],[MAYO]]+Programacion[[#This Row],[JUNIO]]</f>
        <v>0</v>
      </c>
      <c r="AJ84" s="19">
        <f>Programacion[[#This Row],[DEVENGADO ABRIL]]+Programacion[[#This Row],[DEVENGADO MAYO]]+Programacion[[#This Row],[DEVENGADO JUNIO]]</f>
        <v>0</v>
      </c>
      <c r="AK84" s="19">
        <f>Programacion[[#This Row],[JULIO]]+Programacion[[#This Row],[AGOSTO]]+Programacion[[#This Row],[SEPTIEMBRE]]</f>
        <v>10000</v>
      </c>
      <c r="AL84" s="19">
        <f>Programacion[[#This Row],[DEVENGADO JULIO]]+Programacion[[#This Row],[DEVENGADO AGOSTO]]+Programacion[[#This Row],[DEVENGADO SEPTIEMBRE]]</f>
        <v>0</v>
      </c>
      <c r="AM84" s="19">
        <f>Programacion[[#This Row],[OCTUBRE]]+Programacion[[#This Row],[NOVIEMBRE]]+Programacion[[#This Row],[DICIEMBRE]]</f>
        <v>15000</v>
      </c>
      <c r="AN84" s="20">
        <f>Programacion[[#This Row],[DEVENGADO OCTUBRE]]+Programacion[[#This Row],[DEVENGADO NOVIEMBRE]]+Programacion[[#This Row],[DEVENGADO DICIEMBRE]]</f>
        <v>0</v>
      </c>
      <c r="AO84" s="20">
        <f>Programacion[[#This Row],[ENERO]]+Programacion[[#This Row],[FEBRERO]]+Programacion[[#This Row],[MARZO]]+Programacion[[#This Row],[ABRIL]]+Programacion[[#This Row],[MAYO]]+Programacion[[#This Row],[JUNIO]]</f>
        <v>0</v>
      </c>
      <c r="AP8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0">
        <f>Programacion[[#This Row],[JULIO]]+Programacion[[#This Row],[AGOSTO]]+Programacion[[#This Row],[SEPTIEMBRE]]+Programacion[[#This Row],[OCTUBRE]]+Programacion[[#This Row],[NOVIEMBRE]]+Programacion[[#This Row],[DICIEMBRE]]</f>
        <v>25000</v>
      </c>
      <c r="AR8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4" s="123"/>
    </row>
    <row r="85" spans="1:46" x14ac:dyDescent="0.3">
      <c r="A85" s="40" t="s">
        <v>114</v>
      </c>
      <c r="B85" s="35" t="s">
        <v>119</v>
      </c>
      <c r="C85" s="36" t="s">
        <v>120</v>
      </c>
      <c r="D85" s="36" t="s">
        <v>48</v>
      </c>
      <c r="E85" s="37">
        <v>39</v>
      </c>
      <c r="F85" s="38">
        <v>2.2999999999999998</v>
      </c>
      <c r="G85" s="36" t="s">
        <v>121</v>
      </c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>
        <v>6700</v>
      </c>
      <c r="Y85" s="39"/>
      <c r="Z85" s="39"/>
      <c r="AA85" s="39"/>
      <c r="AB85" s="39"/>
      <c r="AC85" s="39"/>
      <c r="AD85" s="39"/>
      <c r="AE85" s="39"/>
      <c r="AF8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6700</v>
      </c>
      <c r="AG85" s="19">
        <f>Programacion[[#This Row],[ENERO]]+Programacion[[#This Row],[FEBRERO]]+Programacion[[#This Row],[MARZO]]</f>
        <v>0</v>
      </c>
      <c r="AH85" s="19">
        <f>Programacion[[#This Row],[DEVENGADO ENERO]]+Programacion[[#This Row],[DEVENGADO FEBRERO]]+Programacion[[#This Row],[DEVENGADO MARZO]]</f>
        <v>0</v>
      </c>
      <c r="AI85" s="19">
        <f>Programacion[[#This Row],[ABRIL]]+Programacion[[#This Row],[MAYO]]+Programacion[[#This Row],[JUNIO]]</f>
        <v>0</v>
      </c>
      <c r="AJ85" s="19">
        <f>Programacion[[#This Row],[DEVENGADO ABRIL]]+Programacion[[#This Row],[DEVENGADO MAYO]]+Programacion[[#This Row],[DEVENGADO JUNIO]]</f>
        <v>0</v>
      </c>
      <c r="AK85" s="19">
        <f>Programacion[[#This Row],[JULIO]]+Programacion[[#This Row],[AGOSTO]]+Programacion[[#This Row],[SEPTIEMBRE]]</f>
        <v>6700</v>
      </c>
      <c r="AL85" s="19">
        <f>Programacion[[#This Row],[DEVENGADO JULIO]]+Programacion[[#This Row],[DEVENGADO AGOSTO]]+Programacion[[#This Row],[DEVENGADO SEPTIEMBRE]]</f>
        <v>0</v>
      </c>
      <c r="AM85" s="19">
        <f>Programacion[[#This Row],[OCTUBRE]]+Programacion[[#This Row],[NOVIEMBRE]]+Programacion[[#This Row],[DICIEMBRE]]</f>
        <v>0</v>
      </c>
      <c r="AN85" s="20">
        <f>Programacion[[#This Row],[DEVENGADO OCTUBRE]]+Programacion[[#This Row],[DEVENGADO NOVIEMBRE]]+Programacion[[#This Row],[DEVENGADO DICIEMBRE]]</f>
        <v>0</v>
      </c>
      <c r="AO85" s="20">
        <f>Programacion[[#This Row],[ENERO]]+Programacion[[#This Row],[FEBRERO]]+Programacion[[#This Row],[MARZO]]+Programacion[[#This Row],[ABRIL]]+Programacion[[#This Row],[MAYO]]+Programacion[[#This Row],[JUNIO]]</f>
        <v>0</v>
      </c>
      <c r="AP8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0">
        <f>Programacion[[#This Row],[JULIO]]+Programacion[[#This Row],[AGOSTO]]+Programacion[[#This Row],[SEPTIEMBRE]]+Programacion[[#This Row],[OCTUBRE]]+Programacion[[#This Row],[NOVIEMBRE]]+Programacion[[#This Row],[DICIEMBRE]]</f>
        <v>6700</v>
      </c>
      <c r="AR8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5" s="123"/>
    </row>
    <row r="86" spans="1:46" ht="28.8" x14ac:dyDescent="0.3">
      <c r="A86" s="40" t="s">
        <v>114</v>
      </c>
      <c r="B86" s="35" t="s">
        <v>122</v>
      </c>
      <c r="C86" s="36" t="s">
        <v>76</v>
      </c>
      <c r="D86" s="36" t="s">
        <v>48</v>
      </c>
      <c r="E86" s="37">
        <v>39</v>
      </c>
      <c r="F86" s="38">
        <v>2.2999999999999998</v>
      </c>
      <c r="G86" s="36" t="s">
        <v>77</v>
      </c>
      <c r="H86" s="39"/>
      <c r="I86" s="39"/>
      <c r="J86" s="39"/>
      <c r="K86" s="39"/>
      <c r="L86" s="39"/>
      <c r="M86" s="39"/>
      <c r="N86" s="39">
        <v>2500</v>
      </c>
      <c r="O86" s="39"/>
      <c r="P86" s="39"/>
      <c r="Q86" s="39">
        <v>2500</v>
      </c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86" s="19">
        <f>Programacion[[#This Row],[ENERO]]+Programacion[[#This Row],[FEBRERO]]+Programacion[[#This Row],[MARZO]]</f>
        <v>0</v>
      </c>
      <c r="AH86" s="19">
        <f>Programacion[[#This Row],[DEVENGADO ENERO]]+Programacion[[#This Row],[DEVENGADO FEBRERO]]+Programacion[[#This Row],[DEVENGADO MARZO]]</f>
        <v>0</v>
      </c>
      <c r="AI86" s="19">
        <f>Programacion[[#This Row],[ABRIL]]+Programacion[[#This Row],[MAYO]]+Programacion[[#This Row],[JUNIO]]</f>
        <v>2500</v>
      </c>
      <c r="AJ86" s="19">
        <f>Programacion[[#This Row],[DEVENGADO ABRIL]]+Programacion[[#This Row],[DEVENGADO MAYO]]+Programacion[[#This Row],[DEVENGADO JUNIO]]</f>
        <v>2500</v>
      </c>
      <c r="AK86" s="19">
        <f>Programacion[[#This Row],[JULIO]]+Programacion[[#This Row],[AGOSTO]]+Programacion[[#This Row],[SEPTIEMBRE]]</f>
        <v>0</v>
      </c>
      <c r="AL86" s="19">
        <f>Programacion[[#This Row],[DEVENGADO JULIO]]+Programacion[[#This Row],[DEVENGADO AGOSTO]]+Programacion[[#This Row],[DEVENGADO SEPTIEMBRE]]</f>
        <v>0</v>
      </c>
      <c r="AM86" s="19">
        <f>Programacion[[#This Row],[OCTUBRE]]+Programacion[[#This Row],[NOVIEMBRE]]+Programacion[[#This Row],[DICIEMBRE]]</f>
        <v>0</v>
      </c>
      <c r="AN86" s="20">
        <f>Programacion[[#This Row],[DEVENGADO OCTUBRE]]+Programacion[[#This Row],[DEVENGADO NOVIEMBRE]]+Programacion[[#This Row],[DEVENGADO DICIEMBRE]]</f>
        <v>0</v>
      </c>
      <c r="AO86" s="20">
        <f>Programacion[[#This Row],[ENERO]]+Programacion[[#This Row],[FEBRERO]]+Programacion[[#This Row],[MARZO]]+Programacion[[#This Row],[ABRIL]]+Programacion[[#This Row],[MAYO]]+Programacion[[#This Row],[JUNIO]]</f>
        <v>2500</v>
      </c>
      <c r="AP8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8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86" s="123"/>
    </row>
    <row r="87" spans="1:46" ht="28.8" x14ac:dyDescent="0.3">
      <c r="A87" s="40" t="s">
        <v>114</v>
      </c>
      <c r="B87" s="35" t="s">
        <v>123</v>
      </c>
      <c r="C87" s="36" t="s">
        <v>76</v>
      </c>
      <c r="D87" s="36" t="s">
        <v>48</v>
      </c>
      <c r="E87" s="37">
        <v>39</v>
      </c>
      <c r="F87" s="38">
        <v>2.2999999999999998</v>
      </c>
      <c r="G87" s="36" t="s">
        <v>77</v>
      </c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>
        <v>4500</v>
      </c>
      <c r="S87" s="39">
        <v>4500</v>
      </c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87" s="19">
        <f>Programacion[[#This Row],[ENERO]]+Programacion[[#This Row],[FEBRERO]]+Programacion[[#This Row],[MARZO]]</f>
        <v>0</v>
      </c>
      <c r="AH87" s="19">
        <f>Programacion[[#This Row],[DEVENGADO ENERO]]+Programacion[[#This Row],[DEVENGADO FEBRERO]]+Programacion[[#This Row],[DEVENGADO MARZO]]</f>
        <v>0</v>
      </c>
      <c r="AI87" s="19">
        <f>Programacion[[#This Row],[ABRIL]]+Programacion[[#This Row],[MAYO]]+Programacion[[#This Row],[JUNIO]]</f>
        <v>4500</v>
      </c>
      <c r="AJ87" s="19">
        <f>Programacion[[#This Row],[DEVENGADO ABRIL]]+Programacion[[#This Row],[DEVENGADO MAYO]]+Programacion[[#This Row],[DEVENGADO JUNIO]]</f>
        <v>4500</v>
      </c>
      <c r="AK87" s="19">
        <f>Programacion[[#This Row],[JULIO]]+Programacion[[#This Row],[AGOSTO]]+Programacion[[#This Row],[SEPTIEMBRE]]</f>
        <v>0</v>
      </c>
      <c r="AL87" s="19">
        <f>Programacion[[#This Row],[DEVENGADO JULIO]]+Programacion[[#This Row],[DEVENGADO AGOSTO]]+Programacion[[#This Row],[DEVENGADO SEPTIEMBRE]]</f>
        <v>0</v>
      </c>
      <c r="AM87" s="19">
        <f>Programacion[[#This Row],[OCTUBRE]]+Programacion[[#This Row],[NOVIEMBRE]]+Programacion[[#This Row],[DICIEMBRE]]</f>
        <v>0</v>
      </c>
      <c r="AN87" s="20">
        <f>Programacion[[#This Row],[DEVENGADO OCTUBRE]]+Programacion[[#This Row],[DEVENGADO NOVIEMBRE]]+Programacion[[#This Row],[DEVENGADO DICIEMBRE]]</f>
        <v>0</v>
      </c>
      <c r="AO87" s="20">
        <f>Programacion[[#This Row],[ENERO]]+Programacion[[#This Row],[FEBRERO]]+Programacion[[#This Row],[MARZO]]+Programacion[[#This Row],[ABRIL]]+Programacion[[#This Row],[MAYO]]+Programacion[[#This Row],[JUNIO]]</f>
        <v>4500</v>
      </c>
      <c r="AP8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8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87" s="123"/>
    </row>
    <row r="88" spans="1:46" ht="28.8" x14ac:dyDescent="0.3">
      <c r="A88" s="40" t="s">
        <v>114</v>
      </c>
      <c r="B88" s="35" t="s">
        <v>124</v>
      </c>
      <c r="C88" s="36" t="s">
        <v>76</v>
      </c>
      <c r="D88" s="36" t="s">
        <v>48</v>
      </c>
      <c r="E88" s="37">
        <v>39</v>
      </c>
      <c r="F88" s="38">
        <v>2.2999999999999998</v>
      </c>
      <c r="G88" s="36" t="s">
        <v>77</v>
      </c>
      <c r="H88" s="39"/>
      <c r="I88" s="39"/>
      <c r="J88" s="39"/>
      <c r="K88" s="39"/>
      <c r="L88" s="39"/>
      <c r="M88" s="39"/>
      <c r="N88" s="39"/>
      <c r="O88" s="39"/>
      <c r="P88" s="39">
        <v>3000</v>
      </c>
      <c r="Q88" s="39">
        <v>3000</v>
      </c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8" s="19">
        <f>Programacion[[#This Row],[ENERO]]+Programacion[[#This Row],[FEBRERO]]+Programacion[[#This Row],[MARZO]]</f>
        <v>0</v>
      </c>
      <c r="AH88" s="19">
        <f>Programacion[[#This Row],[DEVENGADO ENERO]]+Programacion[[#This Row],[DEVENGADO FEBRERO]]+Programacion[[#This Row],[DEVENGADO MARZO]]</f>
        <v>0</v>
      </c>
      <c r="AI88" s="19">
        <f>Programacion[[#This Row],[ABRIL]]+Programacion[[#This Row],[MAYO]]+Programacion[[#This Row],[JUNIO]]</f>
        <v>3000</v>
      </c>
      <c r="AJ88" s="19">
        <f>Programacion[[#This Row],[DEVENGADO ABRIL]]+Programacion[[#This Row],[DEVENGADO MAYO]]+Programacion[[#This Row],[DEVENGADO JUNIO]]</f>
        <v>3000</v>
      </c>
      <c r="AK88" s="19">
        <f>Programacion[[#This Row],[JULIO]]+Programacion[[#This Row],[AGOSTO]]+Programacion[[#This Row],[SEPTIEMBRE]]</f>
        <v>0</v>
      </c>
      <c r="AL88" s="19">
        <f>Programacion[[#This Row],[DEVENGADO JULIO]]+Programacion[[#This Row],[DEVENGADO AGOSTO]]+Programacion[[#This Row],[DEVENGADO SEPTIEMBRE]]</f>
        <v>0</v>
      </c>
      <c r="AM88" s="19">
        <f>Programacion[[#This Row],[OCTUBRE]]+Programacion[[#This Row],[NOVIEMBRE]]+Programacion[[#This Row],[DICIEMBRE]]</f>
        <v>0</v>
      </c>
      <c r="AN88" s="20">
        <f>Programacion[[#This Row],[DEVENGADO OCTUBRE]]+Programacion[[#This Row],[DEVENGADO NOVIEMBRE]]+Programacion[[#This Row],[DEVENGADO DICIEMBRE]]</f>
        <v>0</v>
      </c>
      <c r="AO88" s="20">
        <f>Programacion[[#This Row],[ENERO]]+Programacion[[#This Row],[FEBRERO]]+Programacion[[#This Row],[MARZO]]+Programacion[[#This Row],[ABRIL]]+Programacion[[#This Row],[MAYO]]+Programacion[[#This Row],[JUNIO]]</f>
        <v>3000</v>
      </c>
      <c r="AP8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8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8" s="123"/>
    </row>
    <row r="89" spans="1:46" x14ac:dyDescent="0.3">
      <c r="A89" s="40" t="s">
        <v>114</v>
      </c>
      <c r="B89" s="35" t="s">
        <v>125</v>
      </c>
      <c r="C89" s="36" t="s">
        <v>58</v>
      </c>
      <c r="D89" s="36" t="s">
        <v>48</v>
      </c>
      <c r="E89" s="37">
        <v>39</v>
      </c>
      <c r="F89" s="38">
        <v>2.2999999999999998</v>
      </c>
      <c r="G89" s="36" t="s">
        <v>73</v>
      </c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>
        <v>4000</v>
      </c>
      <c r="S89" s="39">
        <v>4000</v>
      </c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89" s="19">
        <f>Programacion[[#This Row],[ENERO]]+Programacion[[#This Row],[FEBRERO]]+Programacion[[#This Row],[MARZO]]</f>
        <v>0</v>
      </c>
      <c r="AH89" s="19">
        <f>Programacion[[#This Row],[DEVENGADO ENERO]]+Programacion[[#This Row],[DEVENGADO FEBRERO]]+Programacion[[#This Row],[DEVENGADO MARZO]]</f>
        <v>0</v>
      </c>
      <c r="AI89" s="19">
        <f>Programacion[[#This Row],[ABRIL]]+Programacion[[#This Row],[MAYO]]+Programacion[[#This Row],[JUNIO]]</f>
        <v>4000</v>
      </c>
      <c r="AJ89" s="19">
        <f>Programacion[[#This Row],[DEVENGADO ABRIL]]+Programacion[[#This Row],[DEVENGADO MAYO]]+Programacion[[#This Row],[DEVENGADO JUNIO]]</f>
        <v>4000</v>
      </c>
      <c r="AK89" s="19">
        <f>Programacion[[#This Row],[JULIO]]+Programacion[[#This Row],[AGOSTO]]+Programacion[[#This Row],[SEPTIEMBRE]]</f>
        <v>0</v>
      </c>
      <c r="AL89" s="19">
        <f>Programacion[[#This Row],[DEVENGADO JULIO]]+Programacion[[#This Row],[DEVENGADO AGOSTO]]+Programacion[[#This Row],[DEVENGADO SEPTIEMBRE]]</f>
        <v>0</v>
      </c>
      <c r="AM89" s="19">
        <f>Programacion[[#This Row],[OCTUBRE]]+Programacion[[#This Row],[NOVIEMBRE]]+Programacion[[#This Row],[DICIEMBRE]]</f>
        <v>0</v>
      </c>
      <c r="AN89" s="20">
        <f>Programacion[[#This Row],[DEVENGADO OCTUBRE]]+Programacion[[#This Row],[DEVENGADO NOVIEMBRE]]+Programacion[[#This Row],[DEVENGADO DICIEMBRE]]</f>
        <v>0</v>
      </c>
      <c r="AO89" s="20">
        <f>Programacion[[#This Row],[ENERO]]+Programacion[[#This Row],[FEBRERO]]+Programacion[[#This Row],[MARZO]]+Programacion[[#This Row],[ABRIL]]+Programacion[[#This Row],[MAYO]]+Programacion[[#This Row],[JUNIO]]</f>
        <v>4000</v>
      </c>
      <c r="AP8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8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89" s="123"/>
    </row>
    <row r="90" spans="1:46" ht="28.8" x14ac:dyDescent="0.3">
      <c r="A90" s="40" t="s">
        <v>114</v>
      </c>
      <c r="B90" s="35" t="s">
        <v>122</v>
      </c>
      <c r="C90" s="36" t="s">
        <v>76</v>
      </c>
      <c r="D90" s="36" t="s">
        <v>48</v>
      </c>
      <c r="E90" s="37">
        <v>39</v>
      </c>
      <c r="F90" s="38">
        <v>2.2999999999999998</v>
      </c>
      <c r="G90" s="36" t="s">
        <v>77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>
        <v>3800</v>
      </c>
      <c r="S90" s="33">
        <v>3800</v>
      </c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3800</v>
      </c>
      <c r="AJ90" s="33">
        <f>Programacion[[#This Row],[DEVENGADO ABRIL]]+Programacion[[#This Row],[DEVENGADO MAYO]]+Programacion[[#This Row],[DEVENGADO JUNIO]]</f>
        <v>3800</v>
      </c>
      <c r="AK90" s="33">
        <f>Programacion[[#This Row],[JULIO]]+Programacion[[#This Row],[AGOSTO]]+Programacion[[#This Row],[SEPTIEMBRE]]</f>
        <v>0</v>
      </c>
      <c r="AL90" s="33">
        <f>Programacion[[#This Row],[DEVENGADO JULIO]]+Programacion[[#This Row],[DEVENGADO AGOSTO]]+Programacion[[#This Row],[DEVENGADO SEPTIEMBRE]]</f>
        <v>0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3800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90" s="123"/>
    </row>
    <row r="91" spans="1:46" x14ac:dyDescent="0.3">
      <c r="A91" s="41" t="s">
        <v>114</v>
      </c>
      <c r="B91" s="42" t="s">
        <v>126</v>
      </c>
      <c r="C91" s="36" t="s">
        <v>83</v>
      </c>
      <c r="D91" s="36" t="s">
        <v>48</v>
      </c>
      <c r="E91" s="43">
        <v>3</v>
      </c>
      <c r="F91" s="44">
        <v>2.6</v>
      </c>
      <c r="G91" s="45" t="s">
        <v>127</v>
      </c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  <c r="AD91" s="122">
        <v>250000</v>
      </c>
      <c r="AE91" s="122"/>
      <c r="AF9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250000</v>
      </c>
      <c r="AG91" s="19">
        <f>Programacion[[#This Row],[ENERO]]+Programacion[[#This Row],[FEBRERO]]+Programacion[[#This Row],[MARZO]]</f>
        <v>0</v>
      </c>
      <c r="AH91" s="19">
        <f>Programacion[[#This Row],[DEVENGADO ENERO]]+Programacion[[#This Row],[DEVENGADO FEBRERO]]+Programacion[[#This Row],[DEVENGADO MARZO]]</f>
        <v>0</v>
      </c>
      <c r="AI91" s="19">
        <f>Programacion[[#This Row],[ABRIL]]+Programacion[[#This Row],[MAYO]]+Programacion[[#This Row],[JUNIO]]</f>
        <v>0</v>
      </c>
      <c r="AJ91" s="19">
        <f>Programacion[[#This Row],[DEVENGADO ABRIL]]+Programacion[[#This Row],[DEVENGADO MAYO]]+Programacion[[#This Row],[DEVENGADO JUNIO]]</f>
        <v>0</v>
      </c>
      <c r="AK91" s="19">
        <f>Programacion[[#This Row],[JULIO]]+Programacion[[#This Row],[AGOSTO]]+Programacion[[#This Row],[SEPTIEMBRE]]</f>
        <v>0</v>
      </c>
      <c r="AL91" s="19">
        <f>Programacion[[#This Row],[DEVENGADO JULIO]]+Programacion[[#This Row],[DEVENGADO AGOSTO]]+Programacion[[#This Row],[DEVENGADO SEPTIEMBRE]]</f>
        <v>0</v>
      </c>
      <c r="AM91" s="19">
        <f>Programacion[[#This Row],[OCTUBRE]]+Programacion[[#This Row],[NOVIEMBRE]]+Programacion[[#This Row],[DICIEMBRE]]</f>
        <v>250000</v>
      </c>
      <c r="AN91" s="20">
        <f>Programacion[[#This Row],[DEVENGADO OCTUBRE]]+Programacion[[#This Row],[DEVENGADO NOVIEMBRE]]+Programacion[[#This Row],[DEVENGADO DICIEMBRE]]</f>
        <v>0</v>
      </c>
      <c r="AO91" s="20">
        <f>Programacion[[#This Row],[ENERO]]+Programacion[[#This Row],[FEBRERO]]+Programacion[[#This Row],[MARZO]]+Programacion[[#This Row],[ABRIL]]+Programacion[[#This Row],[MAYO]]+Programacion[[#This Row],[JUNIO]]</f>
        <v>0</v>
      </c>
      <c r="AP9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0">
        <f>Programacion[[#This Row],[JULIO]]+Programacion[[#This Row],[AGOSTO]]+Programacion[[#This Row],[SEPTIEMBRE]]+Programacion[[#This Row],[OCTUBRE]]+Programacion[[#This Row],[NOVIEMBRE]]+Programacion[[#This Row],[DICIEMBRE]]</f>
        <v>250000</v>
      </c>
      <c r="AR9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23"/>
    </row>
    <row r="92" spans="1:46" ht="28.8" x14ac:dyDescent="0.3">
      <c r="A92" s="40" t="s">
        <v>114</v>
      </c>
      <c r="B92" s="35" t="s">
        <v>128</v>
      </c>
      <c r="C92" s="36" t="s">
        <v>111</v>
      </c>
      <c r="D92" s="36" t="s">
        <v>48</v>
      </c>
      <c r="E92" s="46">
        <v>39</v>
      </c>
      <c r="F92" s="47">
        <v>2.2999999999999998</v>
      </c>
      <c r="G92" s="48" t="s">
        <v>112</v>
      </c>
      <c r="H92" s="39"/>
      <c r="I92" s="39"/>
      <c r="J92" s="39"/>
      <c r="K92" s="39"/>
      <c r="L92" s="39"/>
      <c r="M92" s="39"/>
      <c r="N92" s="39"/>
      <c r="O92" s="39"/>
      <c r="P92" s="39">
        <v>1280.67</v>
      </c>
      <c r="Q92" s="39">
        <v>1280.67</v>
      </c>
      <c r="R92" s="39">
        <v>1130</v>
      </c>
      <c r="S92" s="39">
        <v>1130</v>
      </c>
      <c r="T92" s="39">
        <v>1130</v>
      </c>
      <c r="U92" s="39">
        <v>1300</v>
      </c>
      <c r="V92" s="39">
        <v>1130</v>
      </c>
      <c r="W92" s="39"/>
      <c r="X92" s="39">
        <v>1130</v>
      </c>
      <c r="Y92" s="39"/>
      <c r="Z92" s="39">
        <v>1130</v>
      </c>
      <c r="AA92" s="39"/>
      <c r="AB92" s="39">
        <v>1130</v>
      </c>
      <c r="AC92" s="39"/>
      <c r="AD92" s="39">
        <v>1130</v>
      </c>
      <c r="AE92" s="39"/>
      <c r="AF9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92" s="19">
        <f>Programacion[[#This Row],[ENERO]]+Programacion[[#This Row],[FEBRERO]]+Programacion[[#This Row],[MARZO]]</f>
        <v>0</v>
      </c>
      <c r="AH92" s="19">
        <f>Programacion[[#This Row],[DEVENGADO ENERO]]+Programacion[[#This Row],[DEVENGADO FEBRERO]]+Programacion[[#This Row],[DEVENGADO MARZO]]</f>
        <v>0</v>
      </c>
      <c r="AI92" s="19">
        <f>Programacion[[#This Row],[ABRIL]]+Programacion[[#This Row],[MAYO]]+Programacion[[#This Row],[JUNIO]]</f>
        <v>2410.67</v>
      </c>
      <c r="AJ92" s="19">
        <f>Programacion[[#This Row],[DEVENGADO ABRIL]]+Programacion[[#This Row],[DEVENGADO MAYO]]+Programacion[[#This Row],[DEVENGADO JUNIO]]</f>
        <v>2410.67</v>
      </c>
      <c r="AK92" s="19">
        <f>Programacion[[#This Row],[JULIO]]+Programacion[[#This Row],[AGOSTO]]+Programacion[[#This Row],[SEPTIEMBRE]]</f>
        <v>3390</v>
      </c>
      <c r="AL92" s="19">
        <f>Programacion[[#This Row],[DEVENGADO JULIO]]+Programacion[[#This Row],[DEVENGADO AGOSTO]]+Programacion[[#This Row],[DEVENGADO SEPTIEMBRE]]</f>
        <v>1300</v>
      </c>
      <c r="AM92" s="19">
        <f>Programacion[[#This Row],[OCTUBRE]]+Programacion[[#This Row],[NOVIEMBRE]]+Programacion[[#This Row],[DICIEMBRE]]</f>
        <v>3390</v>
      </c>
      <c r="AN92" s="20">
        <f>Programacion[[#This Row],[DEVENGADO OCTUBRE]]+Programacion[[#This Row],[DEVENGADO NOVIEMBRE]]+Programacion[[#This Row],[DEVENGADO DICIEMBRE]]</f>
        <v>0</v>
      </c>
      <c r="AO92" s="20">
        <f>Programacion[[#This Row],[ENERO]]+Programacion[[#This Row],[FEBRERO]]+Programacion[[#This Row],[MARZO]]+Programacion[[#This Row],[ABRIL]]+Programacion[[#This Row],[MAYO]]+Programacion[[#This Row],[JUNIO]]</f>
        <v>2410.67</v>
      </c>
      <c r="AP9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92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9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1300</v>
      </c>
      <c r="AS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3710.67</v>
      </c>
      <c r="AT92" s="123"/>
    </row>
    <row r="93" spans="1:46" ht="28.8" x14ac:dyDescent="0.3">
      <c r="A93" s="40" t="s">
        <v>114</v>
      </c>
      <c r="B93" s="35" t="s">
        <v>130</v>
      </c>
      <c r="C93" s="36" t="s">
        <v>111</v>
      </c>
      <c r="D93" s="40" t="s">
        <v>48</v>
      </c>
      <c r="E93" s="40">
        <v>39</v>
      </c>
      <c r="F93" s="38">
        <v>2.2999999999999998</v>
      </c>
      <c r="G93" s="40" t="s">
        <v>131</v>
      </c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>
        <v>848</v>
      </c>
      <c r="AE93" s="4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848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0</v>
      </c>
      <c r="AJ93" s="19">
        <f>Programacion[[#This Row],[DEVENGADO ABRIL]]+Programacion[[#This Row],[DEVENGADO MAYO]]+Programacion[[#This Row],[DEVENGADO JUNIO]]</f>
        <v>0</v>
      </c>
      <c r="AK93" s="19">
        <f>Programacion[[#This Row],[JULIO]]+Programacion[[#This Row],[AGOSTO]]+Programacion[[#This Row],[SEPTIEMBRE]]</f>
        <v>0</v>
      </c>
      <c r="AL93" s="19">
        <f>Programacion[[#This Row],[DEVENGADO JULIO]]+Programacion[[#This Row],[DEVENGADO AGOSTO]]+Programacion[[#This Row],[DEVENGADO SEPTIEMBRE]]</f>
        <v>0</v>
      </c>
      <c r="AM93" s="19">
        <f>Programacion[[#This Row],[OCTUBRE]]+Programacion[[#This Row],[NOVIEMBRE]]+Programacion[[#This Row],[DICIEMBRE]]</f>
        <v>848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848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3" s="123"/>
    </row>
    <row r="94" spans="1:46" x14ac:dyDescent="0.3">
      <c r="A94" s="40" t="s">
        <v>114</v>
      </c>
      <c r="B94" s="40" t="s">
        <v>243</v>
      </c>
      <c r="C94" s="109" t="s">
        <v>76</v>
      </c>
      <c r="D94" s="40" t="s">
        <v>48</v>
      </c>
      <c r="E94" s="40">
        <v>39</v>
      </c>
      <c r="F94" s="38">
        <v>2.2999999999999998</v>
      </c>
      <c r="G94" s="36" t="s">
        <v>77</v>
      </c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>
        <v>5000</v>
      </c>
      <c r="Y94" s="33"/>
      <c r="Z94" s="33"/>
      <c r="AA94" s="33"/>
      <c r="AB94" s="33"/>
      <c r="AC94" s="33"/>
      <c r="AD94" s="33"/>
      <c r="AE94" s="33"/>
      <c r="AF9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94" s="33">
        <f>Programacion[[#This Row],[ENERO]]+Programacion[[#This Row],[FEBRERO]]+Programacion[[#This Row],[MARZO]]</f>
        <v>0</v>
      </c>
      <c r="AH94" s="33">
        <f>Programacion[[#This Row],[DEVENGADO ENERO]]+Programacion[[#This Row],[DEVENGADO FEBRERO]]+Programacion[[#This Row],[DEVENGADO MARZO]]</f>
        <v>0</v>
      </c>
      <c r="AI94" s="33">
        <f>Programacion[[#This Row],[ABRIL]]+Programacion[[#This Row],[MAYO]]+Programacion[[#This Row],[JUNIO]]</f>
        <v>0</v>
      </c>
      <c r="AJ94" s="33">
        <f>Programacion[[#This Row],[DEVENGADO ABRIL]]+Programacion[[#This Row],[DEVENGADO MAYO]]+Programacion[[#This Row],[DEVENGADO JUNIO]]</f>
        <v>0</v>
      </c>
      <c r="AK94" s="33">
        <f>Programacion[[#This Row],[JULIO]]+Programacion[[#This Row],[AGOSTO]]+Programacion[[#This Row],[SEPTIEMBRE]]</f>
        <v>5000</v>
      </c>
      <c r="AL94" s="33">
        <f>Programacion[[#This Row],[DEVENGADO JULIO]]+Programacion[[#This Row],[DEVENGADO AGOSTO]]+Programacion[[#This Row],[DEVENGADO SEPTIEMBRE]]</f>
        <v>0</v>
      </c>
      <c r="AM94" s="33">
        <f>Programacion[[#This Row],[OCTUBRE]]+Programacion[[#This Row],[NOVIEMBRE]]+Programacion[[#This Row],[DICIEMBRE]]</f>
        <v>0</v>
      </c>
      <c r="AN94" s="21">
        <f>Programacion[[#This Row],[DEVENGADO OCTUBRE]]+Programacion[[#This Row],[DEVENGADO NOVIEMBRE]]+Programacion[[#This Row],[DEVENGADO DICIEMBRE]]</f>
        <v>0</v>
      </c>
      <c r="AO94" s="21">
        <f>Programacion[[#This Row],[ENERO]]+Programacion[[#This Row],[FEBRERO]]+Programacion[[#This Row],[MARZO]]+Programacion[[#This Row],[ABRIL]]+Programacion[[#This Row],[MAYO]]+Programacion[[#This Row],[JUNIO]]</f>
        <v>0</v>
      </c>
      <c r="AP9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9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123"/>
    </row>
    <row r="95" spans="1:46" x14ac:dyDescent="0.3">
      <c r="A95" s="40" t="s">
        <v>114</v>
      </c>
      <c r="B95" s="40" t="s">
        <v>244</v>
      </c>
      <c r="C95" s="109" t="s">
        <v>200</v>
      </c>
      <c r="D95" s="40" t="s">
        <v>48</v>
      </c>
      <c r="E95" s="46">
        <v>39</v>
      </c>
      <c r="F95" s="47">
        <v>2.2999999999999998</v>
      </c>
      <c r="G95" s="36" t="s">
        <v>201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>
        <v>6951</v>
      </c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6951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0</v>
      </c>
      <c r="AJ95" s="33">
        <f>Programacion[[#This Row],[DEVENGADO ABRIL]]+Programacion[[#This Row],[DEVENGADO MAYO]]+Programacion[[#This Row],[DEVENGADO JUNIO]]</f>
        <v>0</v>
      </c>
      <c r="AK95" s="33">
        <f>Programacion[[#This Row],[JULIO]]+Programacion[[#This Row],[AGOSTO]]+Programacion[[#This Row],[SEPTIEMBRE]]</f>
        <v>6951</v>
      </c>
      <c r="AL95" s="33">
        <f>Programacion[[#This Row],[DEVENGADO JULIO]]+Programacion[[#This Row],[DEVENGADO AGOSTO]]+Programacion[[#This Row],[DEVENGADO SEPTIEMBRE]]</f>
        <v>0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6951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5" s="123"/>
    </row>
    <row r="96" spans="1:46" x14ac:dyDescent="0.3">
      <c r="A96" s="50" t="s">
        <v>132</v>
      </c>
      <c r="B96" s="51" t="s">
        <v>133</v>
      </c>
      <c r="C96" s="52" t="s">
        <v>58</v>
      </c>
      <c r="D96" s="52" t="s">
        <v>48</v>
      </c>
      <c r="E96" s="53">
        <v>39</v>
      </c>
      <c r="F96" s="54">
        <v>2.2999999999999998</v>
      </c>
      <c r="G96" s="52" t="s">
        <v>73</v>
      </c>
      <c r="H96" s="55"/>
      <c r="I96" s="55"/>
      <c r="J96" s="55"/>
      <c r="K96" s="55"/>
      <c r="L96" s="55">
        <v>7920</v>
      </c>
      <c r="M96" s="55">
        <v>7920</v>
      </c>
      <c r="N96" s="55">
        <v>3960</v>
      </c>
      <c r="O96" s="55">
        <v>3960</v>
      </c>
      <c r="P96" s="55">
        <v>3960</v>
      </c>
      <c r="Q96" s="55">
        <v>3960</v>
      </c>
      <c r="R96" s="55">
        <v>3960</v>
      </c>
      <c r="S96" s="55">
        <v>3960</v>
      </c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  <c r="AE96" s="55"/>
      <c r="AF9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96" s="19">
        <f>Programacion[[#This Row],[ENERO]]+Programacion[[#This Row],[FEBRERO]]+Programacion[[#This Row],[MARZO]]</f>
        <v>7920</v>
      </c>
      <c r="AH96" s="19">
        <f>Programacion[[#This Row],[DEVENGADO ENERO]]+Programacion[[#This Row],[DEVENGADO FEBRERO]]+Programacion[[#This Row],[DEVENGADO MARZO]]</f>
        <v>7920</v>
      </c>
      <c r="AI96" s="19">
        <f>Programacion[[#This Row],[ABRIL]]+Programacion[[#This Row],[MAYO]]+Programacion[[#This Row],[JUNIO]]</f>
        <v>11880</v>
      </c>
      <c r="AJ96" s="19">
        <f>Programacion[[#This Row],[DEVENGADO ABRIL]]+Programacion[[#This Row],[DEVENGADO MAYO]]+Programacion[[#This Row],[DEVENGADO JUNIO]]</f>
        <v>11880</v>
      </c>
      <c r="AK96" s="19">
        <f>Programacion[[#This Row],[JULIO]]+Programacion[[#This Row],[AGOSTO]]+Programacion[[#This Row],[SEPTIEMBRE]]</f>
        <v>0</v>
      </c>
      <c r="AL96" s="19">
        <f>Programacion[[#This Row],[DEVENGADO JULIO]]+Programacion[[#This Row],[DEVENGADO AGOSTO]]+Programacion[[#This Row],[DEVENGADO SEPTIEMBRE]]</f>
        <v>0</v>
      </c>
      <c r="AM96" s="19">
        <f>Programacion[[#This Row],[OCTUBRE]]+Programacion[[#This Row],[NOVIEMBRE]]+Programacion[[#This Row],[DICIEMBRE]]</f>
        <v>0</v>
      </c>
      <c r="AN96" s="20">
        <f>Programacion[[#This Row],[DEVENGADO OCTUBRE]]+Programacion[[#This Row],[DEVENGADO NOVIEMBRE]]+Programacion[[#This Row],[DEVENGADO DICIEMBRE]]</f>
        <v>0</v>
      </c>
      <c r="AO96" s="20">
        <f>Programacion[[#This Row],[ENERO]]+Programacion[[#This Row],[FEBRERO]]+Programacion[[#This Row],[MARZO]]+Programacion[[#This Row],[ABRIL]]+Programacion[[#This Row],[MAYO]]+Programacion[[#This Row],[JUNIO]]</f>
        <v>19800</v>
      </c>
      <c r="AP9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9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96" s="123"/>
    </row>
    <row r="97" spans="1:46" x14ac:dyDescent="0.3">
      <c r="A97" s="50" t="s">
        <v>132</v>
      </c>
      <c r="B97" s="51" t="s">
        <v>133</v>
      </c>
      <c r="C97" s="52" t="s">
        <v>58</v>
      </c>
      <c r="D97" s="52" t="s">
        <v>48</v>
      </c>
      <c r="E97" s="53">
        <v>39</v>
      </c>
      <c r="F97" s="54">
        <v>2.2999999999999998</v>
      </c>
      <c r="G97" s="52" t="s">
        <v>73</v>
      </c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>
        <v>4000</v>
      </c>
      <c r="U97" s="33">
        <v>4000</v>
      </c>
      <c r="V97" s="33">
        <v>4000</v>
      </c>
      <c r="W97" s="33"/>
      <c r="X97" s="33">
        <v>4000</v>
      </c>
      <c r="Y97" s="33"/>
      <c r="Z97" s="33">
        <v>4000</v>
      </c>
      <c r="AA97" s="33"/>
      <c r="AB97" s="33">
        <v>4000</v>
      </c>
      <c r="AC97" s="33"/>
      <c r="AD97" s="33">
        <v>4000</v>
      </c>
      <c r="AE97" s="33"/>
      <c r="AF9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97" s="33">
        <f>Programacion[[#This Row],[ENERO]]+Programacion[[#This Row],[FEBRERO]]+Programacion[[#This Row],[MARZO]]</f>
        <v>0</v>
      </c>
      <c r="AH97" s="33">
        <f>Programacion[[#This Row],[DEVENGADO ENERO]]+Programacion[[#This Row],[DEVENGADO FEBRERO]]+Programacion[[#This Row],[DEVENGADO MARZO]]</f>
        <v>0</v>
      </c>
      <c r="AI97" s="33">
        <f>Programacion[[#This Row],[ABRIL]]+Programacion[[#This Row],[MAYO]]+Programacion[[#This Row],[JUNIO]]</f>
        <v>0</v>
      </c>
      <c r="AJ97" s="33">
        <f>Programacion[[#This Row],[DEVENGADO ABRIL]]+Programacion[[#This Row],[DEVENGADO MAYO]]+Programacion[[#This Row],[DEVENGADO JUNIO]]</f>
        <v>0</v>
      </c>
      <c r="AK97" s="33">
        <f>Programacion[[#This Row],[JULIO]]+Programacion[[#This Row],[AGOSTO]]+Programacion[[#This Row],[SEPTIEMBRE]]</f>
        <v>12000</v>
      </c>
      <c r="AL97" s="33">
        <f>Programacion[[#This Row],[DEVENGADO JULIO]]+Programacion[[#This Row],[DEVENGADO AGOSTO]]+Programacion[[#This Row],[DEVENGADO SEPTIEMBRE]]</f>
        <v>4000</v>
      </c>
      <c r="AM97" s="33">
        <f>Programacion[[#This Row],[OCTUBRE]]+Programacion[[#This Row],[NOVIEMBRE]]+Programacion[[#This Row],[DICIEMBRE]]</f>
        <v>12000</v>
      </c>
      <c r="AN97" s="21">
        <f>Programacion[[#This Row],[DEVENGADO OCTUBRE]]+Programacion[[#This Row],[DEVENGADO NOVIEMBRE]]+Programacion[[#This Row],[DEVENGADO DICIEMBRE]]</f>
        <v>0</v>
      </c>
      <c r="AO97" s="21">
        <f>Programacion[[#This Row],[ENERO]]+Programacion[[#This Row],[FEBRERO]]+Programacion[[#This Row],[MARZO]]+Programacion[[#This Row],[ABRIL]]+Programacion[[#This Row],[MAYO]]+Programacion[[#This Row],[JUNIO]]</f>
        <v>0</v>
      </c>
      <c r="AP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9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97" s="123"/>
    </row>
    <row r="98" spans="1:46" x14ac:dyDescent="0.3">
      <c r="A98" s="50" t="s">
        <v>132</v>
      </c>
      <c r="B98" s="51" t="s">
        <v>134</v>
      </c>
      <c r="C98" s="52" t="s">
        <v>58</v>
      </c>
      <c r="D98" s="52" t="s">
        <v>48</v>
      </c>
      <c r="E98" s="53">
        <v>39</v>
      </c>
      <c r="F98" s="54">
        <v>2.2999999999999998</v>
      </c>
      <c r="G98" s="52" t="s">
        <v>73</v>
      </c>
      <c r="H98" s="55"/>
      <c r="I98" s="55"/>
      <c r="J98" s="55"/>
      <c r="K98" s="55"/>
      <c r="L98" s="55"/>
      <c r="M98" s="55"/>
      <c r="N98" s="55">
        <v>8500</v>
      </c>
      <c r="O98" s="55">
        <v>8500</v>
      </c>
      <c r="P98" s="55">
        <v>8500</v>
      </c>
      <c r="Q98" s="55">
        <v>8500</v>
      </c>
      <c r="R98" s="55">
        <v>8500</v>
      </c>
      <c r="S98" s="55">
        <v>8500</v>
      </c>
      <c r="T98" s="55">
        <v>8500</v>
      </c>
      <c r="U98" s="55">
        <v>8500</v>
      </c>
      <c r="V98" s="55">
        <v>8500</v>
      </c>
      <c r="W98" s="55"/>
      <c r="X98" s="55"/>
      <c r="Y98" s="55"/>
      <c r="Z98" s="55"/>
      <c r="AA98" s="55"/>
      <c r="AB98" s="55"/>
      <c r="AC98" s="55"/>
      <c r="AD98" s="55"/>
      <c r="AE98" s="55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25500</v>
      </c>
      <c r="AJ98" s="19">
        <f>Programacion[[#This Row],[DEVENGADO ABRIL]]+Programacion[[#This Row],[DEVENGADO MAYO]]+Programacion[[#This Row],[DEVENGADO JUNIO]]</f>
        <v>25500</v>
      </c>
      <c r="AK98" s="19">
        <f>Programacion[[#This Row],[JULIO]]+Programacion[[#This Row],[AGOSTO]]+Programacion[[#This Row],[SEPTIEMBRE]]</f>
        <v>17000</v>
      </c>
      <c r="AL98" s="19">
        <f>Programacion[[#This Row],[DEVENGADO JULIO]]+Programacion[[#This Row],[DEVENGADO AGOSTO]]+Programacion[[#This Row],[DEVENGADO SEPTIEMBRE]]</f>
        <v>8500</v>
      </c>
      <c r="AM98" s="19">
        <f>Programacion[[#This Row],[OCTUBRE]]+Programacion[[#This Row],[NOVIEMBRE]]+Programacion[[#This Row],[DICIEMBRE]]</f>
        <v>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25500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8500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34000</v>
      </c>
      <c r="AT98" s="123"/>
    </row>
    <row r="99" spans="1:46" x14ac:dyDescent="0.3">
      <c r="A99" s="50" t="s">
        <v>132</v>
      </c>
      <c r="B99" s="51" t="s">
        <v>133</v>
      </c>
      <c r="C99" s="52" t="s">
        <v>58</v>
      </c>
      <c r="D99" s="52" t="s">
        <v>48</v>
      </c>
      <c r="E99" s="53">
        <v>39</v>
      </c>
      <c r="F99" s="54">
        <v>2.2999999999999998</v>
      </c>
      <c r="G99" s="52" t="s">
        <v>73</v>
      </c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>
        <v>8500</v>
      </c>
      <c r="Y99" s="55"/>
      <c r="Z99" s="55">
        <v>8500</v>
      </c>
      <c r="AA99" s="55"/>
      <c r="AB99" s="55">
        <v>8500</v>
      </c>
      <c r="AC99" s="55"/>
      <c r="AD99" s="55">
        <v>8500</v>
      </c>
      <c r="AE99" s="56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99" s="19">
        <f>Programacion[[#This Row],[ENERO]]+Programacion[[#This Row],[FEBRERO]]+Programacion[[#This Row],[MARZO]]</f>
        <v>0</v>
      </c>
      <c r="AH99" s="19">
        <f>Programacion[[#This Row],[DEVENGADO ENERO]]+Programacion[[#This Row],[DEVENGADO FEBRERO]]+Programacion[[#This Row],[DEVENGADO MARZO]]</f>
        <v>0</v>
      </c>
      <c r="AI99" s="19">
        <f>Programacion[[#This Row],[ABRIL]]+Programacion[[#This Row],[MAYO]]+Programacion[[#This Row],[JUNIO]]</f>
        <v>0</v>
      </c>
      <c r="AJ99" s="19">
        <f>Programacion[[#This Row],[DEVENGADO ABRIL]]+Programacion[[#This Row],[DEVENGADO MAYO]]+Programacion[[#This Row],[DEVENGADO JUNIO]]</f>
        <v>0</v>
      </c>
      <c r="AK99" s="19">
        <f>Programacion[[#This Row],[JULIO]]+Programacion[[#This Row],[AGOSTO]]+Programacion[[#This Row],[SEPTIEMBRE]]</f>
        <v>8500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25500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9" s="123"/>
    </row>
    <row r="100" spans="1:46" x14ac:dyDescent="0.3">
      <c r="A100" s="50" t="s">
        <v>132</v>
      </c>
      <c r="B100" s="51" t="s">
        <v>116</v>
      </c>
      <c r="C100" s="52" t="s">
        <v>58</v>
      </c>
      <c r="D100" s="52" t="s">
        <v>48</v>
      </c>
      <c r="E100" s="53">
        <v>3</v>
      </c>
      <c r="F100" s="54">
        <v>2.2999999999999998</v>
      </c>
      <c r="G100" s="52" t="s">
        <v>73</v>
      </c>
      <c r="H100" s="55"/>
      <c r="I100" s="55"/>
      <c r="J100" s="55"/>
      <c r="K100" s="55"/>
      <c r="L100" s="55">
        <v>11760</v>
      </c>
      <c r="M100" s="55">
        <v>11760</v>
      </c>
      <c r="N100" s="55">
        <v>5880</v>
      </c>
      <c r="O100" s="55">
        <v>5880</v>
      </c>
      <c r="P100" s="55">
        <v>5880</v>
      </c>
      <c r="Q100" s="55">
        <v>5880</v>
      </c>
      <c r="R100" s="55">
        <v>5880</v>
      </c>
      <c r="S100" s="55">
        <v>5880</v>
      </c>
      <c r="T100" s="55">
        <v>6300</v>
      </c>
      <c r="U100" s="55">
        <v>6300</v>
      </c>
      <c r="V100" s="55">
        <v>6300</v>
      </c>
      <c r="W100" s="55"/>
      <c r="X100" s="55"/>
      <c r="Y100" s="55"/>
      <c r="Z100" s="55"/>
      <c r="AA100" s="55"/>
      <c r="AB100" s="55"/>
      <c r="AC100" s="55"/>
      <c r="AD100" s="55"/>
      <c r="AE100" s="55"/>
      <c r="AF10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00" s="19">
        <f>Programacion[[#This Row],[ENERO]]+Programacion[[#This Row],[FEBRERO]]+Programacion[[#This Row],[MARZO]]</f>
        <v>11760</v>
      </c>
      <c r="AH100" s="19">
        <f>Programacion[[#This Row],[DEVENGADO ENERO]]+Programacion[[#This Row],[DEVENGADO FEBRERO]]+Programacion[[#This Row],[DEVENGADO MARZO]]</f>
        <v>11760</v>
      </c>
      <c r="AI100" s="19">
        <f>Programacion[[#This Row],[ABRIL]]+Programacion[[#This Row],[MAYO]]+Programacion[[#This Row],[JUNIO]]</f>
        <v>17640</v>
      </c>
      <c r="AJ100" s="19">
        <f>Programacion[[#This Row],[DEVENGADO ABRIL]]+Programacion[[#This Row],[DEVENGADO MAYO]]+Programacion[[#This Row],[DEVENGADO JUNIO]]</f>
        <v>17640</v>
      </c>
      <c r="AK100" s="19">
        <f>Programacion[[#This Row],[JULIO]]+Programacion[[#This Row],[AGOSTO]]+Programacion[[#This Row],[SEPTIEMBRE]]</f>
        <v>12600</v>
      </c>
      <c r="AL100" s="19">
        <f>Programacion[[#This Row],[DEVENGADO JULIO]]+Programacion[[#This Row],[DEVENGADO AGOSTO]]+Programacion[[#This Row],[DEVENGADO SEPTIEMBRE]]</f>
        <v>6300</v>
      </c>
      <c r="AM100" s="19">
        <f>Programacion[[#This Row],[OCTUBRE]]+Programacion[[#This Row],[NOVIEMBRE]]+Programacion[[#This Row],[DICIEMBRE]]</f>
        <v>0</v>
      </c>
      <c r="AN100" s="20">
        <f>Programacion[[#This Row],[DEVENGADO OCTUBRE]]+Programacion[[#This Row],[DEVENGADO NOVIEMBRE]]+Programacion[[#This Row],[DEVENGADO DICIEMBRE]]</f>
        <v>0</v>
      </c>
      <c r="AO100" s="20">
        <f>Programacion[[#This Row],[ENERO]]+Programacion[[#This Row],[FEBRERO]]+Programacion[[#This Row],[MARZO]]+Programacion[[#This Row],[ABRIL]]+Programacion[[#This Row],[MAYO]]+Programacion[[#This Row],[JUNIO]]</f>
        <v>29400</v>
      </c>
      <c r="AP10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00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0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6300</v>
      </c>
      <c r="AS1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35700</v>
      </c>
      <c r="AT100" s="123"/>
    </row>
    <row r="101" spans="1:46" x14ac:dyDescent="0.3">
      <c r="A101" s="50" t="s">
        <v>132</v>
      </c>
      <c r="B101" s="51" t="s">
        <v>116</v>
      </c>
      <c r="C101" s="52" t="s">
        <v>58</v>
      </c>
      <c r="D101" s="52" t="s">
        <v>48</v>
      </c>
      <c r="E101" s="53">
        <v>3</v>
      </c>
      <c r="F101" s="54">
        <v>2.2999999999999998</v>
      </c>
      <c r="G101" s="52" t="s">
        <v>73</v>
      </c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>
        <v>6000</v>
      </c>
      <c r="Y101" s="55"/>
      <c r="Z101" s="55">
        <v>6000</v>
      </c>
      <c r="AA101" s="55"/>
      <c r="AB101" s="55">
        <v>6000</v>
      </c>
      <c r="AC101" s="55"/>
      <c r="AD101" s="55">
        <v>6000</v>
      </c>
      <c r="AE101" s="55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6000</v>
      </c>
      <c r="AL101" s="19">
        <f>Programacion[[#This Row],[DEVENGADO JULIO]]+Programacion[[#This Row],[DEVENGADO AGOSTO]]+Programacion[[#This Row],[DEVENGADO SEPTIEMBRE]]</f>
        <v>0</v>
      </c>
      <c r="AM101" s="19">
        <f>Programacion[[#This Row],[OCTUBRE]]+Programacion[[#This Row],[NOVIEMBRE]]+Programacion[[#This Row],[DICIEMBRE]]</f>
        <v>18000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1" s="123"/>
    </row>
    <row r="102" spans="1:46" ht="28.8" x14ac:dyDescent="0.3">
      <c r="A102" s="57" t="s">
        <v>132</v>
      </c>
      <c r="B102" s="51" t="s">
        <v>135</v>
      </c>
      <c r="C102" s="52" t="s">
        <v>58</v>
      </c>
      <c r="D102" s="52" t="s">
        <v>48</v>
      </c>
      <c r="E102" s="53">
        <v>3</v>
      </c>
      <c r="F102" s="54">
        <v>2.2999999999999998</v>
      </c>
      <c r="G102" s="52" t="s">
        <v>73</v>
      </c>
      <c r="H102" s="55"/>
      <c r="I102" s="55"/>
      <c r="J102" s="55"/>
      <c r="K102" s="55"/>
      <c r="L102" s="55">
        <v>8000</v>
      </c>
      <c r="M102" s="55">
        <v>8000</v>
      </c>
      <c r="N102" s="55">
        <v>4000</v>
      </c>
      <c r="O102" s="55">
        <v>4000</v>
      </c>
      <c r="P102" s="55">
        <v>4000</v>
      </c>
      <c r="Q102" s="55">
        <v>4000</v>
      </c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  <c r="AE102" s="55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02" s="19">
        <f>Programacion[[#This Row],[ENERO]]+Programacion[[#This Row],[FEBRERO]]+Programacion[[#This Row],[MARZO]]</f>
        <v>8000</v>
      </c>
      <c r="AH102" s="19">
        <f>Programacion[[#This Row],[DEVENGADO ENERO]]+Programacion[[#This Row],[DEVENGADO FEBRERO]]+Programacion[[#This Row],[DEVENGADO MARZO]]</f>
        <v>8000</v>
      </c>
      <c r="AI102" s="19">
        <f>Programacion[[#This Row],[ABRIL]]+Programacion[[#This Row],[MAYO]]+Programacion[[#This Row],[JUNIO]]</f>
        <v>8000</v>
      </c>
      <c r="AJ102" s="19">
        <f>Programacion[[#This Row],[DEVENGADO ABRIL]]+Programacion[[#This Row],[DEVENGADO MAYO]]+Programacion[[#This Row],[DEVENGADO JUNIO]]</f>
        <v>8000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16000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02" s="123"/>
    </row>
    <row r="103" spans="1:46" ht="28.8" x14ac:dyDescent="0.3">
      <c r="A103" s="57" t="s">
        <v>132</v>
      </c>
      <c r="B103" s="51" t="s">
        <v>135</v>
      </c>
      <c r="C103" s="52" t="s">
        <v>58</v>
      </c>
      <c r="D103" s="52" t="s">
        <v>48</v>
      </c>
      <c r="E103" s="53">
        <v>3</v>
      </c>
      <c r="F103" s="54">
        <v>2.2999999999999998</v>
      </c>
      <c r="G103" s="52" t="s">
        <v>73</v>
      </c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>
        <v>4000</v>
      </c>
      <c r="S103" s="55">
        <v>4000</v>
      </c>
      <c r="T103" s="55">
        <v>4000</v>
      </c>
      <c r="U103" s="55">
        <v>4000</v>
      </c>
      <c r="V103" s="55">
        <v>4000</v>
      </c>
      <c r="W103" s="55"/>
      <c r="X103" s="55">
        <v>4000</v>
      </c>
      <c r="Y103" s="55"/>
      <c r="Z103" s="55">
        <v>4000</v>
      </c>
      <c r="AA103" s="55"/>
      <c r="AB103" s="55"/>
      <c r="AC103" s="55"/>
      <c r="AD103" s="55"/>
      <c r="AE103" s="55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4000</v>
      </c>
      <c r="AJ103" s="19">
        <f>Programacion[[#This Row],[DEVENGADO ABRIL]]+Programacion[[#This Row],[DEVENGADO MAYO]]+Programacion[[#This Row],[DEVENGADO JUNIO]]</f>
        <v>4000</v>
      </c>
      <c r="AK103" s="19">
        <f>Programacion[[#This Row],[JULIO]]+Programacion[[#This Row],[AGOSTO]]+Programacion[[#This Row],[SEPTIEMBRE]]</f>
        <v>12000</v>
      </c>
      <c r="AL103" s="19">
        <f>Programacion[[#This Row],[DEVENGADO JULIO]]+Programacion[[#This Row],[DEVENGADO AGOSTO]]+Programacion[[#This Row],[DEVENGADO SEPTIEMBRE]]</f>
        <v>4000</v>
      </c>
      <c r="AM103" s="19">
        <f>Programacion[[#This Row],[OCTUBRE]]+Programacion[[#This Row],[NOVIEMBRE]]+Programacion[[#This Row],[DICIEMBRE]]</f>
        <v>4000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4000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03" s="123"/>
    </row>
    <row r="104" spans="1:46" x14ac:dyDescent="0.3">
      <c r="A104" s="58" t="s">
        <v>132</v>
      </c>
      <c r="B104" s="51" t="s">
        <v>136</v>
      </c>
      <c r="C104" s="52" t="s">
        <v>58</v>
      </c>
      <c r="D104" s="52" t="s">
        <v>48</v>
      </c>
      <c r="E104" s="53">
        <v>3</v>
      </c>
      <c r="F104" s="54">
        <v>2.2999999999999998</v>
      </c>
      <c r="G104" s="52" t="s">
        <v>73</v>
      </c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>
        <v>10800</v>
      </c>
      <c r="AC104" s="55"/>
      <c r="AD104" s="55">
        <v>10800</v>
      </c>
      <c r="AE104" s="56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0</v>
      </c>
      <c r="AJ104" s="19">
        <f>Programacion[[#This Row],[DEVENGADO ABRIL]]+Programacion[[#This Row],[DEVENGADO MAYO]]+Programacion[[#This Row],[DEVENGADO JUNIO]]</f>
        <v>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21600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4" s="123"/>
    </row>
    <row r="105" spans="1:46" x14ac:dyDescent="0.3">
      <c r="A105" s="58" t="s">
        <v>132</v>
      </c>
      <c r="B105" s="51" t="s">
        <v>137</v>
      </c>
      <c r="C105" s="52" t="s">
        <v>58</v>
      </c>
      <c r="D105" s="52" t="s">
        <v>48</v>
      </c>
      <c r="E105" s="53">
        <v>3</v>
      </c>
      <c r="F105" s="54">
        <v>2.2999999999999998</v>
      </c>
      <c r="G105" s="52" t="s">
        <v>138</v>
      </c>
      <c r="H105" s="55"/>
      <c r="I105" s="55"/>
      <c r="J105" s="55"/>
      <c r="K105" s="55"/>
      <c r="L105" s="55"/>
      <c r="M105" s="55"/>
      <c r="N105" s="55">
        <v>7500</v>
      </c>
      <c r="O105" s="55">
        <v>7500</v>
      </c>
      <c r="P105" s="55">
        <v>7500</v>
      </c>
      <c r="Q105" s="55">
        <v>7500</v>
      </c>
      <c r="R105" s="55">
        <v>7500</v>
      </c>
      <c r="S105" s="55">
        <v>7500</v>
      </c>
      <c r="T105" s="55">
        <v>7500</v>
      </c>
      <c r="U105" s="55"/>
      <c r="V105" s="55">
        <v>7500</v>
      </c>
      <c r="W105" s="55"/>
      <c r="X105" s="55"/>
      <c r="Y105" s="55"/>
      <c r="Z105" s="55"/>
      <c r="AA105" s="55"/>
      <c r="AB105" s="55"/>
      <c r="AC105" s="55"/>
      <c r="AD105" s="55"/>
      <c r="AE105" s="56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22500</v>
      </c>
      <c r="AJ105" s="19">
        <f>Programacion[[#This Row],[DEVENGADO ABRIL]]+Programacion[[#This Row],[DEVENGADO MAYO]]+Programacion[[#This Row],[DEVENGADO JUNIO]]</f>
        <v>22500</v>
      </c>
      <c r="AK105" s="19">
        <f>Programacion[[#This Row],[JULIO]]+Programacion[[#This Row],[AGOSTO]]+Programacion[[#This Row],[SEPTIEMBRE]]</f>
        <v>15000</v>
      </c>
      <c r="AL105" s="19">
        <f>Programacion[[#This Row],[DEVENGADO JULIO]]+Programacion[[#This Row],[DEVENGADO AGOSTO]]+Programacion[[#This Row],[DEVENGADO SEPTIEMBRE]]</f>
        <v>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22500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05" s="123"/>
    </row>
    <row r="106" spans="1:46" x14ac:dyDescent="0.3">
      <c r="A106" s="58" t="s">
        <v>132</v>
      </c>
      <c r="B106" s="51" t="s">
        <v>139</v>
      </c>
      <c r="C106" s="52" t="s">
        <v>58</v>
      </c>
      <c r="D106" s="52" t="s">
        <v>48</v>
      </c>
      <c r="E106" s="53">
        <v>3</v>
      </c>
      <c r="F106" s="54">
        <v>2.2999999999999998</v>
      </c>
      <c r="G106" s="52" t="s">
        <v>138</v>
      </c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>
        <v>7500</v>
      </c>
      <c r="W106" s="55"/>
      <c r="X106" s="55">
        <v>7500</v>
      </c>
      <c r="Y106" s="55"/>
      <c r="Z106" s="55">
        <v>7500</v>
      </c>
      <c r="AA106" s="55"/>
      <c r="AB106" s="55">
        <v>7500</v>
      </c>
      <c r="AC106" s="55"/>
      <c r="AD106" s="55">
        <v>7500</v>
      </c>
      <c r="AE106" s="56"/>
      <c r="AF10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06" s="19">
        <f>Programacion[[#This Row],[ENERO]]+Programacion[[#This Row],[FEBRERO]]+Programacion[[#This Row],[MARZO]]</f>
        <v>0</v>
      </c>
      <c r="AH106" s="19">
        <f>Programacion[[#This Row],[DEVENGADO ENERO]]+Programacion[[#This Row],[DEVENGADO FEBRERO]]+Programacion[[#This Row],[DEVENGADO MARZO]]</f>
        <v>0</v>
      </c>
      <c r="AI106" s="19">
        <f>Programacion[[#This Row],[ABRIL]]+Programacion[[#This Row],[MAYO]]+Programacion[[#This Row],[JUNIO]]</f>
        <v>0</v>
      </c>
      <c r="AJ106" s="19">
        <f>Programacion[[#This Row],[DEVENGADO ABRIL]]+Programacion[[#This Row],[DEVENGADO MAYO]]+Programacion[[#This Row],[DEVENGADO JUNIO]]</f>
        <v>0</v>
      </c>
      <c r="AK106" s="19">
        <f>Programacion[[#This Row],[JULIO]]+Programacion[[#This Row],[AGOSTO]]+Programacion[[#This Row],[SEPTIEMBRE]]</f>
        <v>15000</v>
      </c>
      <c r="AL106" s="19">
        <f>Programacion[[#This Row],[DEVENGADO JULIO]]+Programacion[[#This Row],[DEVENGADO AGOSTO]]+Programacion[[#This Row],[DEVENGADO SEPTIEMBRE]]</f>
        <v>0</v>
      </c>
      <c r="AM106" s="19">
        <f>Programacion[[#This Row],[OCTUBRE]]+Programacion[[#This Row],[NOVIEMBRE]]+Programacion[[#This Row],[DICIEMBRE]]</f>
        <v>22500</v>
      </c>
      <c r="AN106" s="20">
        <f>Programacion[[#This Row],[DEVENGADO OCTUBRE]]+Programacion[[#This Row],[DEVENGADO NOVIEMBRE]]+Programacion[[#This Row],[DEVENGADO DICIEMBRE]]</f>
        <v>0</v>
      </c>
      <c r="AO106" s="20">
        <f>Programacion[[#This Row],[ENERO]]+Programacion[[#This Row],[FEBRERO]]+Programacion[[#This Row],[MARZO]]+Programacion[[#This Row],[ABRIL]]+Programacion[[#This Row],[MAYO]]+Programacion[[#This Row],[JUNIO]]</f>
        <v>0</v>
      </c>
      <c r="AP10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20">
        <f>Programacion[[#This Row],[JULIO]]+Programacion[[#This Row],[AGOSTO]]+Programacion[[#This Row],[SEPTIEMBRE]]+Programacion[[#This Row],[OCTUBRE]]+Programacion[[#This Row],[NOVIEMBRE]]+Programacion[[#This Row],[DICIEMBRE]]</f>
        <v>37500</v>
      </c>
      <c r="AR10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6" s="123"/>
    </row>
    <row r="107" spans="1:46" x14ac:dyDescent="0.3">
      <c r="A107" s="58" t="s">
        <v>132</v>
      </c>
      <c r="B107" s="51" t="s">
        <v>140</v>
      </c>
      <c r="C107" s="52" t="s">
        <v>58</v>
      </c>
      <c r="D107" s="52" t="s">
        <v>48</v>
      </c>
      <c r="E107" s="53">
        <v>3</v>
      </c>
      <c r="F107" s="54">
        <v>2.2999999999999998</v>
      </c>
      <c r="G107" s="52" t="s">
        <v>138</v>
      </c>
      <c r="H107" s="55"/>
      <c r="I107" s="55"/>
      <c r="J107" s="55"/>
      <c r="K107" s="55"/>
      <c r="L107" s="55"/>
      <c r="M107" s="55"/>
      <c r="N107" s="55">
        <v>7500</v>
      </c>
      <c r="O107" s="55">
        <v>7500</v>
      </c>
      <c r="P107" s="55">
        <v>7500</v>
      </c>
      <c r="Q107" s="55">
        <v>7500</v>
      </c>
      <c r="R107" s="55">
        <v>7500</v>
      </c>
      <c r="S107" s="55">
        <v>7500</v>
      </c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  <c r="AE107" s="56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22500</v>
      </c>
      <c r="AJ107" s="19">
        <f>Programacion[[#This Row],[DEVENGADO ABRIL]]+Programacion[[#This Row],[DEVENGADO MAYO]]+Programacion[[#This Row],[DEVENGADO JUNIO]]</f>
        <v>22500</v>
      </c>
      <c r="AK107" s="19">
        <f>Programacion[[#This Row],[JULIO]]+Programacion[[#This Row],[AGOSTO]]+Programacion[[#This Row],[SEPTIEMBRE]]</f>
        <v>0</v>
      </c>
      <c r="AL107" s="19">
        <f>Programacion[[#This Row],[DEVENGADO JULIO]]+Programacion[[#This Row],[DEVENGADO AGOSTO]]+Programacion[[#This Row],[DEVENGADO SEPTIEMBRE]]</f>
        <v>0</v>
      </c>
      <c r="AM107" s="19">
        <f>Programacion[[#This Row],[OCTUBRE]]+Programacion[[#This Row],[NOVIEMBRE]]+Programacion[[#This Row],[DICIEMBRE]]</f>
        <v>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22500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07" s="123"/>
    </row>
    <row r="108" spans="1:46" x14ac:dyDescent="0.3">
      <c r="A108" s="58" t="s">
        <v>132</v>
      </c>
      <c r="B108" s="51" t="s">
        <v>141</v>
      </c>
      <c r="C108" s="52" t="s">
        <v>58</v>
      </c>
      <c r="D108" s="52" t="s">
        <v>48</v>
      </c>
      <c r="E108" s="53">
        <v>3</v>
      </c>
      <c r="F108" s="54">
        <v>2.2999999999999998</v>
      </c>
      <c r="G108" s="52" t="s">
        <v>138</v>
      </c>
      <c r="H108" s="55"/>
      <c r="I108" s="55"/>
      <c r="J108" s="55"/>
      <c r="K108" s="55"/>
      <c r="L108" s="55"/>
      <c r="M108" s="55"/>
      <c r="N108" s="55"/>
      <c r="O108" s="55"/>
      <c r="P108" s="55">
        <v>7500</v>
      </c>
      <c r="Q108" s="55">
        <v>7500</v>
      </c>
      <c r="R108" s="55">
        <v>7500</v>
      </c>
      <c r="S108" s="55">
        <v>7500</v>
      </c>
      <c r="T108" s="55">
        <v>7500</v>
      </c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  <c r="AE108" s="56"/>
      <c r="AF10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08" s="19">
        <f>Programacion[[#This Row],[ENERO]]+Programacion[[#This Row],[FEBRERO]]+Programacion[[#This Row],[MARZO]]</f>
        <v>0</v>
      </c>
      <c r="AH108" s="19">
        <f>Programacion[[#This Row],[DEVENGADO ENERO]]+Programacion[[#This Row],[DEVENGADO FEBRERO]]+Programacion[[#This Row],[DEVENGADO MARZO]]</f>
        <v>0</v>
      </c>
      <c r="AI108" s="19">
        <f>Programacion[[#This Row],[ABRIL]]+Programacion[[#This Row],[MAYO]]+Programacion[[#This Row],[JUNIO]]</f>
        <v>15000</v>
      </c>
      <c r="AJ108" s="19">
        <f>Programacion[[#This Row],[DEVENGADO ABRIL]]+Programacion[[#This Row],[DEVENGADO MAYO]]+Programacion[[#This Row],[DEVENGADO JUNIO]]</f>
        <v>15000</v>
      </c>
      <c r="AK108" s="19">
        <f>Programacion[[#This Row],[JULIO]]+Programacion[[#This Row],[AGOSTO]]+Programacion[[#This Row],[SEPTIEMBRE]]</f>
        <v>7500</v>
      </c>
      <c r="AL108" s="19">
        <f>Programacion[[#This Row],[DEVENGADO JULIO]]+Programacion[[#This Row],[DEVENGADO AGOSTO]]+Programacion[[#This Row],[DEVENGADO SEPTIEMBRE]]</f>
        <v>0</v>
      </c>
      <c r="AM108" s="19">
        <f>Programacion[[#This Row],[OCTUBRE]]+Programacion[[#This Row],[NOVIEMBRE]]+Programacion[[#This Row],[DICIEMBRE]]</f>
        <v>0</v>
      </c>
      <c r="AN108" s="20">
        <f>Programacion[[#This Row],[DEVENGADO OCTUBRE]]+Programacion[[#This Row],[DEVENGADO NOVIEMBRE]]+Programacion[[#This Row],[DEVENGADO DICIEMBRE]]</f>
        <v>0</v>
      </c>
      <c r="AO108" s="20">
        <f>Programacion[[#This Row],[ENERO]]+Programacion[[#This Row],[FEBRERO]]+Programacion[[#This Row],[MARZO]]+Programacion[[#This Row],[ABRIL]]+Programacion[[#This Row],[MAYO]]+Programacion[[#This Row],[JUNIO]]</f>
        <v>15000</v>
      </c>
      <c r="AP10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08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0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08" s="123"/>
    </row>
    <row r="109" spans="1:46" ht="28.8" x14ac:dyDescent="0.3">
      <c r="A109" s="58" t="s">
        <v>132</v>
      </c>
      <c r="B109" s="51" t="s">
        <v>46</v>
      </c>
      <c r="C109" s="52" t="s">
        <v>47</v>
      </c>
      <c r="D109" s="52" t="s">
        <v>48</v>
      </c>
      <c r="E109" s="53">
        <v>39</v>
      </c>
      <c r="F109" s="54">
        <v>2.2999999999999998</v>
      </c>
      <c r="G109" s="52" t="s">
        <v>49</v>
      </c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>
        <v>6000</v>
      </c>
      <c r="AA109" s="55"/>
      <c r="AB109" s="55"/>
      <c r="AC109" s="55"/>
      <c r="AD109" s="55"/>
      <c r="AE109" s="55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09" s="19">
        <f>Programacion[[#This Row],[ENERO]]+Programacion[[#This Row],[FEBRERO]]+Programacion[[#This Row],[MARZO]]</f>
        <v>0</v>
      </c>
      <c r="AH109" s="19">
        <f>Programacion[[#This Row],[DEVENGADO ENERO]]+Programacion[[#This Row],[DEVENGADO FEBRERO]]+Programacion[[#This Row],[DEVENGADO MARZO]]</f>
        <v>0</v>
      </c>
      <c r="AI109" s="19">
        <f>Programacion[[#This Row],[ABRIL]]+Programacion[[#This Row],[MAYO]]+Programacion[[#This Row],[JUNIO]]</f>
        <v>0</v>
      </c>
      <c r="AJ109" s="19">
        <f>Programacion[[#This Row],[DEVENGADO ABRIL]]+Programacion[[#This Row],[DEVENGADO MAYO]]+Programacion[[#This Row],[DEVENGADO JUNIO]]</f>
        <v>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6000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9" s="123"/>
    </row>
    <row r="110" spans="1:46" x14ac:dyDescent="0.3">
      <c r="A110" s="58" t="s">
        <v>132</v>
      </c>
      <c r="B110" s="51" t="s">
        <v>87</v>
      </c>
      <c r="C110" s="52" t="s">
        <v>47</v>
      </c>
      <c r="D110" s="52" t="s">
        <v>48</v>
      </c>
      <c r="E110" s="53">
        <v>39</v>
      </c>
      <c r="F110" s="54">
        <v>2.2999999999999998</v>
      </c>
      <c r="G110" s="52" t="s">
        <v>51</v>
      </c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>
        <v>4000</v>
      </c>
      <c r="AA110" s="55"/>
      <c r="AB110" s="55"/>
      <c r="AC110" s="55"/>
      <c r="AD110" s="55"/>
      <c r="AE110" s="56"/>
      <c r="AF11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10" s="19">
        <f>Programacion[[#This Row],[ENERO]]+Programacion[[#This Row],[FEBRERO]]+Programacion[[#This Row],[MARZO]]</f>
        <v>0</v>
      </c>
      <c r="AH110" s="19">
        <f>Programacion[[#This Row],[DEVENGADO ENERO]]+Programacion[[#This Row],[DEVENGADO FEBRERO]]+Programacion[[#This Row],[DEVENGADO MARZO]]</f>
        <v>0</v>
      </c>
      <c r="AI110" s="19">
        <f>Programacion[[#This Row],[ABRIL]]+Programacion[[#This Row],[MAYO]]+Programacion[[#This Row],[JUNIO]]</f>
        <v>0</v>
      </c>
      <c r="AJ110" s="19">
        <f>Programacion[[#This Row],[DEVENGADO ABRIL]]+Programacion[[#This Row],[DEVENGADO MAYO]]+Programacion[[#This Row],[DEVENGADO JUNIO]]</f>
        <v>0</v>
      </c>
      <c r="AK110" s="19">
        <f>Programacion[[#This Row],[JULIO]]+Programacion[[#This Row],[AGOSTO]]+Programacion[[#This Row],[SEPTIEMBRE]]</f>
        <v>0</v>
      </c>
      <c r="AL110" s="19">
        <f>Programacion[[#This Row],[DEVENGADO JULIO]]+Programacion[[#This Row],[DEVENGADO AGOSTO]]+Programacion[[#This Row],[DEVENGADO SEPTIEMBRE]]</f>
        <v>0</v>
      </c>
      <c r="AM110" s="19">
        <f>Programacion[[#This Row],[OCTUBRE]]+Programacion[[#This Row],[NOVIEMBRE]]+Programacion[[#This Row],[DICIEMBRE]]</f>
        <v>4000</v>
      </c>
      <c r="AN110" s="20">
        <f>Programacion[[#This Row],[DEVENGADO OCTUBRE]]+Programacion[[#This Row],[DEVENGADO NOVIEMBRE]]+Programacion[[#This Row],[DEVENGADO DICIEMBRE]]</f>
        <v>0</v>
      </c>
      <c r="AO110" s="20">
        <f>Programacion[[#This Row],[ENERO]]+Programacion[[#This Row],[FEBRERO]]+Programacion[[#This Row],[MARZO]]+Programacion[[#This Row],[ABRIL]]+Programacion[[#This Row],[MAYO]]+Programacion[[#This Row],[JUNIO]]</f>
        <v>0</v>
      </c>
      <c r="AP11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1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0" s="123"/>
    </row>
    <row r="111" spans="1:46" x14ac:dyDescent="0.3">
      <c r="A111" s="58" t="s">
        <v>132</v>
      </c>
      <c r="B111" s="51" t="s">
        <v>142</v>
      </c>
      <c r="C111" s="52" t="s">
        <v>67</v>
      </c>
      <c r="D111" s="52" t="s">
        <v>48</v>
      </c>
      <c r="E111" s="53">
        <v>39</v>
      </c>
      <c r="F111" s="54">
        <v>2.2999999999999998</v>
      </c>
      <c r="G111" s="52" t="s">
        <v>70</v>
      </c>
      <c r="H111" s="55"/>
      <c r="I111" s="55"/>
      <c r="J111" s="55"/>
      <c r="K111" s="55"/>
      <c r="L111" s="59">
        <v>4500</v>
      </c>
      <c r="M111" s="59">
        <v>4500</v>
      </c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  <c r="AE111" s="56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11" s="19">
        <f>Programacion[[#This Row],[ENERO]]+Programacion[[#This Row],[FEBRERO]]+Programacion[[#This Row],[MARZO]]</f>
        <v>4500</v>
      </c>
      <c r="AH111" s="19">
        <f>Programacion[[#This Row],[DEVENGADO ENERO]]+Programacion[[#This Row],[DEVENGADO FEBRERO]]+Programacion[[#This Row],[DEVENGADO MARZO]]</f>
        <v>4500</v>
      </c>
      <c r="AI111" s="19">
        <f>Programacion[[#This Row],[ABRIL]]+Programacion[[#This Row],[MAYO]]+Programacion[[#This Row],[JUNIO]]</f>
        <v>0</v>
      </c>
      <c r="AJ111" s="19">
        <f>Programacion[[#This Row],[DEVENGADO ABRIL]]+Programacion[[#This Row],[DEVENGADO MAYO]]+Programacion[[#This Row],[DEVENGADO JUNIO]]</f>
        <v>0</v>
      </c>
      <c r="AK111" s="19">
        <f>Programacion[[#This Row],[JULIO]]+Programacion[[#This Row],[AGOSTO]]+Programacion[[#This Row],[SEPTIEMBRE]]</f>
        <v>0</v>
      </c>
      <c r="AL111" s="19">
        <f>Programacion[[#This Row],[DEVENGADO JULIO]]+Programacion[[#This Row],[DEVENGADO AGOSTO]]+Programacion[[#This Row],[DEVENGADO SEPTIEMBRE]]</f>
        <v>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4500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11" s="123"/>
    </row>
    <row r="112" spans="1:46" x14ac:dyDescent="0.3">
      <c r="A112" s="58" t="s">
        <v>132</v>
      </c>
      <c r="B112" s="51" t="s">
        <v>143</v>
      </c>
      <c r="C112" s="52" t="s">
        <v>58</v>
      </c>
      <c r="D112" s="52" t="s">
        <v>48</v>
      </c>
      <c r="E112" s="53">
        <v>3</v>
      </c>
      <c r="F112" s="54">
        <v>2.2999999999999998</v>
      </c>
      <c r="G112" s="52" t="s">
        <v>73</v>
      </c>
      <c r="H112" s="55"/>
      <c r="I112" s="55"/>
      <c r="J112" s="55"/>
      <c r="K112" s="55"/>
      <c r="L112" s="55"/>
      <c r="M112" s="55"/>
      <c r="N112" s="55">
        <v>15000</v>
      </c>
      <c r="O112" s="55">
        <v>15000</v>
      </c>
      <c r="P112" s="55">
        <v>7500</v>
      </c>
      <c r="Q112" s="55">
        <v>7500</v>
      </c>
      <c r="R112" s="55">
        <v>7500</v>
      </c>
      <c r="S112" s="55">
        <v>7500</v>
      </c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6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30000</v>
      </c>
      <c r="AJ112" s="19">
        <f>Programacion[[#This Row],[DEVENGADO ABRIL]]+Programacion[[#This Row],[DEVENGADO MAYO]]+Programacion[[#This Row],[DEVENGADO JUNIO]]</f>
        <v>30000</v>
      </c>
      <c r="AK112" s="19">
        <f>Programacion[[#This Row],[JULIO]]+Programacion[[#This Row],[AGOSTO]]+Programacion[[#This Row],[SEPTIEMBRE]]</f>
        <v>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30000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12" s="123"/>
    </row>
    <row r="113" spans="1:46" ht="28.8" x14ac:dyDescent="0.3">
      <c r="A113" s="57" t="s">
        <v>132</v>
      </c>
      <c r="B113" s="51" t="s">
        <v>144</v>
      </c>
      <c r="C113" s="52" t="s">
        <v>58</v>
      </c>
      <c r="D113" s="52" t="s">
        <v>48</v>
      </c>
      <c r="E113" s="53">
        <v>3</v>
      </c>
      <c r="F113" s="54">
        <v>2.2999999999999998</v>
      </c>
      <c r="G113" s="52" t="s">
        <v>73</v>
      </c>
      <c r="H113" s="55"/>
      <c r="I113" s="55"/>
      <c r="J113" s="55"/>
      <c r="K113" s="55"/>
      <c r="L113" s="55"/>
      <c r="M113" s="55"/>
      <c r="N113" s="55">
        <v>10000</v>
      </c>
      <c r="O113" s="55">
        <v>10000</v>
      </c>
      <c r="P113" s="55">
        <v>5000</v>
      </c>
      <c r="Q113" s="55">
        <v>5000</v>
      </c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13" s="19">
        <f>Programacion[[#This Row],[ENERO]]+Programacion[[#This Row],[FEBRERO]]+Programacion[[#This Row],[MARZO]]</f>
        <v>0</v>
      </c>
      <c r="AH113" s="19">
        <f>Programacion[[#This Row],[DEVENGADO ENERO]]+Programacion[[#This Row],[DEVENGADO FEBRERO]]+Programacion[[#This Row],[DEVENGADO MARZO]]</f>
        <v>0</v>
      </c>
      <c r="AI113" s="19">
        <f>Programacion[[#This Row],[ABRIL]]+Programacion[[#This Row],[MAYO]]+Programacion[[#This Row],[JUNIO]]</f>
        <v>15000</v>
      </c>
      <c r="AJ113" s="19">
        <f>Programacion[[#This Row],[DEVENGADO ABRIL]]+Programacion[[#This Row],[DEVENGADO MAYO]]+Programacion[[#This Row],[DEVENGADO JUNIO]]</f>
        <v>15000</v>
      </c>
      <c r="AK113" s="19">
        <f>Programacion[[#This Row],[JULIO]]+Programacion[[#This Row],[AGOSTO]]+Programacion[[#This Row],[SEPTIEMBRE]]</f>
        <v>0</v>
      </c>
      <c r="AL113" s="19">
        <f>Programacion[[#This Row],[DEVENGADO JULIO]]+Programacion[[#This Row],[DEVENGADO AGOSTO]]+Programacion[[#This Row],[DEVENGADO SEPTIEMBRE]]</f>
        <v>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15000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13" s="123"/>
    </row>
    <row r="114" spans="1:46" x14ac:dyDescent="0.3">
      <c r="A114" s="60" t="s">
        <v>145</v>
      </c>
      <c r="B114" s="61" t="s">
        <v>116</v>
      </c>
      <c r="C114" s="60" t="s">
        <v>58</v>
      </c>
      <c r="D114" s="62" t="s">
        <v>48</v>
      </c>
      <c r="E114" s="63">
        <v>64</v>
      </c>
      <c r="F114" s="64">
        <v>2.2999999999999998</v>
      </c>
      <c r="G114" s="62" t="s">
        <v>73</v>
      </c>
      <c r="H114" s="65"/>
      <c r="I114" s="65"/>
      <c r="J114" s="65"/>
      <c r="K114" s="65"/>
      <c r="L114" s="65">
        <v>10000</v>
      </c>
      <c r="M114" s="65">
        <v>10000</v>
      </c>
      <c r="N114" s="65">
        <v>5000</v>
      </c>
      <c r="O114" s="65">
        <v>5000</v>
      </c>
      <c r="P114" s="65">
        <v>5000</v>
      </c>
      <c r="Q114" s="65">
        <v>5000</v>
      </c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9">
        <f>Programacion[[#This Row],[ENERO]]+Programacion[[#This Row],[FEBRERO]]+Programacion[[#This Row],[MARZO]]</f>
        <v>10000</v>
      </c>
      <c r="AH114" s="19">
        <f>Programacion[[#This Row],[DEVENGADO ENERO]]+Programacion[[#This Row],[DEVENGADO FEBRERO]]+Programacion[[#This Row],[DEVENGADO MARZO]]</f>
        <v>10000</v>
      </c>
      <c r="AI114" s="19">
        <f>Programacion[[#This Row],[ABRIL]]+Programacion[[#This Row],[MAYO]]+Programacion[[#This Row],[JUNIO]]</f>
        <v>10000</v>
      </c>
      <c r="AJ114" s="19">
        <f>Programacion[[#This Row],[DEVENGADO ABRIL]]+Programacion[[#This Row],[DEVENGADO MAYO]]+Programacion[[#This Row],[DEVENGADO JUNIO]]</f>
        <v>10000</v>
      </c>
      <c r="AK114" s="19">
        <f>Programacion[[#This Row],[JULIO]]+Programacion[[#This Row],[AGOSTO]]+Programacion[[#This Row],[SEPTIEMBRE]]</f>
        <v>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20000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14" s="123"/>
    </row>
    <row r="115" spans="1:46" x14ac:dyDescent="0.3">
      <c r="A115" s="60" t="s">
        <v>145</v>
      </c>
      <c r="B115" s="61" t="s">
        <v>146</v>
      </c>
      <c r="C115" s="60" t="s">
        <v>58</v>
      </c>
      <c r="D115" s="62" t="s">
        <v>48</v>
      </c>
      <c r="E115" s="63">
        <v>64</v>
      </c>
      <c r="F115" s="64">
        <v>2.2999999999999998</v>
      </c>
      <c r="G115" s="62" t="s">
        <v>73</v>
      </c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>
        <v>5000</v>
      </c>
      <c r="S115" s="65">
        <v>5000</v>
      </c>
      <c r="T115" s="65">
        <v>5000</v>
      </c>
      <c r="U115" s="65">
        <v>5000</v>
      </c>
      <c r="V115" s="65">
        <v>5000</v>
      </c>
      <c r="W115" s="65"/>
      <c r="X115" s="65">
        <v>5000</v>
      </c>
      <c r="Y115" s="65"/>
      <c r="Z115" s="65">
        <v>5000</v>
      </c>
      <c r="AA115" s="65"/>
      <c r="AB115" s="65">
        <v>5000</v>
      </c>
      <c r="AC115" s="65"/>
      <c r="AD115" s="65">
        <v>5000</v>
      </c>
      <c r="AE115" s="65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15" s="19">
        <f>Programacion[[#This Row],[ENERO]]+Programacion[[#This Row],[FEBRERO]]+Programacion[[#This Row],[MARZO]]</f>
        <v>0</v>
      </c>
      <c r="AH115" s="19">
        <f>Programacion[[#This Row],[DEVENGADO ENERO]]+Programacion[[#This Row],[DEVENGADO FEBRERO]]+Programacion[[#This Row],[DEVENGADO MARZO]]</f>
        <v>0</v>
      </c>
      <c r="AI115" s="19">
        <f>Programacion[[#This Row],[ABRIL]]+Programacion[[#This Row],[MAYO]]+Programacion[[#This Row],[JUNIO]]</f>
        <v>5000</v>
      </c>
      <c r="AJ115" s="19">
        <f>Programacion[[#This Row],[DEVENGADO ABRIL]]+Programacion[[#This Row],[DEVENGADO MAYO]]+Programacion[[#This Row],[DEVENGADO JUNIO]]</f>
        <v>5000</v>
      </c>
      <c r="AK115" s="19">
        <f>Programacion[[#This Row],[JULIO]]+Programacion[[#This Row],[AGOSTO]]+Programacion[[#This Row],[SEPTIEMBRE]]</f>
        <v>15000</v>
      </c>
      <c r="AL115" s="19">
        <f>Programacion[[#This Row],[DEVENGADO JULIO]]+Programacion[[#This Row],[DEVENGADO AGOSTO]]+Programacion[[#This Row],[DEVENGADO SEPTIEMBRE]]</f>
        <v>5000</v>
      </c>
      <c r="AM115" s="19">
        <f>Programacion[[#This Row],[OCTUBRE]]+Programacion[[#This Row],[NOVIEMBRE]]+Programacion[[#This Row],[DICIEMBRE]]</f>
        <v>15000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5000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15" s="123"/>
    </row>
    <row r="116" spans="1:46" ht="28.8" x14ac:dyDescent="0.3">
      <c r="A116" s="60" t="s">
        <v>145</v>
      </c>
      <c r="B116" s="61" t="s">
        <v>46</v>
      </c>
      <c r="C116" s="60" t="s">
        <v>47</v>
      </c>
      <c r="D116" s="62" t="s">
        <v>48</v>
      </c>
      <c r="E116" s="63">
        <v>39</v>
      </c>
      <c r="F116" s="64">
        <v>2.2999999999999998</v>
      </c>
      <c r="G116" s="62" t="s">
        <v>49</v>
      </c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>
        <v>2000</v>
      </c>
      <c r="S116" s="65">
        <v>2000</v>
      </c>
      <c r="T116" s="65"/>
      <c r="U116" s="65"/>
      <c r="V116" s="65">
        <v>4000</v>
      </c>
      <c r="W116" s="65"/>
      <c r="X116" s="65"/>
      <c r="Y116" s="65"/>
      <c r="Z116" s="65"/>
      <c r="AA116" s="65"/>
      <c r="AB116" s="65"/>
      <c r="AC116" s="65"/>
      <c r="AD116" s="65"/>
      <c r="AE116" s="65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2000</v>
      </c>
      <c r="AJ116" s="19">
        <f>Programacion[[#This Row],[DEVENGADO ABRIL]]+Programacion[[#This Row],[DEVENGADO MAYO]]+Programacion[[#This Row],[DEVENGADO JUNIO]]</f>
        <v>2000</v>
      </c>
      <c r="AK116" s="19">
        <f>Programacion[[#This Row],[JULIO]]+Programacion[[#This Row],[AGOSTO]]+Programacion[[#This Row],[SEPTIEMBRE]]</f>
        <v>4000</v>
      </c>
      <c r="AL116" s="19">
        <f>Programacion[[#This Row],[DEVENGADO JULIO]]+Programacion[[#This Row],[DEVENGADO AGOSTO]]+Programacion[[#This Row],[DEVENGADO SEPTIEMBRE]]</f>
        <v>0</v>
      </c>
      <c r="AM116" s="19">
        <f>Programacion[[#This Row],[OCTUBRE]]+Programacion[[#This Row],[NOVIEMBRE]]+Programacion[[#This Row],[DICIEMBRE]]</f>
        <v>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2000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6" s="123"/>
    </row>
    <row r="117" spans="1:46" x14ac:dyDescent="0.3">
      <c r="A117" s="60" t="s">
        <v>145</v>
      </c>
      <c r="B117" s="61" t="s">
        <v>50</v>
      </c>
      <c r="C117" s="60" t="s">
        <v>47</v>
      </c>
      <c r="D117" s="62" t="s">
        <v>48</v>
      </c>
      <c r="E117" s="63">
        <v>39</v>
      </c>
      <c r="F117" s="64">
        <v>2.2999999999999998</v>
      </c>
      <c r="G117" s="62" t="s">
        <v>51</v>
      </c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>
        <v>1080</v>
      </c>
      <c r="S117" s="65">
        <v>1080</v>
      </c>
      <c r="T117" s="65"/>
      <c r="U117" s="65"/>
      <c r="V117" s="65">
        <v>3240</v>
      </c>
      <c r="W117" s="65"/>
      <c r="X117" s="65"/>
      <c r="Y117" s="65"/>
      <c r="Z117" s="65"/>
      <c r="AA117" s="65"/>
      <c r="AB117" s="65"/>
      <c r="AC117" s="65"/>
      <c r="AD117" s="65"/>
      <c r="AE117" s="65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1080</v>
      </c>
      <c r="AJ117" s="19">
        <f>Programacion[[#This Row],[DEVENGADO ABRIL]]+Programacion[[#This Row],[DEVENGADO MAYO]]+Programacion[[#This Row],[DEVENGADO JUNIO]]</f>
        <v>1080</v>
      </c>
      <c r="AK117" s="19">
        <f>Programacion[[#This Row],[JULIO]]+Programacion[[#This Row],[AGOSTO]]+Programacion[[#This Row],[SEPTIEMBRE]]</f>
        <v>3240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1080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7" s="123"/>
    </row>
    <row r="118" spans="1:46" ht="28.8" x14ac:dyDescent="0.3">
      <c r="A118" s="60" t="s">
        <v>145</v>
      </c>
      <c r="B118" s="61" t="s">
        <v>147</v>
      </c>
      <c r="C118" s="60" t="s">
        <v>76</v>
      </c>
      <c r="D118" s="62" t="s">
        <v>48</v>
      </c>
      <c r="E118" s="63">
        <v>39</v>
      </c>
      <c r="F118" s="64">
        <v>2.2999999999999998</v>
      </c>
      <c r="G118" s="62" t="s">
        <v>77</v>
      </c>
      <c r="H118" s="65"/>
      <c r="I118" s="65"/>
      <c r="J118" s="65"/>
      <c r="K118" s="65"/>
      <c r="L118" s="65">
        <v>1680</v>
      </c>
      <c r="M118" s="65">
        <v>1680</v>
      </c>
      <c r="N118" s="65">
        <v>1724.8</v>
      </c>
      <c r="O118" s="65">
        <v>1724.8</v>
      </c>
      <c r="P118" s="65"/>
      <c r="Q118" s="65"/>
      <c r="R118" s="65">
        <v>3460.8</v>
      </c>
      <c r="S118" s="65">
        <v>3460.8</v>
      </c>
      <c r="T118" s="65">
        <v>1730.4</v>
      </c>
      <c r="U118" s="65"/>
      <c r="V118" s="65">
        <v>1730.4</v>
      </c>
      <c r="W118" s="65"/>
      <c r="X118" s="65">
        <v>1730.4</v>
      </c>
      <c r="Y118" s="65"/>
      <c r="Z118" s="65">
        <v>1730.4</v>
      </c>
      <c r="AA118" s="65"/>
      <c r="AB118" s="65">
        <v>1730.4</v>
      </c>
      <c r="AC118" s="65"/>
      <c r="AD118" s="65">
        <v>1730.4</v>
      </c>
      <c r="AE118" s="65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18" s="19">
        <f>Programacion[[#This Row],[ENERO]]+Programacion[[#This Row],[FEBRERO]]+Programacion[[#This Row],[MARZO]]</f>
        <v>1680</v>
      </c>
      <c r="AH118" s="19">
        <f>Programacion[[#This Row],[DEVENGADO ENERO]]+Programacion[[#This Row],[DEVENGADO FEBRERO]]+Programacion[[#This Row],[DEVENGADO MARZO]]</f>
        <v>1680</v>
      </c>
      <c r="AI118" s="19">
        <f>Programacion[[#This Row],[ABRIL]]+Programacion[[#This Row],[MAYO]]+Programacion[[#This Row],[JUNIO]]</f>
        <v>5185.6000000000004</v>
      </c>
      <c r="AJ118" s="19">
        <f>Programacion[[#This Row],[DEVENGADO ABRIL]]+Programacion[[#This Row],[DEVENGADO MAYO]]+Programacion[[#This Row],[DEVENGADO JUNIO]]</f>
        <v>5185.6000000000004</v>
      </c>
      <c r="AK118" s="19">
        <f>Programacion[[#This Row],[JULIO]]+Programacion[[#This Row],[AGOSTO]]+Programacion[[#This Row],[SEPTIEMBRE]]</f>
        <v>5191.2000000000007</v>
      </c>
      <c r="AL118" s="19">
        <f>Programacion[[#This Row],[DEVENGADO JULIO]]+Programacion[[#This Row],[DEVENGADO AGOSTO]]+Programacion[[#This Row],[DEVENGADO SEPTIEMBRE]]</f>
        <v>0</v>
      </c>
      <c r="AM118" s="19">
        <f>Programacion[[#This Row],[OCTUBRE]]+Programacion[[#This Row],[NOVIEMBRE]]+Programacion[[#This Row],[DICIEMBRE]]</f>
        <v>5191.2000000000007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6865.6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6865.6</v>
      </c>
      <c r="AT118" s="123"/>
    </row>
    <row r="119" spans="1:46" ht="28.8" x14ac:dyDescent="0.3">
      <c r="A119" s="60" t="s">
        <v>145</v>
      </c>
      <c r="B119" s="61" t="s">
        <v>148</v>
      </c>
      <c r="C119" s="60" t="s">
        <v>76</v>
      </c>
      <c r="D119" s="62" t="s">
        <v>48</v>
      </c>
      <c r="E119" s="63">
        <v>39</v>
      </c>
      <c r="F119" s="64">
        <v>2.2999999999999998</v>
      </c>
      <c r="G119" s="62" t="s">
        <v>77</v>
      </c>
      <c r="H119" s="65">
        <v>810</v>
      </c>
      <c r="I119" s="65">
        <v>810</v>
      </c>
      <c r="J119" s="65">
        <v>810</v>
      </c>
      <c r="K119" s="65">
        <v>810</v>
      </c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D119" s="65"/>
      <c r="AE119" s="65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19" s="19">
        <f>Programacion[[#This Row],[ENERO]]+Programacion[[#This Row],[FEBRERO]]+Programacion[[#This Row],[MARZO]]</f>
        <v>1620</v>
      </c>
      <c r="AH119" s="19">
        <f>Programacion[[#This Row],[DEVENGADO ENERO]]+Programacion[[#This Row],[DEVENGADO FEBRERO]]+Programacion[[#This Row],[DEVENGADO MARZO]]</f>
        <v>1620</v>
      </c>
      <c r="AI119" s="19">
        <f>Programacion[[#This Row],[ABRIL]]+Programacion[[#This Row],[MAYO]]+Programacion[[#This Row],[JUNIO]]</f>
        <v>0</v>
      </c>
      <c r="AJ119" s="19">
        <f>Programacion[[#This Row],[DEVENGADO ABRIL]]+Programacion[[#This Row],[DEVENGADO MAYO]]+Programacion[[#This Row],[DEVENGADO JUNIO]]</f>
        <v>0</v>
      </c>
      <c r="AK119" s="19">
        <f>Programacion[[#This Row],[JULIO]]+Programacion[[#This Row],[AGOSTO]]+Programacion[[#This Row],[SEPTIEMBRE]]</f>
        <v>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1620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19" s="123"/>
    </row>
    <row r="120" spans="1:46" ht="28.8" x14ac:dyDescent="0.3">
      <c r="A120" s="60" t="s">
        <v>145</v>
      </c>
      <c r="B120" s="61" t="s">
        <v>149</v>
      </c>
      <c r="C120" s="60" t="s">
        <v>58</v>
      </c>
      <c r="D120" s="62" t="s">
        <v>48</v>
      </c>
      <c r="E120" s="63">
        <v>3</v>
      </c>
      <c r="F120" s="64">
        <v>2.2999999999999998</v>
      </c>
      <c r="G120" s="62" t="s">
        <v>73</v>
      </c>
      <c r="H120" s="65"/>
      <c r="I120" s="65"/>
      <c r="J120" s="65"/>
      <c r="K120" s="65"/>
      <c r="L120" s="65">
        <v>10000</v>
      </c>
      <c r="M120" s="65">
        <v>10000</v>
      </c>
      <c r="N120" s="65">
        <v>5000</v>
      </c>
      <c r="O120" s="65">
        <v>5000</v>
      </c>
      <c r="P120" s="65">
        <v>5000</v>
      </c>
      <c r="Q120" s="65">
        <v>5000</v>
      </c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D120" s="65"/>
      <c r="AE120" s="65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0" s="19">
        <f>Programacion[[#This Row],[ENERO]]+Programacion[[#This Row],[FEBRERO]]+Programacion[[#This Row],[MARZO]]</f>
        <v>10000</v>
      </c>
      <c r="AH120" s="19">
        <f>Programacion[[#This Row],[DEVENGADO ENERO]]+Programacion[[#This Row],[DEVENGADO FEBRERO]]+Programacion[[#This Row],[DEVENGADO MARZO]]</f>
        <v>10000</v>
      </c>
      <c r="AI120" s="19">
        <f>Programacion[[#This Row],[ABRIL]]+Programacion[[#This Row],[MAYO]]+Programacion[[#This Row],[JUNIO]]</f>
        <v>10000</v>
      </c>
      <c r="AJ120" s="19">
        <f>Programacion[[#This Row],[DEVENGADO ABRIL]]+Programacion[[#This Row],[DEVENGADO MAYO]]+Programacion[[#This Row],[DEVENGADO JUNIO]]</f>
        <v>10000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20000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0" s="123"/>
    </row>
    <row r="121" spans="1:46" x14ac:dyDescent="0.3">
      <c r="A121" s="60" t="s">
        <v>145</v>
      </c>
      <c r="B121" s="61" t="s">
        <v>150</v>
      </c>
      <c r="C121" s="60" t="s">
        <v>58</v>
      </c>
      <c r="D121" s="62" t="s">
        <v>48</v>
      </c>
      <c r="E121" s="63">
        <v>3</v>
      </c>
      <c r="F121" s="64">
        <v>2.2999999999999998</v>
      </c>
      <c r="G121" s="62" t="s">
        <v>73</v>
      </c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>
        <v>5000</v>
      </c>
      <c r="S121" s="65">
        <v>5000</v>
      </c>
      <c r="T121" s="65">
        <v>5000</v>
      </c>
      <c r="U121" s="65">
        <v>5000</v>
      </c>
      <c r="V121" s="65">
        <v>5000</v>
      </c>
      <c r="W121" s="65"/>
      <c r="X121" s="65">
        <v>5000</v>
      </c>
      <c r="Y121" s="65"/>
      <c r="Z121" s="65">
        <v>5000</v>
      </c>
      <c r="AA121" s="65"/>
      <c r="AB121" s="65">
        <v>5000</v>
      </c>
      <c r="AC121" s="65"/>
      <c r="AD121" s="65">
        <v>5000</v>
      </c>
      <c r="AE121" s="65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5000</v>
      </c>
      <c r="AJ121" s="19">
        <f>Programacion[[#This Row],[DEVENGADO ABRIL]]+Programacion[[#This Row],[DEVENGADO MAYO]]+Programacion[[#This Row],[DEVENGADO JUNIO]]</f>
        <v>5000</v>
      </c>
      <c r="AK121" s="19">
        <f>Programacion[[#This Row],[JULIO]]+Programacion[[#This Row],[AGOSTO]]+Programacion[[#This Row],[SEPTIEMBRE]]</f>
        <v>15000</v>
      </c>
      <c r="AL121" s="19">
        <f>Programacion[[#This Row],[DEVENGADO JULIO]]+Programacion[[#This Row],[DEVENGADO AGOSTO]]+Programacion[[#This Row],[DEVENGADO SEPTIEMBRE]]</f>
        <v>5000</v>
      </c>
      <c r="AM121" s="19">
        <f>Programacion[[#This Row],[OCTUBRE]]+Programacion[[#This Row],[NOVIEMBRE]]+Programacion[[#This Row],[DICIEMBRE]]</f>
        <v>15000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5000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1" s="123"/>
    </row>
    <row r="122" spans="1:46" ht="28.8" x14ac:dyDescent="0.3">
      <c r="A122" s="60" t="s">
        <v>145</v>
      </c>
      <c r="B122" s="61" t="s">
        <v>151</v>
      </c>
      <c r="C122" s="60" t="s">
        <v>58</v>
      </c>
      <c r="D122" s="62" t="s">
        <v>48</v>
      </c>
      <c r="E122" s="63">
        <v>3</v>
      </c>
      <c r="F122" s="64">
        <v>2.2999999999999998</v>
      </c>
      <c r="G122" s="62" t="s">
        <v>73</v>
      </c>
      <c r="H122" s="65"/>
      <c r="I122" s="65"/>
      <c r="J122" s="65"/>
      <c r="K122" s="65"/>
      <c r="L122" s="65">
        <v>10000</v>
      </c>
      <c r="M122" s="65">
        <v>10000</v>
      </c>
      <c r="N122" s="65">
        <v>5000</v>
      </c>
      <c r="O122" s="65">
        <v>5000</v>
      </c>
      <c r="P122" s="65">
        <v>5000</v>
      </c>
      <c r="Q122" s="65">
        <v>5000</v>
      </c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2" s="19">
        <f>Programacion[[#This Row],[ENERO]]+Programacion[[#This Row],[FEBRERO]]+Programacion[[#This Row],[MARZO]]</f>
        <v>10000</v>
      </c>
      <c r="AH122" s="19">
        <f>Programacion[[#This Row],[DEVENGADO ENERO]]+Programacion[[#This Row],[DEVENGADO FEBRERO]]+Programacion[[#This Row],[DEVENGADO MARZO]]</f>
        <v>10000</v>
      </c>
      <c r="AI122" s="19">
        <f>Programacion[[#This Row],[ABRIL]]+Programacion[[#This Row],[MAYO]]+Programacion[[#This Row],[JUNIO]]</f>
        <v>10000</v>
      </c>
      <c r="AJ122" s="19">
        <f>Programacion[[#This Row],[DEVENGADO ABRIL]]+Programacion[[#This Row],[DEVENGADO MAYO]]+Programacion[[#This Row],[DEVENGADO JUNIO]]</f>
        <v>10000</v>
      </c>
      <c r="AK122" s="19">
        <f>Programacion[[#This Row],[JULIO]]+Programacion[[#This Row],[AGOSTO]]+Programacion[[#This Row],[SEPTIEMBRE]]</f>
        <v>0</v>
      </c>
      <c r="AL122" s="19">
        <f>Programacion[[#This Row],[DEVENGADO JULIO]]+Programacion[[#This Row],[DEVENGADO AGOSTO]]+Programacion[[#This Row],[DEVENGADO SEPTIEMBRE]]</f>
        <v>0</v>
      </c>
      <c r="AM122" s="19">
        <f>Programacion[[#This Row],[OCTUBRE]]+Programacion[[#This Row],[NOVIEMBRE]]+Programacion[[#This Row],[DICIEMBRE]]</f>
        <v>0</v>
      </c>
      <c r="AN122" s="20">
        <f>Programacion[[#This Row],[DEVENGADO OCTUBRE]]+Programacion[[#This Row],[DEVENGADO NOVIEMBRE]]+Programacion[[#This Row],[DEVENGADO DICIEMBRE]]</f>
        <v>0</v>
      </c>
      <c r="AO122" s="20">
        <f>Programacion[[#This Row],[ENERO]]+Programacion[[#This Row],[FEBRERO]]+Programacion[[#This Row],[MARZO]]+Programacion[[#This Row],[ABRIL]]+Programacion[[#This Row],[MAYO]]+Programacion[[#This Row],[JUNIO]]</f>
        <v>20000</v>
      </c>
      <c r="AP12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2" s="123"/>
    </row>
    <row r="123" spans="1:46" x14ac:dyDescent="0.3">
      <c r="A123" s="60" t="s">
        <v>145</v>
      </c>
      <c r="B123" s="61" t="s">
        <v>150</v>
      </c>
      <c r="C123" s="60" t="s">
        <v>58</v>
      </c>
      <c r="D123" s="62" t="s">
        <v>48</v>
      </c>
      <c r="E123" s="63">
        <v>3</v>
      </c>
      <c r="F123" s="64">
        <v>2.2999999999999998</v>
      </c>
      <c r="G123" s="62" t="s">
        <v>73</v>
      </c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>
        <v>5000</v>
      </c>
      <c r="S123" s="65">
        <v>5000</v>
      </c>
      <c r="T123" s="65">
        <v>5000</v>
      </c>
      <c r="U123" s="65">
        <v>5000</v>
      </c>
      <c r="V123" s="65">
        <v>5000</v>
      </c>
      <c r="W123" s="65"/>
      <c r="X123" s="65">
        <v>5000</v>
      </c>
      <c r="Y123" s="65"/>
      <c r="Z123" s="65">
        <v>5000</v>
      </c>
      <c r="AA123" s="65"/>
      <c r="AB123" s="65">
        <v>5000</v>
      </c>
      <c r="AC123" s="65"/>
      <c r="AD123" s="65">
        <v>5000</v>
      </c>
      <c r="AE123" s="65"/>
      <c r="AF1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3" s="19">
        <f>Programacion[[#This Row],[ENERO]]+Programacion[[#This Row],[FEBRERO]]+Programacion[[#This Row],[MARZO]]</f>
        <v>0</v>
      </c>
      <c r="AH123" s="19">
        <f>Programacion[[#This Row],[DEVENGADO ENERO]]+Programacion[[#This Row],[DEVENGADO FEBRERO]]+Programacion[[#This Row],[DEVENGADO MARZO]]</f>
        <v>0</v>
      </c>
      <c r="AI123" s="19">
        <f>Programacion[[#This Row],[ABRIL]]+Programacion[[#This Row],[MAYO]]+Programacion[[#This Row],[JUNIO]]</f>
        <v>5000</v>
      </c>
      <c r="AJ123" s="19">
        <f>Programacion[[#This Row],[DEVENGADO ABRIL]]+Programacion[[#This Row],[DEVENGADO MAYO]]+Programacion[[#This Row],[DEVENGADO JUNIO]]</f>
        <v>5000</v>
      </c>
      <c r="AK123" s="19">
        <f>Programacion[[#This Row],[JULIO]]+Programacion[[#This Row],[AGOSTO]]+Programacion[[#This Row],[SEPTIEMBRE]]</f>
        <v>15000</v>
      </c>
      <c r="AL123" s="19">
        <f>Programacion[[#This Row],[DEVENGADO JULIO]]+Programacion[[#This Row],[DEVENGADO AGOSTO]]+Programacion[[#This Row],[DEVENGADO SEPTIEMBRE]]</f>
        <v>5000</v>
      </c>
      <c r="AM123" s="19">
        <f>Programacion[[#This Row],[OCTUBRE]]+Programacion[[#This Row],[NOVIEMBRE]]+Programacion[[#This Row],[DICIEMBRE]]</f>
        <v>15000</v>
      </c>
      <c r="AN123" s="20">
        <f>Programacion[[#This Row],[DEVENGADO OCTUBRE]]+Programacion[[#This Row],[DEVENGADO NOVIEMBRE]]+Programacion[[#This Row],[DEVENGADO DICIEMBRE]]</f>
        <v>0</v>
      </c>
      <c r="AO123" s="20">
        <f>Programacion[[#This Row],[ENERO]]+Programacion[[#This Row],[FEBRERO]]+Programacion[[#This Row],[MARZO]]+Programacion[[#This Row],[ABRIL]]+Programacion[[#This Row],[MAYO]]+Programacion[[#This Row],[JUNIO]]</f>
        <v>5000</v>
      </c>
      <c r="AP1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3" s="123"/>
    </row>
    <row r="124" spans="1:46" x14ac:dyDescent="0.3">
      <c r="A124" s="60" t="s">
        <v>145</v>
      </c>
      <c r="B124" s="61" t="s">
        <v>152</v>
      </c>
      <c r="C124" s="60" t="s">
        <v>58</v>
      </c>
      <c r="D124" s="62" t="s">
        <v>48</v>
      </c>
      <c r="E124" s="63">
        <v>39</v>
      </c>
      <c r="F124" s="64">
        <v>2.2999999999999998</v>
      </c>
      <c r="G124" s="62" t="s">
        <v>73</v>
      </c>
      <c r="H124" s="65"/>
      <c r="I124" s="65"/>
      <c r="J124" s="65"/>
      <c r="K124" s="65"/>
      <c r="L124" s="65">
        <v>4000</v>
      </c>
      <c r="M124" s="65">
        <v>4000</v>
      </c>
      <c r="N124" s="65">
        <v>4000</v>
      </c>
      <c r="O124" s="65">
        <v>4000</v>
      </c>
      <c r="P124" s="65">
        <v>4000</v>
      </c>
      <c r="Q124" s="65">
        <v>4000</v>
      </c>
      <c r="R124" s="65">
        <v>4000</v>
      </c>
      <c r="S124" s="65">
        <v>4000</v>
      </c>
      <c r="T124" s="65">
        <v>4000</v>
      </c>
      <c r="U124" s="65">
        <v>4000</v>
      </c>
      <c r="V124" s="65">
        <v>4000</v>
      </c>
      <c r="W124" s="65"/>
      <c r="X124" s="65">
        <v>4000</v>
      </c>
      <c r="Y124" s="65"/>
      <c r="Z124" s="65">
        <v>4000</v>
      </c>
      <c r="AA124" s="65"/>
      <c r="AB124" s="65">
        <v>4000</v>
      </c>
      <c r="AC124" s="65"/>
      <c r="AD124" s="65">
        <v>4000</v>
      </c>
      <c r="AE124" s="65"/>
      <c r="AF1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24" s="19">
        <f>Programacion[[#This Row],[ENERO]]+Programacion[[#This Row],[FEBRERO]]+Programacion[[#This Row],[MARZO]]</f>
        <v>4000</v>
      </c>
      <c r="AH124" s="19">
        <f>Programacion[[#This Row],[DEVENGADO ENERO]]+Programacion[[#This Row],[DEVENGADO FEBRERO]]+Programacion[[#This Row],[DEVENGADO MARZO]]</f>
        <v>4000</v>
      </c>
      <c r="AI124" s="19">
        <f>Programacion[[#This Row],[ABRIL]]+Programacion[[#This Row],[MAYO]]+Programacion[[#This Row],[JUNIO]]</f>
        <v>12000</v>
      </c>
      <c r="AJ124" s="19">
        <f>Programacion[[#This Row],[DEVENGADO ABRIL]]+Programacion[[#This Row],[DEVENGADO MAYO]]+Programacion[[#This Row],[DEVENGADO JUNIO]]</f>
        <v>12000</v>
      </c>
      <c r="AK124" s="19">
        <f>Programacion[[#This Row],[JULIO]]+Programacion[[#This Row],[AGOSTO]]+Programacion[[#This Row],[SEPTIEMBRE]]</f>
        <v>12000</v>
      </c>
      <c r="AL124" s="19">
        <f>Programacion[[#This Row],[DEVENGADO JULIO]]+Programacion[[#This Row],[DEVENGADO AGOSTO]]+Programacion[[#This Row],[DEVENGADO SEPTIEMBRE]]</f>
        <v>4000</v>
      </c>
      <c r="AM124" s="19">
        <f>Programacion[[#This Row],[OCTUBRE]]+Programacion[[#This Row],[NOVIEMBRE]]+Programacion[[#This Row],[DICIEMBRE]]</f>
        <v>12000</v>
      </c>
      <c r="AN124" s="20">
        <f>Programacion[[#This Row],[DEVENGADO OCTUBRE]]+Programacion[[#This Row],[DEVENGADO NOVIEMBRE]]+Programacion[[#This Row],[DEVENGADO DICIEMBRE]]</f>
        <v>0</v>
      </c>
      <c r="AO124" s="20">
        <f>Programacion[[#This Row],[ENERO]]+Programacion[[#This Row],[FEBRERO]]+Programacion[[#This Row],[MARZO]]+Programacion[[#This Row],[ABRIL]]+Programacion[[#This Row],[MAYO]]+Programacion[[#This Row],[JUNIO]]</f>
        <v>16000</v>
      </c>
      <c r="AP1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2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4" s="123"/>
    </row>
    <row r="125" spans="1:46" x14ac:dyDescent="0.3">
      <c r="A125" s="60" t="s">
        <v>145</v>
      </c>
      <c r="B125" s="61" t="s">
        <v>153</v>
      </c>
      <c r="C125" s="60" t="s">
        <v>58</v>
      </c>
      <c r="D125" s="62" t="s">
        <v>48</v>
      </c>
      <c r="E125" s="63">
        <v>39</v>
      </c>
      <c r="F125" s="64">
        <v>2.2999999999999998</v>
      </c>
      <c r="G125" s="62" t="s">
        <v>73</v>
      </c>
      <c r="H125" s="65"/>
      <c r="I125" s="65"/>
      <c r="J125" s="65"/>
      <c r="K125" s="65"/>
      <c r="L125" s="65">
        <v>4000</v>
      </c>
      <c r="M125" s="65">
        <v>4000</v>
      </c>
      <c r="N125" s="65">
        <v>4000</v>
      </c>
      <c r="O125" s="65">
        <v>4000</v>
      </c>
      <c r="P125" s="65">
        <v>4000</v>
      </c>
      <c r="Q125" s="65">
        <v>4000</v>
      </c>
      <c r="R125" s="65">
        <v>4000</v>
      </c>
      <c r="S125" s="65">
        <v>4000</v>
      </c>
      <c r="T125" s="65">
        <v>4000</v>
      </c>
      <c r="U125" s="65">
        <v>4000</v>
      </c>
      <c r="V125" s="65">
        <v>4000</v>
      </c>
      <c r="W125" s="65"/>
      <c r="X125" s="65">
        <v>4000</v>
      </c>
      <c r="Y125" s="65"/>
      <c r="Z125" s="65">
        <v>4000</v>
      </c>
      <c r="AA125" s="65"/>
      <c r="AB125" s="65">
        <v>4000</v>
      </c>
      <c r="AC125" s="65"/>
      <c r="AD125" s="65">
        <v>4000</v>
      </c>
      <c r="AE125" s="65"/>
      <c r="AF1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25" s="19">
        <f>Programacion[[#This Row],[ENERO]]+Programacion[[#This Row],[FEBRERO]]+Programacion[[#This Row],[MARZO]]</f>
        <v>4000</v>
      </c>
      <c r="AH125" s="19">
        <f>Programacion[[#This Row],[DEVENGADO ENERO]]+Programacion[[#This Row],[DEVENGADO FEBRERO]]+Programacion[[#This Row],[DEVENGADO MARZO]]</f>
        <v>4000</v>
      </c>
      <c r="AI125" s="19">
        <f>Programacion[[#This Row],[ABRIL]]+Programacion[[#This Row],[MAYO]]+Programacion[[#This Row],[JUNIO]]</f>
        <v>12000</v>
      </c>
      <c r="AJ125" s="19">
        <f>Programacion[[#This Row],[DEVENGADO ABRIL]]+Programacion[[#This Row],[DEVENGADO MAYO]]+Programacion[[#This Row],[DEVENGADO JUNIO]]</f>
        <v>12000</v>
      </c>
      <c r="AK125" s="19">
        <f>Programacion[[#This Row],[JULIO]]+Programacion[[#This Row],[AGOSTO]]+Programacion[[#This Row],[SEPTIEMBRE]]</f>
        <v>12000</v>
      </c>
      <c r="AL125" s="19">
        <f>Programacion[[#This Row],[DEVENGADO JULIO]]+Programacion[[#This Row],[DEVENGADO AGOSTO]]+Programacion[[#This Row],[DEVENGADO SEPTIEMBRE]]</f>
        <v>4000</v>
      </c>
      <c r="AM125" s="19">
        <f>Programacion[[#This Row],[OCTUBRE]]+Programacion[[#This Row],[NOVIEMBRE]]+Programacion[[#This Row],[DICIEMBRE]]</f>
        <v>12000</v>
      </c>
      <c r="AN125" s="20">
        <f>Programacion[[#This Row],[DEVENGADO OCTUBRE]]+Programacion[[#This Row],[DEVENGADO NOVIEMBRE]]+Programacion[[#This Row],[DEVENGADO DICIEMBRE]]</f>
        <v>0</v>
      </c>
      <c r="AO125" s="20">
        <f>Programacion[[#This Row],[ENERO]]+Programacion[[#This Row],[FEBRERO]]+Programacion[[#This Row],[MARZO]]+Programacion[[#This Row],[ABRIL]]+Programacion[[#This Row],[MAYO]]+Programacion[[#This Row],[JUNIO]]</f>
        <v>16000</v>
      </c>
      <c r="AP1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25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5" s="123"/>
    </row>
    <row r="126" spans="1:46" ht="43.2" x14ac:dyDescent="0.3">
      <c r="A126" s="60" t="s">
        <v>145</v>
      </c>
      <c r="B126" s="61" t="s">
        <v>154</v>
      </c>
      <c r="C126" s="60" t="s">
        <v>58</v>
      </c>
      <c r="D126" s="62" t="s">
        <v>48</v>
      </c>
      <c r="E126" s="63">
        <v>39</v>
      </c>
      <c r="F126" s="64">
        <v>2.2999999999999998</v>
      </c>
      <c r="G126" s="62" t="s">
        <v>73</v>
      </c>
      <c r="H126" s="65"/>
      <c r="I126" s="65"/>
      <c r="J126" s="65"/>
      <c r="K126" s="65"/>
      <c r="L126" s="65">
        <v>10000</v>
      </c>
      <c r="M126" s="65">
        <v>10000</v>
      </c>
      <c r="N126" s="65">
        <v>5000</v>
      </c>
      <c r="O126" s="65">
        <v>5000</v>
      </c>
      <c r="P126" s="65">
        <v>5000</v>
      </c>
      <c r="Q126" s="65">
        <v>5000</v>
      </c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D126" s="65"/>
      <c r="AE126" s="65"/>
      <c r="AF1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6" s="19">
        <f>Programacion[[#This Row],[ENERO]]+Programacion[[#This Row],[FEBRERO]]+Programacion[[#This Row],[MARZO]]</f>
        <v>10000</v>
      </c>
      <c r="AH126" s="19">
        <f>Programacion[[#This Row],[DEVENGADO ENERO]]+Programacion[[#This Row],[DEVENGADO FEBRERO]]+Programacion[[#This Row],[DEVENGADO MARZO]]</f>
        <v>10000</v>
      </c>
      <c r="AI126" s="19">
        <f>Programacion[[#This Row],[ABRIL]]+Programacion[[#This Row],[MAYO]]+Programacion[[#This Row],[JUNIO]]</f>
        <v>10000</v>
      </c>
      <c r="AJ126" s="19">
        <f>Programacion[[#This Row],[DEVENGADO ABRIL]]+Programacion[[#This Row],[DEVENGADO MAYO]]+Programacion[[#This Row],[DEVENGADO JUNIO]]</f>
        <v>10000</v>
      </c>
      <c r="AK126" s="19">
        <f>Programacion[[#This Row],[JULIO]]+Programacion[[#This Row],[AGOSTO]]+Programacion[[#This Row],[SEPTIEMBRE]]</f>
        <v>0</v>
      </c>
      <c r="AL126" s="19">
        <f>Programacion[[#This Row],[DEVENGADO JULIO]]+Programacion[[#This Row],[DEVENGADO AGOSTO]]+Programacion[[#This Row],[DEVENGADO SEPTIEMBRE]]</f>
        <v>0</v>
      </c>
      <c r="AM126" s="19">
        <f>Programacion[[#This Row],[OCTUBRE]]+Programacion[[#This Row],[NOVIEMBRE]]+Programacion[[#This Row],[DICIEMBRE]]</f>
        <v>0</v>
      </c>
      <c r="AN126" s="20">
        <f>Programacion[[#This Row],[DEVENGADO OCTUBRE]]+Programacion[[#This Row],[DEVENGADO NOVIEMBRE]]+Programacion[[#This Row],[DEVENGADO DICIEMBRE]]</f>
        <v>0</v>
      </c>
      <c r="AO126" s="20">
        <f>Programacion[[#This Row],[ENERO]]+Programacion[[#This Row],[FEBRERO]]+Programacion[[#This Row],[MARZO]]+Programacion[[#This Row],[ABRIL]]+Programacion[[#This Row],[MAYO]]+Programacion[[#This Row],[JUNIO]]</f>
        <v>20000</v>
      </c>
      <c r="AP1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6" s="123"/>
    </row>
    <row r="127" spans="1:46" ht="43.2" x14ac:dyDescent="0.3">
      <c r="A127" s="60" t="s">
        <v>145</v>
      </c>
      <c r="B127" s="61" t="s">
        <v>155</v>
      </c>
      <c r="C127" s="60" t="s">
        <v>58</v>
      </c>
      <c r="D127" s="62" t="s">
        <v>48</v>
      </c>
      <c r="E127" s="63">
        <v>39</v>
      </c>
      <c r="F127" s="64">
        <v>2.2999999999999998</v>
      </c>
      <c r="G127" s="62" t="s">
        <v>73</v>
      </c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>
        <v>5000</v>
      </c>
      <c r="S127" s="65">
        <v>5000</v>
      </c>
      <c r="T127" s="65">
        <v>5000</v>
      </c>
      <c r="U127" s="65">
        <v>5000</v>
      </c>
      <c r="V127" s="65">
        <v>5000</v>
      </c>
      <c r="W127" s="65"/>
      <c r="X127" s="65">
        <v>5000</v>
      </c>
      <c r="Y127" s="65"/>
      <c r="Z127" s="65">
        <v>5000</v>
      </c>
      <c r="AA127" s="65"/>
      <c r="AB127" s="65">
        <v>5000</v>
      </c>
      <c r="AC127" s="65"/>
      <c r="AD127" s="65">
        <v>5000</v>
      </c>
      <c r="AE127" s="65"/>
      <c r="AF1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7" s="19">
        <f>Programacion[[#This Row],[ENERO]]+Programacion[[#This Row],[FEBRERO]]+Programacion[[#This Row],[MARZO]]</f>
        <v>0</v>
      </c>
      <c r="AH127" s="19">
        <f>Programacion[[#This Row],[DEVENGADO ENERO]]+Programacion[[#This Row],[DEVENGADO FEBRERO]]+Programacion[[#This Row],[DEVENGADO MARZO]]</f>
        <v>0</v>
      </c>
      <c r="AI127" s="19">
        <f>Programacion[[#This Row],[ABRIL]]+Programacion[[#This Row],[MAYO]]+Programacion[[#This Row],[JUNIO]]</f>
        <v>5000</v>
      </c>
      <c r="AJ127" s="19">
        <f>Programacion[[#This Row],[DEVENGADO ABRIL]]+Programacion[[#This Row],[DEVENGADO MAYO]]+Programacion[[#This Row],[DEVENGADO JUNIO]]</f>
        <v>5000</v>
      </c>
      <c r="AK127" s="19">
        <f>Programacion[[#This Row],[JULIO]]+Programacion[[#This Row],[AGOSTO]]+Programacion[[#This Row],[SEPTIEMBRE]]</f>
        <v>15000</v>
      </c>
      <c r="AL127" s="19">
        <f>Programacion[[#This Row],[DEVENGADO JULIO]]+Programacion[[#This Row],[DEVENGADO AGOSTO]]+Programacion[[#This Row],[DEVENGADO SEPTIEMBRE]]</f>
        <v>5000</v>
      </c>
      <c r="AM127" s="19">
        <f>Programacion[[#This Row],[OCTUBRE]]+Programacion[[#This Row],[NOVIEMBRE]]+Programacion[[#This Row],[DICIEMBRE]]</f>
        <v>15000</v>
      </c>
      <c r="AN127" s="20">
        <f>Programacion[[#This Row],[DEVENGADO OCTUBRE]]+Programacion[[#This Row],[DEVENGADO NOVIEMBRE]]+Programacion[[#This Row],[DEVENGADO DICIEMBRE]]</f>
        <v>0</v>
      </c>
      <c r="AO127" s="20">
        <f>Programacion[[#This Row],[ENERO]]+Programacion[[#This Row],[FEBRERO]]+Programacion[[#This Row],[MARZO]]+Programacion[[#This Row],[ABRIL]]+Programacion[[#This Row],[MAYO]]+Programacion[[#This Row],[JUNIO]]</f>
        <v>5000</v>
      </c>
      <c r="AP1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7" s="123"/>
    </row>
    <row r="128" spans="1:46" ht="43.2" x14ac:dyDescent="0.3">
      <c r="A128" s="60" t="s">
        <v>145</v>
      </c>
      <c r="B128" s="66" t="s">
        <v>156</v>
      </c>
      <c r="C128" s="60" t="s">
        <v>58</v>
      </c>
      <c r="D128" s="67" t="s">
        <v>48</v>
      </c>
      <c r="E128" s="68">
        <v>39</v>
      </c>
      <c r="F128" s="64">
        <v>2.2999999999999998</v>
      </c>
      <c r="G128" s="67" t="s">
        <v>73</v>
      </c>
      <c r="H128" s="69"/>
      <c r="I128" s="69"/>
      <c r="J128" s="69"/>
      <c r="K128" s="69"/>
      <c r="L128" s="69">
        <v>10000</v>
      </c>
      <c r="M128" s="69">
        <v>10000</v>
      </c>
      <c r="N128" s="69">
        <v>5000</v>
      </c>
      <c r="O128" s="69">
        <v>5000</v>
      </c>
      <c r="P128" s="69">
        <v>5000</v>
      </c>
      <c r="Q128" s="69">
        <v>5000</v>
      </c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28" s="19">
        <f>Programacion[[#This Row],[ENERO]]+Programacion[[#This Row],[FEBRERO]]+Programacion[[#This Row],[MARZO]]</f>
        <v>10000</v>
      </c>
      <c r="AH128" s="19">
        <f>Programacion[[#This Row],[DEVENGADO ENERO]]+Programacion[[#This Row],[DEVENGADO FEBRERO]]+Programacion[[#This Row],[DEVENGADO MARZO]]</f>
        <v>10000</v>
      </c>
      <c r="AI128" s="19">
        <f>Programacion[[#This Row],[ABRIL]]+Programacion[[#This Row],[MAYO]]+Programacion[[#This Row],[JUNIO]]</f>
        <v>10000</v>
      </c>
      <c r="AJ128" s="19">
        <f>Programacion[[#This Row],[DEVENGADO ABRIL]]+Programacion[[#This Row],[DEVENGADO MAYO]]+Programacion[[#This Row],[DEVENGADO JUNIO]]</f>
        <v>10000</v>
      </c>
      <c r="AK128" s="19">
        <f>Programacion[[#This Row],[JULIO]]+Programacion[[#This Row],[AGOSTO]]+Programacion[[#This Row],[SEPTIEMBRE]]</f>
        <v>0</v>
      </c>
      <c r="AL128" s="19">
        <f>Programacion[[#This Row],[DEVENGADO JULIO]]+Programacion[[#This Row],[DEVENGADO AGOSTO]]+Programacion[[#This Row],[DEVENGADO SEPTIEMBRE]]</f>
        <v>0</v>
      </c>
      <c r="AM128" s="19">
        <f>Programacion[[#This Row],[OCTUBRE]]+Programacion[[#This Row],[NOVIEMBRE]]+Programacion[[#This Row],[DICIEMBRE]]</f>
        <v>0</v>
      </c>
      <c r="AN128" s="20">
        <f>Programacion[[#This Row],[DEVENGADO OCTUBRE]]+Programacion[[#This Row],[DEVENGADO NOVIEMBRE]]+Programacion[[#This Row],[DEVENGADO DICIEMBRE]]</f>
        <v>0</v>
      </c>
      <c r="AO128" s="20">
        <f>Programacion[[#This Row],[ENERO]]+Programacion[[#This Row],[FEBRERO]]+Programacion[[#This Row],[MARZO]]+Programacion[[#This Row],[ABRIL]]+Programacion[[#This Row],[MAYO]]+Programacion[[#This Row],[JUNIO]]</f>
        <v>20000</v>
      </c>
      <c r="AP1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2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28" s="123"/>
    </row>
    <row r="129" spans="1:46" ht="43.2" x14ac:dyDescent="0.3">
      <c r="A129" s="70" t="s">
        <v>145</v>
      </c>
      <c r="B129" s="71" t="s">
        <v>157</v>
      </c>
      <c r="C129" s="60" t="s">
        <v>58</v>
      </c>
      <c r="D129" s="72" t="s">
        <v>48</v>
      </c>
      <c r="E129" s="73">
        <v>39</v>
      </c>
      <c r="F129" s="74">
        <v>2.2999999999999998</v>
      </c>
      <c r="G129" s="75" t="s">
        <v>73</v>
      </c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>
        <v>5000</v>
      </c>
      <c r="S129" s="76">
        <v>5000</v>
      </c>
      <c r="T129" s="76">
        <v>5000</v>
      </c>
      <c r="U129" s="76">
        <v>5000</v>
      </c>
      <c r="V129" s="76">
        <v>5000</v>
      </c>
      <c r="W129" s="76"/>
      <c r="X129" s="76">
        <v>5000</v>
      </c>
      <c r="Y129" s="76"/>
      <c r="Z129" s="76">
        <v>5000</v>
      </c>
      <c r="AA129" s="76"/>
      <c r="AB129" s="76">
        <v>5000</v>
      </c>
      <c r="AC129" s="76"/>
      <c r="AD129" s="76">
        <v>5000</v>
      </c>
      <c r="AE129" s="76"/>
      <c r="AF1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29" s="19">
        <f>Programacion[[#This Row],[ENERO]]+Programacion[[#This Row],[FEBRERO]]+Programacion[[#This Row],[MARZO]]</f>
        <v>0</v>
      </c>
      <c r="AH129" s="19">
        <f>Programacion[[#This Row],[DEVENGADO ENERO]]+Programacion[[#This Row],[DEVENGADO FEBRERO]]+Programacion[[#This Row],[DEVENGADO MARZO]]</f>
        <v>0</v>
      </c>
      <c r="AI129" s="19">
        <f>Programacion[[#This Row],[ABRIL]]+Programacion[[#This Row],[MAYO]]+Programacion[[#This Row],[JUNIO]]</f>
        <v>5000</v>
      </c>
      <c r="AJ129" s="19">
        <f>Programacion[[#This Row],[DEVENGADO ABRIL]]+Programacion[[#This Row],[DEVENGADO MAYO]]+Programacion[[#This Row],[DEVENGADO JUNIO]]</f>
        <v>5000</v>
      </c>
      <c r="AK129" s="19">
        <f>Programacion[[#This Row],[JULIO]]+Programacion[[#This Row],[AGOSTO]]+Programacion[[#This Row],[SEPTIEMBRE]]</f>
        <v>15000</v>
      </c>
      <c r="AL129" s="19">
        <f>Programacion[[#This Row],[DEVENGADO JULIO]]+Programacion[[#This Row],[DEVENGADO AGOSTO]]+Programacion[[#This Row],[DEVENGADO SEPTIEMBRE]]</f>
        <v>5000</v>
      </c>
      <c r="AM129" s="19">
        <f>Programacion[[#This Row],[OCTUBRE]]+Programacion[[#This Row],[NOVIEMBRE]]+Programacion[[#This Row],[DICIEMBRE]]</f>
        <v>15000</v>
      </c>
      <c r="AN129" s="20">
        <f>Programacion[[#This Row],[DEVENGADO OCTUBRE]]+Programacion[[#This Row],[DEVENGADO NOVIEMBRE]]+Programacion[[#This Row],[DEVENGADO DICIEMBRE]]</f>
        <v>0</v>
      </c>
      <c r="AO129" s="20">
        <f>Programacion[[#This Row],[ENERO]]+Programacion[[#This Row],[FEBRERO]]+Programacion[[#This Row],[MARZO]]+Programacion[[#This Row],[ABRIL]]+Programacion[[#This Row],[MAYO]]+Programacion[[#This Row],[JUNIO]]</f>
        <v>5000</v>
      </c>
      <c r="AP1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2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9" s="123"/>
    </row>
    <row r="130" spans="1:46" x14ac:dyDescent="0.3">
      <c r="A130" s="77" t="s">
        <v>145</v>
      </c>
      <c r="B130" s="78" t="s">
        <v>158</v>
      </c>
      <c r="C130" s="60" t="s">
        <v>83</v>
      </c>
      <c r="D130" s="79" t="s">
        <v>48</v>
      </c>
      <c r="E130" s="79">
        <v>39</v>
      </c>
      <c r="F130" s="80">
        <v>2.6</v>
      </c>
      <c r="G130" s="77" t="s">
        <v>127</v>
      </c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>
        <v>44000</v>
      </c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30" s="19">
        <f>Programacion[[#This Row],[ENERO]]+Programacion[[#This Row],[FEBRERO]]+Programacion[[#This Row],[MARZO]]</f>
        <v>0</v>
      </c>
      <c r="AH130" s="19">
        <f>Programacion[[#This Row],[DEVENGADO ENERO]]+Programacion[[#This Row],[DEVENGADO FEBRERO]]+Programacion[[#This Row],[DEVENGADO MARZO]]</f>
        <v>0</v>
      </c>
      <c r="AI130" s="19">
        <f>Programacion[[#This Row],[ABRIL]]+Programacion[[#This Row],[MAYO]]+Programacion[[#This Row],[JUNIO]]</f>
        <v>0</v>
      </c>
      <c r="AJ130" s="19">
        <f>Programacion[[#This Row],[DEVENGADO ABRIL]]+Programacion[[#This Row],[DEVENGADO MAYO]]+Programacion[[#This Row],[DEVENGADO JUNIO]]</f>
        <v>0</v>
      </c>
      <c r="AK130" s="19">
        <f>Programacion[[#This Row],[JULIO]]+Programacion[[#This Row],[AGOSTO]]+Programacion[[#This Row],[SEPTIEMBRE]]</f>
        <v>44000</v>
      </c>
      <c r="AL130" s="19">
        <f>Programacion[[#This Row],[DEVENGADO JULIO]]+Programacion[[#This Row],[DEVENGADO AGOSTO]]+Programacion[[#This Row],[DEVENGADO SEPTIEMBRE]]</f>
        <v>0</v>
      </c>
      <c r="AM130" s="19">
        <f>Programacion[[#This Row],[OCTUBRE]]+Programacion[[#This Row],[NOVIEMBRE]]+Programacion[[#This Row],[DICIEMBRE]]</f>
        <v>0</v>
      </c>
      <c r="AN130" s="20">
        <f>Programacion[[#This Row],[DEVENGADO OCTUBRE]]+Programacion[[#This Row],[DEVENGADO NOVIEMBRE]]+Programacion[[#This Row],[DEVENGADO DICIEMBRE]]</f>
        <v>0</v>
      </c>
      <c r="AO130" s="20">
        <f>Programacion[[#This Row],[ENERO]]+Programacion[[#This Row],[FEBRERO]]+Programacion[[#This Row],[MARZO]]+Programacion[[#This Row],[ABRIL]]+Programacion[[#This Row],[MAYO]]+Programacion[[#This Row],[JUNIO]]</f>
        <v>0</v>
      </c>
      <c r="AP1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0" s="123"/>
    </row>
    <row r="131" spans="1:46" x14ac:dyDescent="0.3">
      <c r="A131" s="82" t="s">
        <v>145</v>
      </c>
      <c r="B131" s="71" t="s">
        <v>159</v>
      </c>
      <c r="C131" s="60" t="s">
        <v>120</v>
      </c>
      <c r="D131" s="60" t="s">
        <v>48</v>
      </c>
      <c r="E131" s="60">
        <v>39</v>
      </c>
      <c r="F131" s="83">
        <v>2.2999999999999998</v>
      </c>
      <c r="G131" s="82" t="s">
        <v>121</v>
      </c>
      <c r="H131" s="84"/>
      <c r="I131" s="84"/>
      <c r="J131" s="8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>
        <v>42500</v>
      </c>
      <c r="W131" s="84"/>
      <c r="X131" s="84"/>
      <c r="Y131" s="84"/>
      <c r="Z131" s="84"/>
      <c r="AA131" s="84"/>
      <c r="AB131" s="84"/>
      <c r="AC131" s="84"/>
      <c r="AD131" s="84"/>
      <c r="AE131" s="84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42500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23"/>
    </row>
    <row r="132" spans="1:46" ht="43.2" x14ac:dyDescent="0.3">
      <c r="A132" s="85" t="s">
        <v>160</v>
      </c>
      <c r="B132" s="86" t="s">
        <v>161</v>
      </c>
      <c r="C132" s="87" t="s">
        <v>58</v>
      </c>
      <c r="D132" s="87" t="s">
        <v>162</v>
      </c>
      <c r="E132" s="88">
        <v>34</v>
      </c>
      <c r="F132" s="89">
        <v>2.2999999999999998</v>
      </c>
      <c r="G132" s="87" t="s">
        <v>59</v>
      </c>
      <c r="H132" s="87"/>
      <c r="I132" s="90"/>
      <c r="J132" s="90"/>
      <c r="K132" s="90"/>
      <c r="L132" s="90">
        <v>7000</v>
      </c>
      <c r="M132" s="90">
        <v>7000</v>
      </c>
      <c r="N132" s="90">
        <v>7000</v>
      </c>
      <c r="O132" s="90">
        <v>7000</v>
      </c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1"/>
      <c r="AB132" s="92"/>
      <c r="AC132" s="92"/>
      <c r="AD132" s="92"/>
      <c r="AE132" s="92"/>
      <c r="AF13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32" s="94">
        <f>Programacion[[#This Row],[ENERO]]+Programacion[[#This Row],[FEBRERO]]+Programacion[[#This Row],[MARZO]]</f>
        <v>7000</v>
      </c>
      <c r="AH132" s="94">
        <f>Programacion[[#This Row],[DEVENGADO ENERO]]+Programacion[[#This Row],[DEVENGADO FEBRERO]]+Programacion[[#This Row],[DEVENGADO MARZO]]</f>
        <v>7000</v>
      </c>
      <c r="AI132" s="94">
        <f>Programacion[[#This Row],[ABRIL]]+Programacion[[#This Row],[MAYO]]+Programacion[[#This Row],[JUNIO]]</f>
        <v>7000</v>
      </c>
      <c r="AJ132" s="94">
        <f>Programacion[[#This Row],[DEVENGADO ABRIL]]+Programacion[[#This Row],[DEVENGADO MAYO]]+Programacion[[#This Row],[DEVENGADO JUNIO]]</f>
        <v>7000</v>
      </c>
      <c r="AK132" s="94">
        <f>Programacion[[#This Row],[JULIO]]+Programacion[[#This Row],[AGOSTO]]+Programacion[[#This Row],[SEPTIEMBRE]]</f>
        <v>0</v>
      </c>
      <c r="AL132" s="94">
        <f>Programacion[[#This Row],[DEVENGADO JULIO]]+Programacion[[#This Row],[DEVENGADO AGOSTO]]+Programacion[[#This Row],[DEVENGADO SEPTIEMBRE]]</f>
        <v>0</v>
      </c>
      <c r="AM132" s="94">
        <f>Programacion[[#This Row],[OCTUBRE]]+Programacion[[#This Row],[NOVIEMBRE]]+Programacion[[#This Row],[DICIEMBRE]]</f>
        <v>0</v>
      </c>
      <c r="AN132" s="95">
        <f>Programacion[[#This Row],[DEVENGADO OCTUBRE]]+Programacion[[#This Row],[DEVENGADO NOVIEMBRE]]+Programacion[[#This Row],[DEVENGADO DICIEMBRE]]</f>
        <v>0</v>
      </c>
      <c r="AO132" s="95">
        <f>Programacion[[#This Row],[ENERO]]+Programacion[[#This Row],[FEBRERO]]+Programacion[[#This Row],[MARZO]]+Programacion[[#This Row],[ABRIL]]+Programacion[[#This Row],[MAYO]]+Programacion[[#This Row],[JUNIO]]</f>
        <v>14000</v>
      </c>
      <c r="AP13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32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32" s="123"/>
    </row>
    <row r="133" spans="1:46" x14ac:dyDescent="0.3">
      <c r="A133" s="85" t="s">
        <v>160</v>
      </c>
      <c r="B133" s="96" t="s">
        <v>163</v>
      </c>
      <c r="C133" s="97" t="s">
        <v>47</v>
      </c>
      <c r="D133" s="87" t="s">
        <v>162</v>
      </c>
      <c r="E133" s="98">
        <v>34</v>
      </c>
      <c r="F133" s="99">
        <v>2.2999999999999998</v>
      </c>
      <c r="G133" s="100" t="s">
        <v>49</v>
      </c>
      <c r="H133" s="94"/>
      <c r="I133" s="94"/>
      <c r="J133" s="94"/>
      <c r="K133" s="94"/>
      <c r="L133" s="94"/>
      <c r="M133" s="94"/>
      <c r="N133" s="94"/>
      <c r="O133" s="94"/>
      <c r="P133" s="94">
        <v>3564.19</v>
      </c>
      <c r="Q133" s="94">
        <v>3564.19</v>
      </c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  <c r="AD133" s="94"/>
      <c r="AE133" s="94"/>
      <c r="AF133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33" s="94">
        <f>Programacion[[#This Row],[ENERO]]+Programacion[[#This Row],[FEBRERO]]+Programacion[[#This Row],[MARZO]]</f>
        <v>0</v>
      </c>
      <c r="AH133" s="94">
        <f>Programacion[[#This Row],[DEVENGADO ENERO]]+Programacion[[#This Row],[DEVENGADO FEBRERO]]+Programacion[[#This Row],[DEVENGADO MARZO]]</f>
        <v>0</v>
      </c>
      <c r="AI133" s="94">
        <f>Programacion[[#This Row],[ABRIL]]+Programacion[[#This Row],[MAYO]]+Programacion[[#This Row],[JUNIO]]</f>
        <v>3564.19</v>
      </c>
      <c r="AJ133" s="94">
        <f>Programacion[[#This Row],[DEVENGADO ABRIL]]+Programacion[[#This Row],[DEVENGADO MAYO]]+Programacion[[#This Row],[DEVENGADO JUNIO]]</f>
        <v>3564.19</v>
      </c>
      <c r="AK133" s="94">
        <f>Programacion[[#This Row],[JULIO]]+Programacion[[#This Row],[AGOSTO]]+Programacion[[#This Row],[SEPTIEMBRE]]</f>
        <v>0</v>
      </c>
      <c r="AL133" s="94">
        <f>Programacion[[#This Row],[DEVENGADO JULIO]]+Programacion[[#This Row],[DEVENGADO AGOSTO]]+Programacion[[#This Row],[DEVENGADO SEPTIEMBRE]]</f>
        <v>0</v>
      </c>
      <c r="AM133" s="94">
        <f>Programacion[[#This Row],[OCTUBRE]]+Programacion[[#This Row],[NOVIEMBRE]]+Programacion[[#This Row],[DICIEMBRE]]</f>
        <v>0</v>
      </c>
      <c r="AN133" s="94">
        <f>Programacion[[#This Row],[DEVENGADO OCTUBRE]]+Programacion[[#This Row],[DEVENGADO NOVIEMBRE]]+Programacion[[#This Row],[DEVENGADO DICIEMBRE]]</f>
        <v>0</v>
      </c>
      <c r="AO133" s="94">
        <f>Programacion[[#This Row],[ENERO]]+Programacion[[#This Row],[FEBRERO]]+Programacion[[#This Row],[MARZO]]+Programacion[[#This Row],[ABRIL]]+Programacion[[#This Row],[MAYO]]+Programacion[[#This Row],[JUNIO]]</f>
        <v>3564.19</v>
      </c>
      <c r="AP133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33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3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33" s="123"/>
    </row>
    <row r="134" spans="1:46" x14ac:dyDescent="0.3">
      <c r="A134" s="85" t="s">
        <v>160</v>
      </c>
      <c r="B134" s="96" t="s">
        <v>164</v>
      </c>
      <c r="C134" s="97" t="s">
        <v>47</v>
      </c>
      <c r="D134" s="87" t="s">
        <v>162</v>
      </c>
      <c r="E134" s="98">
        <v>34</v>
      </c>
      <c r="F134" s="99">
        <v>2.2999999999999998</v>
      </c>
      <c r="G134" s="100" t="s">
        <v>51</v>
      </c>
      <c r="H134" s="94"/>
      <c r="I134" s="94"/>
      <c r="J134" s="94"/>
      <c r="K134" s="94"/>
      <c r="L134" s="94"/>
      <c r="M134" s="94"/>
      <c r="N134" s="94"/>
      <c r="O134" s="94"/>
      <c r="P134" s="94">
        <v>1489</v>
      </c>
      <c r="Q134" s="94">
        <v>1806</v>
      </c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  <c r="AD134" s="94"/>
      <c r="AE134" s="94"/>
      <c r="AF134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34" s="94">
        <f>Programacion[[#This Row],[ENERO]]+Programacion[[#This Row],[FEBRERO]]+Programacion[[#This Row],[MARZO]]</f>
        <v>0</v>
      </c>
      <c r="AH134" s="94">
        <f>Programacion[[#This Row],[DEVENGADO ENERO]]+Programacion[[#This Row],[DEVENGADO FEBRERO]]+Programacion[[#This Row],[DEVENGADO MARZO]]</f>
        <v>0</v>
      </c>
      <c r="AI134" s="94">
        <f>Programacion[[#This Row],[ABRIL]]+Programacion[[#This Row],[MAYO]]+Programacion[[#This Row],[JUNIO]]</f>
        <v>1489</v>
      </c>
      <c r="AJ134" s="94">
        <f>Programacion[[#This Row],[DEVENGADO ABRIL]]+Programacion[[#This Row],[DEVENGADO MAYO]]+Programacion[[#This Row],[DEVENGADO JUNIO]]</f>
        <v>1806</v>
      </c>
      <c r="AK134" s="94">
        <f>Programacion[[#This Row],[JULIO]]+Programacion[[#This Row],[AGOSTO]]+Programacion[[#This Row],[SEPTIEMBRE]]</f>
        <v>0</v>
      </c>
      <c r="AL134" s="94">
        <f>Programacion[[#This Row],[DEVENGADO JULIO]]+Programacion[[#This Row],[DEVENGADO AGOSTO]]+Programacion[[#This Row],[DEVENGADO SEPTIEMBRE]]</f>
        <v>0</v>
      </c>
      <c r="AM134" s="94">
        <f>Programacion[[#This Row],[OCTUBRE]]+Programacion[[#This Row],[NOVIEMBRE]]+Programacion[[#This Row],[DICIEMBRE]]</f>
        <v>0</v>
      </c>
      <c r="AN134" s="94">
        <f>Programacion[[#This Row],[DEVENGADO OCTUBRE]]+Programacion[[#This Row],[DEVENGADO NOVIEMBRE]]+Programacion[[#This Row],[DEVENGADO DICIEMBRE]]</f>
        <v>0</v>
      </c>
      <c r="AO134" s="94">
        <f>Programacion[[#This Row],[ENERO]]+Programacion[[#This Row],[FEBRERO]]+Programacion[[#This Row],[MARZO]]+Programacion[[#This Row],[ABRIL]]+Programacion[[#This Row],[MAYO]]+Programacion[[#This Row],[JUNIO]]</f>
        <v>1489</v>
      </c>
      <c r="AP134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34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34" s="123"/>
    </row>
    <row r="135" spans="1:46" x14ac:dyDescent="0.3">
      <c r="A135" s="85" t="s">
        <v>160</v>
      </c>
      <c r="B135" s="96" t="s">
        <v>165</v>
      </c>
      <c r="C135" s="97" t="s">
        <v>76</v>
      </c>
      <c r="D135" s="87" t="s">
        <v>162</v>
      </c>
      <c r="E135" s="98">
        <v>34</v>
      </c>
      <c r="F135" s="99">
        <v>2.2999999999999998</v>
      </c>
      <c r="G135" s="100" t="s">
        <v>77</v>
      </c>
      <c r="H135" s="94"/>
      <c r="I135" s="94"/>
      <c r="J135" s="94"/>
      <c r="K135" s="94"/>
      <c r="L135" s="94"/>
      <c r="M135" s="94"/>
      <c r="N135" s="94"/>
      <c r="O135" s="94"/>
      <c r="P135" s="94">
        <v>500</v>
      </c>
      <c r="Q135" s="94">
        <v>500</v>
      </c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  <c r="AD135" s="94"/>
      <c r="AE135" s="94"/>
      <c r="AF135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35" s="94">
        <f>Programacion[[#This Row],[ENERO]]+Programacion[[#This Row],[FEBRERO]]+Programacion[[#This Row],[MARZO]]</f>
        <v>0</v>
      </c>
      <c r="AH135" s="94">
        <f>Programacion[[#This Row],[DEVENGADO ENERO]]+Programacion[[#This Row],[DEVENGADO FEBRERO]]+Programacion[[#This Row],[DEVENGADO MARZO]]</f>
        <v>0</v>
      </c>
      <c r="AI135" s="94">
        <f>Programacion[[#This Row],[ABRIL]]+Programacion[[#This Row],[MAYO]]+Programacion[[#This Row],[JUNIO]]</f>
        <v>500</v>
      </c>
      <c r="AJ135" s="94">
        <f>Programacion[[#This Row],[DEVENGADO ABRIL]]+Programacion[[#This Row],[DEVENGADO MAYO]]+Programacion[[#This Row],[DEVENGADO JUNIO]]</f>
        <v>500</v>
      </c>
      <c r="AK135" s="94">
        <f>Programacion[[#This Row],[JULIO]]+Programacion[[#This Row],[AGOSTO]]+Programacion[[#This Row],[SEPTIEMBRE]]</f>
        <v>0</v>
      </c>
      <c r="AL135" s="94">
        <f>Programacion[[#This Row],[DEVENGADO JULIO]]+Programacion[[#This Row],[DEVENGADO AGOSTO]]+Programacion[[#This Row],[DEVENGADO SEPTIEMBRE]]</f>
        <v>0</v>
      </c>
      <c r="AM135" s="94">
        <f>Programacion[[#This Row],[OCTUBRE]]+Programacion[[#This Row],[NOVIEMBRE]]+Programacion[[#This Row],[DICIEMBRE]]</f>
        <v>0</v>
      </c>
      <c r="AN135" s="94">
        <f>Programacion[[#This Row],[DEVENGADO OCTUBRE]]+Programacion[[#This Row],[DEVENGADO NOVIEMBRE]]+Programacion[[#This Row],[DEVENGADO DICIEMBRE]]</f>
        <v>0</v>
      </c>
      <c r="AO135" s="94">
        <f>Programacion[[#This Row],[ENERO]]+Programacion[[#This Row],[FEBRERO]]+Programacion[[#This Row],[MARZO]]+Programacion[[#This Row],[ABRIL]]+Programacion[[#This Row],[MAYO]]+Programacion[[#This Row],[JUNIO]]</f>
        <v>500</v>
      </c>
      <c r="AP13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35" s="9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35" s="123"/>
    </row>
    <row r="136" spans="1:46" x14ac:dyDescent="0.3">
      <c r="A136" s="101" t="s">
        <v>160</v>
      </c>
      <c r="B136" s="96" t="s">
        <v>166</v>
      </c>
      <c r="C136" s="97" t="s">
        <v>58</v>
      </c>
      <c r="D136" s="100" t="s">
        <v>162</v>
      </c>
      <c r="E136" s="98">
        <v>34</v>
      </c>
      <c r="F136" s="99">
        <v>2.2999999999999998</v>
      </c>
      <c r="G136" s="100" t="s">
        <v>59</v>
      </c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>
        <v>7045.58</v>
      </c>
      <c r="AA136" s="94"/>
      <c r="AB136" s="94"/>
      <c r="AC136" s="94"/>
      <c r="AD136" s="94"/>
      <c r="AE136" s="94"/>
      <c r="AF13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36" s="94">
        <f>Programacion[[#This Row],[ENERO]]+Programacion[[#This Row],[FEBRERO]]+Programacion[[#This Row],[MARZO]]</f>
        <v>0</v>
      </c>
      <c r="AH136" s="94">
        <f>Programacion[[#This Row],[DEVENGADO ENERO]]+Programacion[[#This Row],[DEVENGADO FEBRERO]]+Programacion[[#This Row],[DEVENGADO MARZO]]</f>
        <v>0</v>
      </c>
      <c r="AI136" s="94">
        <f>Programacion[[#This Row],[ABRIL]]+Programacion[[#This Row],[MAYO]]+Programacion[[#This Row],[JUNIO]]</f>
        <v>0</v>
      </c>
      <c r="AJ136" s="94">
        <f>Programacion[[#This Row],[DEVENGADO ABRIL]]+Programacion[[#This Row],[DEVENGADO MAYO]]+Programacion[[#This Row],[DEVENGADO JUNIO]]</f>
        <v>0</v>
      </c>
      <c r="AK136" s="94">
        <f>Programacion[[#This Row],[JULIO]]+Programacion[[#This Row],[AGOSTO]]+Programacion[[#This Row],[SEPTIEMBRE]]</f>
        <v>0</v>
      </c>
      <c r="AL136" s="94">
        <f>Programacion[[#This Row],[DEVENGADO JULIO]]+Programacion[[#This Row],[DEVENGADO AGOSTO]]+Programacion[[#This Row],[DEVENGADO SEPTIEMBRE]]</f>
        <v>0</v>
      </c>
      <c r="AM136" s="94">
        <f>Programacion[[#This Row],[OCTUBRE]]+Programacion[[#This Row],[NOVIEMBRE]]+Programacion[[#This Row],[DICIEMBRE]]</f>
        <v>7045.58</v>
      </c>
      <c r="AN136" s="103">
        <f>Programacion[[#This Row],[DEVENGADO OCTUBRE]]+Programacion[[#This Row],[DEVENGADO NOVIEMBRE]]+Programacion[[#This Row],[DEVENGADO DICIEMBRE]]</f>
        <v>0</v>
      </c>
      <c r="AO136" s="103">
        <f>Programacion[[#This Row],[ENERO]]+Programacion[[#This Row],[FEBRERO]]+Programacion[[#This Row],[MARZO]]+Programacion[[#This Row],[ABRIL]]+Programacion[[#This Row],[MAYO]]+Programacion[[#This Row],[JUNIO]]</f>
        <v>0</v>
      </c>
      <c r="AP13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6" s="103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3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6" s="123"/>
    </row>
    <row r="137" spans="1:46" ht="28.8" x14ac:dyDescent="0.3">
      <c r="A137" s="101" t="s">
        <v>160</v>
      </c>
      <c r="B137" s="96" t="s">
        <v>167</v>
      </c>
      <c r="C137" s="97" t="s">
        <v>58</v>
      </c>
      <c r="D137" s="100" t="s">
        <v>162</v>
      </c>
      <c r="E137" s="98">
        <v>34</v>
      </c>
      <c r="F137" s="99">
        <v>2.2999999999999998</v>
      </c>
      <c r="G137" s="100" t="s">
        <v>59</v>
      </c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>
        <v>12537.5</v>
      </c>
      <c r="Y137" s="94"/>
      <c r="Z137" s="94">
        <v>12537.5</v>
      </c>
      <c r="AA137" s="94"/>
      <c r="AB137" s="94"/>
      <c r="AC137" s="94"/>
      <c r="AD137" s="94"/>
      <c r="AE137" s="94"/>
      <c r="AF137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</v>
      </c>
      <c r="AG137" s="94">
        <f>Programacion[[#This Row],[ENERO]]+Programacion[[#This Row],[FEBRERO]]+Programacion[[#This Row],[MARZO]]</f>
        <v>0</v>
      </c>
      <c r="AH137" s="94">
        <f>Programacion[[#This Row],[DEVENGADO ENERO]]+Programacion[[#This Row],[DEVENGADO FEBRERO]]+Programacion[[#This Row],[DEVENGADO MARZO]]</f>
        <v>0</v>
      </c>
      <c r="AI137" s="94">
        <f>Programacion[[#This Row],[ABRIL]]+Programacion[[#This Row],[MAYO]]+Programacion[[#This Row],[JUNIO]]</f>
        <v>0</v>
      </c>
      <c r="AJ137" s="94">
        <f>Programacion[[#This Row],[DEVENGADO ABRIL]]+Programacion[[#This Row],[DEVENGADO MAYO]]+Programacion[[#This Row],[DEVENGADO JUNIO]]</f>
        <v>0</v>
      </c>
      <c r="AK137" s="94">
        <f>Programacion[[#This Row],[JULIO]]+Programacion[[#This Row],[AGOSTO]]+Programacion[[#This Row],[SEPTIEMBRE]]</f>
        <v>12537.5</v>
      </c>
      <c r="AL137" s="94">
        <f>Programacion[[#This Row],[DEVENGADO JULIO]]+Programacion[[#This Row],[DEVENGADO AGOSTO]]+Programacion[[#This Row],[DEVENGADO SEPTIEMBRE]]</f>
        <v>0</v>
      </c>
      <c r="AM137" s="94">
        <f>Programacion[[#This Row],[OCTUBRE]]+Programacion[[#This Row],[NOVIEMBRE]]+Programacion[[#This Row],[DICIEMBRE]]</f>
        <v>12537.5</v>
      </c>
      <c r="AN137" s="103">
        <f>Programacion[[#This Row],[DEVENGADO OCTUBRE]]+Programacion[[#This Row],[DEVENGADO NOVIEMBRE]]+Programacion[[#This Row],[DEVENGADO DICIEMBRE]]</f>
        <v>0</v>
      </c>
      <c r="AO137" s="103">
        <f>Programacion[[#This Row],[ENERO]]+Programacion[[#This Row],[FEBRERO]]+Programacion[[#This Row],[MARZO]]+Programacion[[#This Row],[ABRIL]]+Programacion[[#This Row],[MAYO]]+Programacion[[#This Row],[JUNIO]]</f>
        <v>0</v>
      </c>
      <c r="AP137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03">
        <f>Programacion[[#This Row],[JULIO]]+Programacion[[#This Row],[AGOSTO]]+Programacion[[#This Row],[SEPTIEMBRE]]+Programacion[[#This Row],[OCTUBRE]]+Programacion[[#This Row],[NOVIEMBRE]]+Programacion[[#This Row],[DICIEMBRE]]</f>
        <v>25075</v>
      </c>
      <c r="AR137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7" s="123"/>
    </row>
    <row r="138" spans="1:46" x14ac:dyDescent="0.3">
      <c r="A138" s="105" t="s">
        <v>160</v>
      </c>
      <c r="B138" s="96" t="s">
        <v>168</v>
      </c>
      <c r="C138" s="87" t="s">
        <v>58</v>
      </c>
      <c r="D138" s="87" t="s">
        <v>162</v>
      </c>
      <c r="E138" s="88">
        <v>34</v>
      </c>
      <c r="F138" s="89">
        <v>2.2999999999999998</v>
      </c>
      <c r="G138" s="87" t="s">
        <v>138</v>
      </c>
      <c r="H138" s="87"/>
      <c r="I138" s="90"/>
      <c r="J138" s="90">
        <v>4500</v>
      </c>
      <c r="K138" s="90">
        <v>4500</v>
      </c>
      <c r="L138" s="90">
        <v>10500</v>
      </c>
      <c r="M138" s="90">
        <v>10500</v>
      </c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1"/>
      <c r="AB138" s="106"/>
      <c r="AC138" s="106"/>
      <c r="AD138" s="106"/>
      <c r="AE138" s="106"/>
      <c r="AF13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38" s="94">
        <f>Programacion[[#This Row],[ENERO]]+Programacion[[#This Row],[FEBRERO]]+Programacion[[#This Row],[MARZO]]</f>
        <v>15000</v>
      </c>
      <c r="AH138" s="94">
        <f>Programacion[[#This Row],[DEVENGADO ENERO]]+Programacion[[#This Row],[DEVENGADO FEBRERO]]+Programacion[[#This Row],[DEVENGADO MARZO]]</f>
        <v>15000</v>
      </c>
      <c r="AI138" s="94">
        <f>Programacion[[#This Row],[ABRIL]]+Programacion[[#This Row],[MAYO]]+Programacion[[#This Row],[JUNIO]]</f>
        <v>0</v>
      </c>
      <c r="AJ138" s="94">
        <f>Programacion[[#This Row],[DEVENGADO ABRIL]]+Programacion[[#This Row],[DEVENGADO MAYO]]+Programacion[[#This Row],[DEVENGADO JUNIO]]</f>
        <v>0</v>
      </c>
      <c r="AK138" s="94">
        <f>Programacion[[#This Row],[JULIO]]+Programacion[[#This Row],[AGOSTO]]+Programacion[[#This Row],[SEPTIEMBRE]]</f>
        <v>0</v>
      </c>
      <c r="AL138" s="94">
        <f>Programacion[[#This Row],[DEVENGADO JULIO]]+Programacion[[#This Row],[DEVENGADO AGOSTO]]+Programacion[[#This Row],[DEVENGADO SEPTIEMBRE]]</f>
        <v>0</v>
      </c>
      <c r="AM138" s="94">
        <f>Programacion[[#This Row],[OCTUBRE]]+Programacion[[#This Row],[NOVIEMBRE]]+Programacion[[#This Row],[DICIEMBRE]]</f>
        <v>0</v>
      </c>
      <c r="AN138" s="95">
        <f>Programacion[[#This Row],[DEVENGADO OCTUBRE]]+Programacion[[#This Row],[DEVENGADO NOVIEMBRE]]+Programacion[[#This Row],[DEVENGADO DICIEMBRE]]</f>
        <v>0</v>
      </c>
      <c r="AO138" s="95">
        <f>Programacion[[#This Row],[ENERO]]+Programacion[[#This Row],[FEBRERO]]+Programacion[[#This Row],[MARZO]]+Programacion[[#This Row],[ABRIL]]+Programacion[[#This Row],[MAYO]]+Programacion[[#This Row],[JUNIO]]</f>
        <v>15000</v>
      </c>
      <c r="AP138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8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8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8" s="123"/>
    </row>
    <row r="139" spans="1:46" x14ac:dyDescent="0.3">
      <c r="A139" s="105" t="s">
        <v>160</v>
      </c>
      <c r="B139" s="96" t="s">
        <v>169</v>
      </c>
      <c r="C139" s="87" t="s">
        <v>47</v>
      </c>
      <c r="D139" s="87" t="s">
        <v>162</v>
      </c>
      <c r="E139" s="88">
        <v>34</v>
      </c>
      <c r="F139" s="89">
        <v>2.2999999999999998</v>
      </c>
      <c r="G139" s="87" t="s">
        <v>51</v>
      </c>
      <c r="H139" s="87"/>
      <c r="I139" s="90"/>
      <c r="J139" s="90">
        <v>170</v>
      </c>
      <c r="K139" s="90">
        <v>170</v>
      </c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1"/>
      <c r="AB139" s="106"/>
      <c r="AC139" s="106"/>
      <c r="AD139" s="106"/>
      <c r="AE139" s="106"/>
      <c r="AF13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39" s="94">
        <f>Programacion[[#This Row],[ENERO]]+Programacion[[#This Row],[FEBRERO]]+Programacion[[#This Row],[MARZO]]</f>
        <v>170</v>
      </c>
      <c r="AH139" s="94">
        <f>Programacion[[#This Row],[DEVENGADO ENERO]]+Programacion[[#This Row],[DEVENGADO FEBRERO]]+Programacion[[#This Row],[DEVENGADO MARZO]]</f>
        <v>170</v>
      </c>
      <c r="AI139" s="94">
        <f>Programacion[[#This Row],[ABRIL]]+Programacion[[#This Row],[MAYO]]+Programacion[[#This Row],[JUNIO]]</f>
        <v>0</v>
      </c>
      <c r="AJ139" s="94">
        <f>Programacion[[#This Row],[DEVENGADO ABRIL]]+Programacion[[#This Row],[DEVENGADO MAYO]]+Programacion[[#This Row],[DEVENGADO JUNIO]]</f>
        <v>0</v>
      </c>
      <c r="AK139" s="94">
        <f>Programacion[[#This Row],[JULIO]]+Programacion[[#This Row],[AGOSTO]]+Programacion[[#This Row],[SEPTIEMBRE]]</f>
        <v>0</v>
      </c>
      <c r="AL139" s="94">
        <f>Programacion[[#This Row],[DEVENGADO JULIO]]+Programacion[[#This Row],[DEVENGADO AGOSTO]]+Programacion[[#This Row],[DEVENGADO SEPTIEMBRE]]</f>
        <v>0</v>
      </c>
      <c r="AM139" s="94">
        <f>Programacion[[#This Row],[OCTUBRE]]+Programacion[[#This Row],[NOVIEMBRE]]+Programacion[[#This Row],[DICIEMBRE]]</f>
        <v>0</v>
      </c>
      <c r="AN139" s="95">
        <f>Programacion[[#This Row],[DEVENGADO OCTUBRE]]+Programacion[[#This Row],[DEVENGADO NOVIEMBRE]]+Programacion[[#This Row],[DEVENGADO DICIEMBRE]]</f>
        <v>0</v>
      </c>
      <c r="AO139" s="95">
        <f>Programacion[[#This Row],[ENERO]]+Programacion[[#This Row],[FEBRERO]]+Programacion[[#This Row],[MARZO]]+Programacion[[#This Row],[ABRIL]]+Programacion[[#This Row],[MAYO]]+Programacion[[#This Row],[JUNIO]]</f>
        <v>170</v>
      </c>
      <c r="AP13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39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39" s="123"/>
    </row>
    <row r="140" spans="1:46" x14ac:dyDescent="0.3">
      <c r="A140" s="105" t="s">
        <v>160</v>
      </c>
      <c r="B140" s="96" t="s">
        <v>170</v>
      </c>
      <c r="C140" s="87" t="s">
        <v>47</v>
      </c>
      <c r="D140" s="87" t="s">
        <v>162</v>
      </c>
      <c r="E140" s="88">
        <v>34</v>
      </c>
      <c r="F140" s="89">
        <v>2.2999999999999998</v>
      </c>
      <c r="G140" s="87" t="s">
        <v>49</v>
      </c>
      <c r="H140" s="87"/>
      <c r="I140" s="90"/>
      <c r="J140" s="90">
        <v>165</v>
      </c>
      <c r="K140" s="90">
        <v>165</v>
      </c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1"/>
      <c r="AB140" s="106"/>
      <c r="AC140" s="106"/>
      <c r="AD140" s="106"/>
      <c r="AE140" s="106"/>
      <c r="AF14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40" s="94">
        <f>Programacion[[#This Row],[ENERO]]+Programacion[[#This Row],[FEBRERO]]+Programacion[[#This Row],[MARZO]]</f>
        <v>165</v>
      </c>
      <c r="AH140" s="94">
        <f>Programacion[[#This Row],[DEVENGADO ENERO]]+Programacion[[#This Row],[DEVENGADO FEBRERO]]+Programacion[[#This Row],[DEVENGADO MARZO]]</f>
        <v>165</v>
      </c>
      <c r="AI140" s="94">
        <f>Programacion[[#This Row],[ABRIL]]+Programacion[[#This Row],[MAYO]]+Programacion[[#This Row],[JUNIO]]</f>
        <v>0</v>
      </c>
      <c r="AJ140" s="94">
        <f>Programacion[[#This Row],[DEVENGADO ABRIL]]+Programacion[[#This Row],[DEVENGADO MAYO]]+Programacion[[#This Row],[DEVENGADO JUNIO]]</f>
        <v>0</v>
      </c>
      <c r="AK140" s="94">
        <f>Programacion[[#This Row],[JULIO]]+Programacion[[#This Row],[AGOSTO]]+Programacion[[#This Row],[SEPTIEMBRE]]</f>
        <v>0</v>
      </c>
      <c r="AL140" s="94">
        <f>Programacion[[#This Row],[DEVENGADO JULIO]]+Programacion[[#This Row],[DEVENGADO AGOSTO]]+Programacion[[#This Row],[DEVENGADO SEPTIEMBRE]]</f>
        <v>0</v>
      </c>
      <c r="AM140" s="94">
        <f>Programacion[[#This Row],[OCTUBRE]]+Programacion[[#This Row],[NOVIEMBRE]]+Programacion[[#This Row],[DICIEMBRE]]</f>
        <v>0</v>
      </c>
      <c r="AN140" s="95">
        <f>Programacion[[#This Row],[DEVENGADO OCTUBRE]]+Programacion[[#This Row],[DEVENGADO NOVIEMBRE]]+Programacion[[#This Row],[DEVENGADO DICIEMBRE]]</f>
        <v>0</v>
      </c>
      <c r="AO140" s="95">
        <f>Programacion[[#This Row],[ENERO]]+Programacion[[#This Row],[FEBRERO]]+Programacion[[#This Row],[MARZO]]+Programacion[[#This Row],[ABRIL]]+Programacion[[#This Row],[MAYO]]+Programacion[[#This Row],[JUNIO]]</f>
        <v>165</v>
      </c>
      <c r="AP14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4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40" s="123"/>
    </row>
    <row r="141" spans="1:46" ht="28.8" x14ac:dyDescent="0.3">
      <c r="A141" s="105" t="s">
        <v>160</v>
      </c>
      <c r="B141" s="96" t="s">
        <v>171</v>
      </c>
      <c r="C141" s="87" t="s">
        <v>58</v>
      </c>
      <c r="D141" s="87" t="s">
        <v>162</v>
      </c>
      <c r="E141" s="88">
        <v>34</v>
      </c>
      <c r="F141" s="89">
        <v>2.2999999999999998</v>
      </c>
      <c r="G141" s="87" t="s">
        <v>59</v>
      </c>
      <c r="H141" s="87"/>
      <c r="I141" s="90"/>
      <c r="J141" s="90"/>
      <c r="K141" s="90"/>
      <c r="L141" s="90"/>
      <c r="M141" s="90"/>
      <c r="N141" s="90">
        <v>5848</v>
      </c>
      <c r="O141" s="90">
        <v>5848</v>
      </c>
      <c r="P141" s="90">
        <v>5848</v>
      </c>
      <c r="Q141" s="90">
        <v>5848</v>
      </c>
      <c r="R141" s="90">
        <v>2924</v>
      </c>
      <c r="S141" s="90">
        <v>2924</v>
      </c>
      <c r="T141" s="90"/>
      <c r="U141" s="90"/>
      <c r="V141" s="90"/>
      <c r="W141" s="90"/>
      <c r="X141" s="90"/>
      <c r="Y141" s="90"/>
      <c r="Z141" s="90">
        <v>0.39</v>
      </c>
      <c r="AA141" s="91"/>
      <c r="AB141" s="106"/>
      <c r="AC141" s="106"/>
      <c r="AD141" s="106"/>
      <c r="AE141" s="106"/>
      <c r="AF14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41" s="94">
        <f>Programacion[[#This Row],[ENERO]]+Programacion[[#This Row],[FEBRERO]]+Programacion[[#This Row],[MARZO]]</f>
        <v>0</v>
      </c>
      <c r="AH141" s="94">
        <f>Programacion[[#This Row],[DEVENGADO ENERO]]+Programacion[[#This Row],[DEVENGADO FEBRERO]]+Programacion[[#This Row],[DEVENGADO MARZO]]</f>
        <v>0</v>
      </c>
      <c r="AI141" s="94">
        <f>Programacion[[#This Row],[ABRIL]]+Programacion[[#This Row],[MAYO]]+Programacion[[#This Row],[JUNIO]]</f>
        <v>14620</v>
      </c>
      <c r="AJ141" s="94">
        <f>Programacion[[#This Row],[DEVENGADO ABRIL]]+Programacion[[#This Row],[DEVENGADO MAYO]]+Programacion[[#This Row],[DEVENGADO JUNIO]]</f>
        <v>14620</v>
      </c>
      <c r="AK141" s="94">
        <f>Programacion[[#This Row],[JULIO]]+Programacion[[#This Row],[AGOSTO]]+Programacion[[#This Row],[SEPTIEMBRE]]</f>
        <v>0</v>
      </c>
      <c r="AL141" s="94">
        <f>Programacion[[#This Row],[DEVENGADO JULIO]]+Programacion[[#This Row],[DEVENGADO AGOSTO]]+Programacion[[#This Row],[DEVENGADO SEPTIEMBRE]]</f>
        <v>0</v>
      </c>
      <c r="AM141" s="94">
        <f>Programacion[[#This Row],[OCTUBRE]]+Programacion[[#This Row],[NOVIEMBRE]]+Programacion[[#This Row],[DICIEMBRE]]</f>
        <v>0.39</v>
      </c>
      <c r="AN141" s="95">
        <f>Programacion[[#This Row],[DEVENGADO OCTUBRE]]+Programacion[[#This Row],[DEVENGADO NOVIEMBRE]]+Programacion[[#This Row],[DEVENGADO DICIEMBRE]]</f>
        <v>0</v>
      </c>
      <c r="AO141" s="95">
        <f>Programacion[[#This Row],[ENERO]]+Programacion[[#This Row],[FEBRERO]]+Programacion[[#This Row],[MARZO]]+Programacion[[#This Row],[ABRIL]]+Programacion[[#This Row],[MAYO]]+Programacion[[#This Row],[JUNIO]]</f>
        <v>14620</v>
      </c>
      <c r="AP141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41" s="95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41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41" s="123"/>
    </row>
    <row r="142" spans="1:46" ht="28.8" x14ac:dyDescent="0.3">
      <c r="A142" s="101" t="s">
        <v>160</v>
      </c>
      <c r="B142" s="96" t="s">
        <v>172</v>
      </c>
      <c r="C142" s="97" t="s">
        <v>58</v>
      </c>
      <c r="D142" s="100" t="s">
        <v>162</v>
      </c>
      <c r="E142" s="98">
        <v>34</v>
      </c>
      <c r="F142" s="99">
        <v>2.2999999999999998</v>
      </c>
      <c r="G142" s="100" t="s">
        <v>59</v>
      </c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>
        <v>12000</v>
      </c>
      <c r="U142" s="94">
        <v>6000</v>
      </c>
      <c r="V142" s="94">
        <v>6000</v>
      </c>
      <c r="W142" s="94"/>
      <c r="X142" s="94">
        <v>6000</v>
      </c>
      <c r="Y142" s="94"/>
      <c r="Z142" s="94">
        <v>6000</v>
      </c>
      <c r="AA142" s="94"/>
      <c r="AB142" s="94"/>
      <c r="AC142" s="94"/>
      <c r="AD142" s="94"/>
      <c r="AE142" s="94"/>
      <c r="AF14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2" s="94">
        <f>Programacion[[#This Row],[ENERO]]+Programacion[[#This Row],[FEBRERO]]+Programacion[[#This Row],[MARZO]]</f>
        <v>0</v>
      </c>
      <c r="AH142" s="94">
        <f>Programacion[[#This Row],[DEVENGADO ENERO]]+Programacion[[#This Row],[DEVENGADO FEBRERO]]+Programacion[[#This Row],[DEVENGADO MARZO]]</f>
        <v>0</v>
      </c>
      <c r="AI142" s="94">
        <f>Programacion[[#This Row],[ABRIL]]+Programacion[[#This Row],[MAYO]]+Programacion[[#This Row],[JUNIO]]</f>
        <v>0</v>
      </c>
      <c r="AJ142" s="94">
        <f>Programacion[[#This Row],[DEVENGADO ABRIL]]+Programacion[[#This Row],[DEVENGADO MAYO]]+Programacion[[#This Row],[DEVENGADO JUNIO]]</f>
        <v>0</v>
      </c>
      <c r="AK142" s="94">
        <f>Programacion[[#This Row],[JULIO]]+Programacion[[#This Row],[AGOSTO]]+Programacion[[#This Row],[SEPTIEMBRE]]</f>
        <v>24000</v>
      </c>
      <c r="AL142" s="94">
        <f>Programacion[[#This Row],[DEVENGADO JULIO]]+Programacion[[#This Row],[DEVENGADO AGOSTO]]+Programacion[[#This Row],[DEVENGADO SEPTIEMBRE]]</f>
        <v>6000</v>
      </c>
      <c r="AM142" s="94">
        <f>Programacion[[#This Row],[OCTUBRE]]+Programacion[[#This Row],[NOVIEMBRE]]+Programacion[[#This Row],[DICIEMBRE]]</f>
        <v>6000</v>
      </c>
      <c r="AN142" s="103">
        <f>Programacion[[#This Row],[DEVENGADO OCTUBRE]]+Programacion[[#This Row],[DEVENGADO NOVIEMBRE]]+Programacion[[#This Row],[DEVENGADO DICIEMBRE]]</f>
        <v>0</v>
      </c>
      <c r="AO142" s="103">
        <f>Programacion[[#This Row],[ENERO]]+Programacion[[#This Row],[FEBRERO]]+Programacion[[#This Row],[MARZO]]+Programacion[[#This Row],[ABRIL]]+Programacion[[#This Row],[MAYO]]+Programacion[[#This Row],[JUNIO]]</f>
        <v>0</v>
      </c>
      <c r="AP14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10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2" s="123"/>
    </row>
    <row r="143" spans="1:46" x14ac:dyDescent="0.3">
      <c r="A143" s="101" t="s">
        <v>160</v>
      </c>
      <c r="B143" s="96" t="s">
        <v>173</v>
      </c>
      <c r="C143" s="97" t="s">
        <v>47</v>
      </c>
      <c r="D143" s="100" t="s">
        <v>162</v>
      </c>
      <c r="E143" s="98">
        <v>95</v>
      </c>
      <c r="F143" s="99">
        <v>2.2999999999999998</v>
      </c>
      <c r="G143" s="100" t="s">
        <v>49</v>
      </c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>
        <v>4000.91</v>
      </c>
      <c r="W143" s="94"/>
      <c r="X143" s="94"/>
      <c r="Y143" s="94"/>
      <c r="Z143" s="94"/>
      <c r="AA143" s="94"/>
      <c r="AB143" s="94"/>
      <c r="AC143" s="94"/>
      <c r="AD143" s="94"/>
      <c r="AE143" s="94"/>
      <c r="AF143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4000.91</v>
      </c>
      <c r="AG143" s="94">
        <f>Programacion[[#This Row],[ENERO]]+Programacion[[#This Row],[FEBRERO]]+Programacion[[#This Row],[MARZO]]</f>
        <v>0</v>
      </c>
      <c r="AH143" s="94">
        <f>Programacion[[#This Row],[DEVENGADO ENERO]]+Programacion[[#This Row],[DEVENGADO FEBRERO]]+Programacion[[#This Row],[DEVENGADO MARZO]]</f>
        <v>0</v>
      </c>
      <c r="AI143" s="94">
        <f>Programacion[[#This Row],[ABRIL]]+Programacion[[#This Row],[MAYO]]+Programacion[[#This Row],[JUNIO]]</f>
        <v>0</v>
      </c>
      <c r="AJ143" s="94">
        <f>Programacion[[#This Row],[DEVENGADO ABRIL]]+Programacion[[#This Row],[DEVENGADO MAYO]]+Programacion[[#This Row],[DEVENGADO JUNIO]]</f>
        <v>0</v>
      </c>
      <c r="AK143" s="94">
        <f>Programacion[[#This Row],[JULIO]]+Programacion[[#This Row],[AGOSTO]]+Programacion[[#This Row],[SEPTIEMBRE]]</f>
        <v>4000.91</v>
      </c>
      <c r="AL143" s="94">
        <f>Programacion[[#This Row],[DEVENGADO JULIO]]+Programacion[[#This Row],[DEVENGADO AGOSTO]]+Programacion[[#This Row],[DEVENGADO SEPTIEMBRE]]</f>
        <v>0</v>
      </c>
      <c r="AM143" s="94">
        <f>Programacion[[#This Row],[OCTUBRE]]+Programacion[[#This Row],[NOVIEMBRE]]+Programacion[[#This Row],[DICIEMBRE]]</f>
        <v>0</v>
      </c>
      <c r="AN143" s="103">
        <f>Programacion[[#This Row],[DEVENGADO OCTUBRE]]+Programacion[[#This Row],[DEVENGADO NOVIEMBRE]]+Programacion[[#This Row],[DEVENGADO DICIEMBRE]]</f>
        <v>0</v>
      </c>
      <c r="AO143" s="103">
        <f>Programacion[[#This Row],[ENERO]]+Programacion[[#This Row],[FEBRERO]]+Programacion[[#This Row],[MARZO]]+Programacion[[#This Row],[ABRIL]]+Programacion[[#This Row],[MAYO]]+Programacion[[#This Row],[JUNIO]]</f>
        <v>0</v>
      </c>
      <c r="AP143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3" s="103">
        <f>Programacion[[#This Row],[JULIO]]+Programacion[[#This Row],[AGOSTO]]+Programacion[[#This Row],[SEPTIEMBRE]]+Programacion[[#This Row],[OCTUBRE]]+Programacion[[#This Row],[NOVIEMBRE]]+Programacion[[#This Row],[DICIEMBRE]]</f>
        <v>4000.91</v>
      </c>
      <c r="AR143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3" s="123"/>
    </row>
    <row r="144" spans="1:46" x14ac:dyDescent="0.3">
      <c r="A144" s="101" t="s">
        <v>160</v>
      </c>
      <c r="B144" s="96" t="s">
        <v>174</v>
      </c>
      <c r="C144" s="97" t="s">
        <v>47</v>
      </c>
      <c r="D144" s="100" t="s">
        <v>162</v>
      </c>
      <c r="E144" s="98">
        <v>95</v>
      </c>
      <c r="F144" s="99">
        <v>2.2999999999999998</v>
      </c>
      <c r="G144" s="100" t="s">
        <v>51</v>
      </c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>
        <v>2160</v>
      </c>
      <c r="W144" s="94"/>
      <c r="X144" s="94"/>
      <c r="Y144" s="94"/>
      <c r="Z144" s="94"/>
      <c r="AA144" s="94"/>
      <c r="AB144" s="94"/>
      <c r="AC144" s="94"/>
      <c r="AD144" s="94"/>
      <c r="AE144" s="94"/>
      <c r="AF144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</v>
      </c>
      <c r="AG144" s="94">
        <f>Programacion[[#This Row],[ENERO]]+Programacion[[#This Row],[FEBRERO]]+Programacion[[#This Row],[MARZO]]</f>
        <v>0</v>
      </c>
      <c r="AH144" s="94">
        <f>Programacion[[#This Row],[DEVENGADO ENERO]]+Programacion[[#This Row],[DEVENGADO FEBRERO]]+Programacion[[#This Row],[DEVENGADO MARZO]]</f>
        <v>0</v>
      </c>
      <c r="AI144" s="94">
        <f>Programacion[[#This Row],[ABRIL]]+Programacion[[#This Row],[MAYO]]+Programacion[[#This Row],[JUNIO]]</f>
        <v>0</v>
      </c>
      <c r="AJ144" s="94">
        <f>Programacion[[#This Row],[DEVENGADO ABRIL]]+Programacion[[#This Row],[DEVENGADO MAYO]]+Programacion[[#This Row],[DEVENGADO JUNIO]]</f>
        <v>0</v>
      </c>
      <c r="AK144" s="94">
        <f>Programacion[[#This Row],[JULIO]]+Programacion[[#This Row],[AGOSTO]]+Programacion[[#This Row],[SEPTIEMBRE]]</f>
        <v>2160</v>
      </c>
      <c r="AL144" s="94">
        <f>Programacion[[#This Row],[DEVENGADO JULIO]]+Programacion[[#This Row],[DEVENGADO AGOSTO]]+Programacion[[#This Row],[DEVENGADO SEPTIEMBRE]]</f>
        <v>0</v>
      </c>
      <c r="AM144" s="94">
        <f>Programacion[[#This Row],[OCTUBRE]]+Programacion[[#This Row],[NOVIEMBRE]]+Programacion[[#This Row],[DICIEMBRE]]</f>
        <v>0</v>
      </c>
      <c r="AN144" s="94">
        <f>Programacion[[#This Row],[DEVENGADO OCTUBRE]]+Programacion[[#This Row],[DEVENGADO NOVIEMBRE]]+Programacion[[#This Row],[DEVENGADO DICIEMBRE]]</f>
        <v>0</v>
      </c>
      <c r="AO144" s="94">
        <f>Programacion[[#This Row],[ENERO]]+Programacion[[#This Row],[FEBRERO]]+Programacion[[#This Row],[MARZO]]+Programacion[[#This Row],[ABRIL]]+Programacion[[#This Row],[MAYO]]+Programacion[[#This Row],[JUNIO]]</f>
        <v>0</v>
      </c>
      <c r="AP144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94">
        <f>Programacion[[#This Row],[JULIO]]+Programacion[[#This Row],[AGOSTO]]+Programacion[[#This Row],[SEPTIEMBRE]]+Programacion[[#This Row],[OCTUBRE]]+Programacion[[#This Row],[NOVIEMBRE]]+Programacion[[#This Row],[DICIEMBRE]]</f>
        <v>2160</v>
      </c>
      <c r="AR144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4" s="123"/>
    </row>
    <row r="145" spans="1:46" x14ac:dyDescent="0.3">
      <c r="A145" s="101" t="s">
        <v>160</v>
      </c>
      <c r="B145" s="96" t="s">
        <v>175</v>
      </c>
      <c r="C145" s="97" t="s">
        <v>76</v>
      </c>
      <c r="D145" s="100" t="s">
        <v>162</v>
      </c>
      <c r="E145" s="98">
        <v>95</v>
      </c>
      <c r="F145" s="99">
        <v>2.2999999999999998</v>
      </c>
      <c r="G145" s="100" t="s">
        <v>77</v>
      </c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>
        <v>580.5</v>
      </c>
      <c r="W145" s="94"/>
      <c r="X145" s="94"/>
      <c r="Y145" s="94"/>
      <c r="Z145" s="94"/>
      <c r="AA145" s="94"/>
      <c r="AB145" s="94"/>
      <c r="AC145" s="94"/>
      <c r="AD145" s="94"/>
      <c r="AE145" s="94"/>
      <c r="AF145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580.5</v>
      </c>
      <c r="AG145" s="94">
        <f>Programacion[[#This Row],[ENERO]]+Programacion[[#This Row],[FEBRERO]]+Programacion[[#This Row],[MARZO]]</f>
        <v>0</v>
      </c>
      <c r="AH145" s="94">
        <f>Programacion[[#This Row],[DEVENGADO ENERO]]+Programacion[[#This Row],[DEVENGADO FEBRERO]]+Programacion[[#This Row],[DEVENGADO MARZO]]</f>
        <v>0</v>
      </c>
      <c r="AI145" s="94">
        <f>Programacion[[#This Row],[ABRIL]]+Programacion[[#This Row],[MAYO]]+Programacion[[#This Row],[JUNIO]]</f>
        <v>0</v>
      </c>
      <c r="AJ145" s="94">
        <f>Programacion[[#This Row],[DEVENGADO ABRIL]]+Programacion[[#This Row],[DEVENGADO MAYO]]+Programacion[[#This Row],[DEVENGADO JUNIO]]</f>
        <v>0</v>
      </c>
      <c r="AK145" s="94">
        <f>Programacion[[#This Row],[JULIO]]+Programacion[[#This Row],[AGOSTO]]+Programacion[[#This Row],[SEPTIEMBRE]]</f>
        <v>580.5</v>
      </c>
      <c r="AL145" s="94">
        <f>Programacion[[#This Row],[DEVENGADO JULIO]]+Programacion[[#This Row],[DEVENGADO AGOSTO]]+Programacion[[#This Row],[DEVENGADO SEPTIEMBRE]]</f>
        <v>0</v>
      </c>
      <c r="AM145" s="94">
        <f>Programacion[[#This Row],[OCTUBRE]]+Programacion[[#This Row],[NOVIEMBRE]]+Programacion[[#This Row],[DICIEMBRE]]</f>
        <v>0</v>
      </c>
      <c r="AN145" s="103">
        <f>Programacion[[#This Row],[DEVENGADO OCTUBRE]]+Programacion[[#This Row],[DEVENGADO NOVIEMBRE]]+Programacion[[#This Row],[DEVENGADO DICIEMBRE]]</f>
        <v>0</v>
      </c>
      <c r="AO145" s="103">
        <f>Programacion[[#This Row],[ENERO]]+Programacion[[#This Row],[FEBRERO]]+Programacion[[#This Row],[MARZO]]+Programacion[[#This Row],[ABRIL]]+Programacion[[#This Row],[MAYO]]+Programacion[[#This Row],[JUNIO]]</f>
        <v>0</v>
      </c>
      <c r="AP145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103">
        <f>Programacion[[#This Row],[JULIO]]+Programacion[[#This Row],[AGOSTO]]+Programacion[[#This Row],[SEPTIEMBRE]]+Programacion[[#This Row],[OCTUBRE]]+Programacion[[#This Row],[NOVIEMBRE]]+Programacion[[#This Row],[DICIEMBRE]]</f>
        <v>580.5</v>
      </c>
      <c r="AR145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5" s="123"/>
    </row>
    <row r="146" spans="1:46" ht="28.8" x14ac:dyDescent="0.3">
      <c r="A146" s="105" t="s">
        <v>160</v>
      </c>
      <c r="B146" s="96" t="s">
        <v>176</v>
      </c>
      <c r="C146" s="87" t="s">
        <v>58</v>
      </c>
      <c r="D146" s="87" t="s">
        <v>162</v>
      </c>
      <c r="E146" s="88">
        <v>95</v>
      </c>
      <c r="F146" s="89">
        <v>2.2999999999999998</v>
      </c>
      <c r="G146" s="87" t="s">
        <v>59</v>
      </c>
      <c r="H146" s="87"/>
      <c r="I146" s="90"/>
      <c r="J146" s="90"/>
      <c r="K146" s="90"/>
      <c r="L146" s="90">
        <v>12000</v>
      </c>
      <c r="M146" s="90">
        <v>12000</v>
      </c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1"/>
      <c r="AB146" s="106"/>
      <c r="AC146" s="106"/>
      <c r="AD146" s="106"/>
      <c r="AE146" s="106"/>
      <c r="AF14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46" s="94">
        <f>Programacion[[#This Row],[ENERO]]+Programacion[[#This Row],[FEBRERO]]+Programacion[[#This Row],[MARZO]]</f>
        <v>12000</v>
      </c>
      <c r="AH146" s="94">
        <f>Programacion[[#This Row],[DEVENGADO ENERO]]+Programacion[[#This Row],[DEVENGADO FEBRERO]]+Programacion[[#This Row],[DEVENGADO MARZO]]</f>
        <v>12000</v>
      </c>
      <c r="AI146" s="94">
        <f>Programacion[[#This Row],[ABRIL]]+Programacion[[#This Row],[MAYO]]+Programacion[[#This Row],[JUNIO]]</f>
        <v>0</v>
      </c>
      <c r="AJ146" s="94">
        <f>Programacion[[#This Row],[DEVENGADO ABRIL]]+Programacion[[#This Row],[DEVENGADO MAYO]]+Programacion[[#This Row],[DEVENGADO JUNIO]]</f>
        <v>0</v>
      </c>
      <c r="AK146" s="94">
        <f>Programacion[[#This Row],[JULIO]]+Programacion[[#This Row],[AGOSTO]]+Programacion[[#This Row],[SEPTIEMBRE]]</f>
        <v>0</v>
      </c>
      <c r="AL146" s="94">
        <f>Programacion[[#This Row],[DEVENGADO JULIO]]+Programacion[[#This Row],[DEVENGADO AGOSTO]]+Programacion[[#This Row],[DEVENGADO SEPTIEMBRE]]</f>
        <v>0</v>
      </c>
      <c r="AM146" s="94">
        <f>Programacion[[#This Row],[OCTUBRE]]+Programacion[[#This Row],[NOVIEMBRE]]+Programacion[[#This Row],[DICIEMBRE]]</f>
        <v>0</v>
      </c>
      <c r="AN146" s="95">
        <f>Programacion[[#This Row],[DEVENGADO OCTUBRE]]+Programacion[[#This Row],[DEVENGADO NOVIEMBRE]]+Programacion[[#This Row],[DEVENGADO DICIEMBRE]]</f>
        <v>0</v>
      </c>
      <c r="AO146" s="95">
        <f>Programacion[[#This Row],[ENERO]]+Programacion[[#This Row],[FEBRERO]]+Programacion[[#This Row],[MARZO]]+Programacion[[#This Row],[ABRIL]]+Programacion[[#This Row],[MAYO]]+Programacion[[#This Row],[JUNIO]]</f>
        <v>12000</v>
      </c>
      <c r="AP146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46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6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46" s="123"/>
    </row>
    <row r="147" spans="1:46" ht="28.8" x14ac:dyDescent="0.3">
      <c r="A147" s="105" t="s">
        <v>160</v>
      </c>
      <c r="B147" s="96" t="s">
        <v>177</v>
      </c>
      <c r="C147" s="97" t="s">
        <v>58</v>
      </c>
      <c r="D147" s="100" t="s">
        <v>162</v>
      </c>
      <c r="E147" s="98">
        <v>95</v>
      </c>
      <c r="F147" s="99">
        <v>2.2999999999999998</v>
      </c>
      <c r="G147" s="100" t="s">
        <v>59</v>
      </c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>
        <v>4000</v>
      </c>
      <c r="U147" s="94">
        <v>2000</v>
      </c>
      <c r="V147" s="94"/>
      <c r="W147" s="94"/>
      <c r="X147" s="94"/>
      <c r="Y147" s="94"/>
      <c r="Z147" s="94"/>
      <c r="AA147" s="94"/>
      <c r="AB147" s="94"/>
      <c r="AC147" s="94"/>
      <c r="AD147" s="94"/>
      <c r="AE147" s="94"/>
      <c r="AF147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47" s="94">
        <f>Programacion[[#This Row],[ENERO]]+Programacion[[#This Row],[FEBRERO]]+Programacion[[#This Row],[MARZO]]</f>
        <v>0</v>
      </c>
      <c r="AH147" s="94">
        <f>Programacion[[#This Row],[DEVENGADO ENERO]]+Programacion[[#This Row],[DEVENGADO FEBRERO]]+Programacion[[#This Row],[DEVENGADO MARZO]]</f>
        <v>0</v>
      </c>
      <c r="AI147" s="94">
        <f>Programacion[[#This Row],[ABRIL]]+Programacion[[#This Row],[MAYO]]+Programacion[[#This Row],[JUNIO]]</f>
        <v>0</v>
      </c>
      <c r="AJ147" s="94">
        <f>Programacion[[#This Row],[DEVENGADO ABRIL]]+Programacion[[#This Row],[DEVENGADO MAYO]]+Programacion[[#This Row],[DEVENGADO JUNIO]]</f>
        <v>0</v>
      </c>
      <c r="AK147" s="94">
        <f>Programacion[[#This Row],[JULIO]]+Programacion[[#This Row],[AGOSTO]]+Programacion[[#This Row],[SEPTIEMBRE]]</f>
        <v>4000</v>
      </c>
      <c r="AL147" s="94">
        <f>Programacion[[#This Row],[DEVENGADO JULIO]]+Programacion[[#This Row],[DEVENGADO AGOSTO]]+Programacion[[#This Row],[DEVENGADO SEPTIEMBRE]]</f>
        <v>2000</v>
      </c>
      <c r="AM147" s="94">
        <f>Programacion[[#This Row],[OCTUBRE]]+Programacion[[#This Row],[NOVIEMBRE]]+Programacion[[#This Row],[DICIEMBRE]]</f>
        <v>0</v>
      </c>
      <c r="AN147" s="94">
        <f>Programacion[[#This Row],[DEVENGADO OCTUBRE]]+Programacion[[#This Row],[DEVENGADO NOVIEMBRE]]+Programacion[[#This Row],[DEVENGADO DICIEMBRE]]</f>
        <v>0</v>
      </c>
      <c r="AO147" s="94">
        <f>Programacion[[#This Row],[ENERO]]+Programacion[[#This Row],[FEBRERO]]+Programacion[[#This Row],[MARZO]]+Programacion[[#This Row],[ABRIL]]+Programacion[[#This Row],[MAYO]]+Programacion[[#This Row],[JUNIO]]</f>
        <v>0</v>
      </c>
      <c r="AP147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94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7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47" s="123"/>
    </row>
    <row r="148" spans="1:46" x14ac:dyDescent="0.3">
      <c r="A148" s="105" t="s">
        <v>160</v>
      </c>
      <c r="B148" s="96" t="s">
        <v>178</v>
      </c>
      <c r="C148" s="87" t="s">
        <v>179</v>
      </c>
      <c r="D148" s="87" t="s">
        <v>162</v>
      </c>
      <c r="E148" s="88">
        <v>95</v>
      </c>
      <c r="F148" s="89">
        <v>2.2999999999999998</v>
      </c>
      <c r="G148" s="87" t="s">
        <v>180</v>
      </c>
      <c r="H148" s="87"/>
      <c r="I148" s="90"/>
      <c r="J148" s="90"/>
      <c r="K148" s="90"/>
      <c r="L148" s="90"/>
      <c r="M148" s="90"/>
      <c r="N148" s="90"/>
      <c r="O148" s="90"/>
      <c r="P148" s="90"/>
      <c r="Q148" s="90"/>
      <c r="R148" s="90">
        <v>600</v>
      </c>
      <c r="S148" s="90">
        <v>600</v>
      </c>
      <c r="T148" s="90"/>
      <c r="U148" s="90"/>
      <c r="V148" s="90"/>
      <c r="W148" s="90"/>
      <c r="X148" s="90"/>
      <c r="Y148" s="90"/>
      <c r="Z148" s="90"/>
      <c r="AA148" s="91"/>
      <c r="AB148" s="106"/>
      <c r="AC148" s="106"/>
      <c r="AD148" s="106"/>
      <c r="AE148" s="106"/>
      <c r="AF14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48" s="94">
        <f>Programacion[[#This Row],[ENERO]]+Programacion[[#This Row],[FEBRERO]]+Programacion[[#This Row],[MARZO]]</f>
        <v>0</v>
      </c>
      <c r="AH148" s="94">
        <f>Programacion[[#This Row],[DEVENGADO ENERO]]+Programacion[[#This Row],[DEVENGADO FEBRERO]]+Programacion[[#This Row],[DEVENGADO MARZO]]</f>
        <v>0</v>
      </c>
      <c r="AI148" s="94">
        <f>Programacion[[#This Row],[ABRIL]]+Programacion[[#This Row],[MAYO]]+Programacion[[#This Row],[JUNIO]]</f>
        <v>600</v>
      </c>
      <c r="AJ148" s="94">
        <f>Programacion[[#This Row],[DEVENGADO ABRIL]]+Programacion[[#This Row],[DEVENGADO MAYO]]+Programacion[[#This Row],[DEVENGADO JUNIO]]</f>
        <v>600</v>
      </c>
      <c r="AK148" s="94">
        <f>Programacion[[#This Row],[JULIO]]+Programacion[[#This Row],[AGOSTO]]+Programacion[[#This Row],[SEPTIEMBRE]]</f>
        <v>0</v>
      </c>
      <c r="AL148" s="94">
        <f>Programacion[[#This Row],[DEVENGADO JULIO]]+Programacion[[#This Row],[DEVENGADO AGOSTO]]+Programacion[[#This Row],[DEVENGADO SEPTIEMBRE]]</f>
        <v>0</v>
      </c>
      <c r="AM148" s="94">
        <f>Programacion[[#This Row],[OCTUBRE]]+Programacion[[#This Row],[NOVIEMBRE]]+Programacion[[#This Row],[DICIEMBRE]]</f>
        <v>0</v>
      </c>
      <c r="AN148" s="95">
        <f>Programacion[[#This Row],[DEVENGADO OCTUBRE]]+Programacion[[#This Row],[DEVENGADO NOVIEMBRE]]+Programacion[[#This Row],[DEVENGADO DICIEMBRE]]</f>
        <v>0</v>
      </c>
      <c r="AO148" s="95">
        <f>Programacion[[#This Row],[ENERO]]+Programacion[[#This Row],[FEBRERO]]+Programacion[[#This Row],[MARZO]]+Programacion[[#This Row],[ABRIL]]+Programacion[[#This Row],[MAYO]]+Programacion[[#This Row],[JUNIO]]</f>
        <v>600</v>
      </c>
      <c r="AP148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48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8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48" s="123"/>
    </row>
    <row r="149" spans="1:46" x14ac:dyDescent="0.3">
      <c r="A149" s="105" t="s">
        <v>160</v>
      </c>
      <c r="B149" s="96" t="s">
        <v>181</v>
      </c>
      <c r="C149" s="87" t="s">
        <v>76</v>
      </c>
      <c r="D149" s="87" t="s">
        <v>162</v>
      </c>
      <c r="E149" s="88">
        <v>95</v>
      </c>
      <c r="F149" s="89">
        <v>2.2999999999999998</v>
      </c>
      <c r="G149" s="87" t="s">
        <v>77</v>
      </c>
      <c r="H149" s="87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>
        <v>900</v>
      </c>
      <c r="U149" s="90">
        <v>900</v>
      </c>
      <c r="V149" s="90"/>
      <c r="W149" s="90"/>
      <c r="X149" s="90"/>
      <c r="Y149" s="90"/>
      <c r="Z149" s="90"/>
      <c r="AA149" s="91"/>
      <c r="AB149" s="106"/>
      <c r="AC149" s="106"/>
      <c r="AD149" s="106"/>
      <c r="AE149" s="106"/>
      <c r="AF14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49" s="94">
        <f>Programacion[[#This Row],[ENERO]]+Programacion[[#This Row],[FEBRERO]]+Programacion[[#This Row],[MARZO]]</f>
        <v>0</v>
      </c>
      <c r="AH149" s="94">
        <f>Programacion[[#This Row],[DEVENGADO ENERO]]+Programacion[[#This Row],[DEVENGADO FEBRERO]]+Programacion[[#This Row],[DEVENGADO MARZO]]</f>
        <v>0</v>
      </c>
      <c r="AI149" s="94">
        <f>Programacion[[#This Row],[ABRIL]]+Programacion[[#This Row],[MAYO]]+Programacion[[#This Row],[JUNIO]]</f>
        <v>0</v>
      </c>
      <c r="AJ149" s="94">
        <f>Programacion[[#This Row],[DEVENGADO ABRIL]]+Programacion[[#This Row],[DEVENGADO MAYO]]+Programacion[[#This Row],[DEVENGADO JUNIO]]</f>
        <v>0</v>
      </c>
      <c r="AK149" s="94">
        <f>Programacion[[#This Row],[JULIO]]+Programacion[[#This Row],[AGOSTO]]+Programacion[[#This Row],[SEPTIEMBRE]]</f>
        <v>900</v>
      </c>
      <c r="AL149" s="94">
        <f>Programacion[[#This Row],[DEVENGADO JULIO]]+Programacion[[#This Row],[DEVENGADO AGOSTO]]+Programacion[[#This Row],[DEVENGADO SEPTIEMBRE]]</f>
        <v>900</v>
      </c>
      <c r="AM149" s="94">
        <f>Programacion[[#This Row],[OCTUBRE]]+Programacion[[#This Row],[NOVIEMBRE]]+Programacion[[#This Row],[DICIEMBRE]]</f>
        <v>0</v>
      </c>
      <c r="AN149" s="95">
        <f>Programacion[[#This Row],[DEVENGADO OCTUBRE]]+Programacion[[#This Row],[DEVENGADO NOVIEMBRE]]+Programacion[[#This Row],[DEVENGADO DICIEMBRE]]</f>
        <v>0</v>
      </c>
      <c r="AO149" s="95">
        <f>Programacion[[#This Row],[ENERO]]+Programacion[[#This Row],[FEBRERO]]+Programacion[[#This Row],[MARZO]]+Programacion[[#This Row],[ABRIL]]+Programacion[[#This Row],[MAYO]]+Programacion[[#This Row],[JUNIO]]</f>
        <v>0</v>
      </c>
      <c r="AP14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95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4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49" s="123"/>
    </row>
    <row r="150" spans="1:46" x14ac:dyDescent="0.3">
      <c r="A150" s="105" t="s">
        <v>160</v>
      </c>
      <c r="B150" s="96" t="s">
        <v>182</v>
      </c>
      <c r="C150" s="87" t="s">
        <v>58</v>
      </c>
      <c r="D150" s="87" t="s">
        <v>162</v>
      </c>
      <c r="E150" s="88">
        <v>95</v>
      </c>
      <c r="F150" s="89">
        <v>2.2999999999999998</v>
      </c>
      <c r="G150" s="87" t="s">
        <v>59</v>
      </c>
      <c r="H150" s="87"/>
      <c r="I150" s="90"/>
      <c r="J150" s="90"/>
      <c r="K150" s="90"/>
      <c r="L150" s="90"/>
      <c r="M150" s="90"/>
      <c r="N150" s="90">
        <v>5000</v>
      </c>
      <c r="O150" s="90">
        <v>5000</v>
      </c>
      <c r="P150" s="90">
        <v>5000</v>
      </c>
      <c r="Q150" s="90">
        <v>5000</v>
      </c>
      <c r="R150" s="90"/>
      <c r="S150" s="90"/>
      <c r="T150" s="90"/>
      <c r="U150" s="90"/>
      <c r="V150" s="90"/>
      <c r="W150" s="90"/>
      <c r="X150" s="90"/>
      <c r="Y150" s="90"/>
      <c r="Z150" s="90"/>
      <c r="AA150" s="91"/>
      <c r="AB150" s="106"/>
      <c r="AC150" s="106"/>
      <c r="AD150" s="106"/>
      <c r="AE150" s="106"/>
      <c r="AF15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50" s="94">
        <f>Programacion[[#This Row],[ENERO]]+Programacion[[#This Row],[FEBRERO]]+Programacion[[#This Row],[MARZO]]</f>
        <v>0</v>
      </c>
      <c r="AH150" s="94">
        <f>Programacion[[#This Row],[DEVENGADO ENERO]]+Programacion[[#This Row],[DEVENGADO FEBRERO]]+Programacion[[#This Row],[DEVENGADO MARZO]]</f>
        <v>0</v>
      </c>
      <c r="AI150" s="94">
        <f>Programacion[[#This Row],[ABRIL]]+Programacion[[#This Row],[MAYO]]+Programacion[[#This Row],[JUNIO]]</f>
        <v>10000</v>
      </c>
      <c r="AJ150" s="94">
        <f>Programacion[[#This Row],[DEVENGADO ABRIL]]+Programacion[[#This Row],[DEVENGADO MAYO]]+Programacion[[#This Row],[DEVENGADO JUNIO]]</f>
        <v>10000</v>
      </c>
      <c r="AK150" s="94">
        <f>Programacion[[#This Row],[JULIO]]+Programacion[[#This Row],[AGOSTO]]+Programacion[[#This Row],[SEPTIEMBRE]]</f>
        <v>0</v>
      </c>
      <c r="AL150" s="94">
        <f>Programacion[[#This Row],[DEVENGADO JULIO]]+Programacion[[#This Row],[DEVENGADO AGOSTO]]+Programacion[[#This Row],[DEVENGADO SEPTIEMBRE]]</f>
        <v>0</v>
      </c>
      <c r="AM150" s="94">
        <f>Programacion[[#This Row],[OCTUBRE]]+Programacion[[#This Row],[NOVIEMBRE]]+Programacion[[#This Row],[DICIEMBRE]]</f>
        <v>0</v>
      </c>
      <c r="AN150" s="95">
        <f>Programacion[[#This Row],[DEVENGADO OCTUBRE]]+Programacion[[#This Row],[DEVENGADO NOVIEMBRE]]+Programacion[[#This Row],[DEVENGADO DICIEMBRE]]</f>
        <v>0</v>
      </c>
      <c r="AO150" s="95">
        <f>Programacion[[#This Row],[ENERO]]+Programacion[[#This Row],[FEBRERO]]+Programacion[[#This Row],[MARZO]]+Programacion[[#This Row],[ABRIL]]+Programacion[[#This Row],[MAYO]]+Programacion[[#This Row],[JUNIO]]</f>
        <v>10000</v>
      </c>
      <c r="AP15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5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50" s="123"/>
    </row>
    <row r="151" spans="1:46" ht="43.2" x14ac:dyDescent="0.3">
      <c r="A151" s="105" t="s">
        <v>160</v>
      </c>
      <c r="B151" s="96" t="s">
        <v>183</v>
      </c>
      <c r="C151" s="97" t="s">
        <v>58</v>
      </c>
      <c r="D151" s="87" t="s">
        <v>162</v>
      </c>
      <c r="E151" s="98">
        <v>95</v>
      </c>
      <c r="F151" s="99">
        <v>2.2999999999999998</v>
      </c>
      <c r="G151" s="100" t="s">
        <v>59</v>
      </c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>
        <v>6000</v>
      </c>
      <c r="Y151" s="94"/>
      <c r="Z151" s="94">
        <v>6000</v>
      </c>
      <c r="AA151" s="94"/>
      <c r="AB151" s="94"/>
      <c r="AC151" s="94"/>
      <c r="AD151" s="94"/>
      <c r="AE151" s="94"/>
      <c r="AF15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51" s="94">
        <f>Programacion[[#This Row],[ENERO]]+Programacion[[#This Row],[FEBRERO]]+Programacion[[#This Row],[MARZO]]</f>
        <v>0</v>
      </c>
      <c r="AH151" s="94">
        <f>Programacion[[#This Row],[DEVENGADO ENERO]]+Programacion[[#This Row],[DEVENGADO FEBRERO]]+Programacion[[#This Row],[DEVENGADO MARZO]]</f>
        <v>0</v>
      </c>
      <c r="AI151" s="94">
        <f>Programacion[[#This Row],[ABRIL]]+Programacion[[#This Row],[MAYO]]+Programacion[[#This Row],[JUNIO]]</f>
        <v>0</v>
      </c>
      <c r="AJ151" s="94">
        <f>Programacion[[#This Row],[DEVENGADO ABRIL]]+Programacion[[#This Row],[DEVENGADO MAYO]]+Programacion[[#This Row],[DEVENGADO JUNIO]]</f>
        <v>0</v>
      </c>
      <c r="AK151" s="94">
        <f>Programacion[[#This Row],[JULIO]]+Programacion[[#This Row],[AGOSTO]]+Programacion[[#This Row],[SEPTIEMBRE]]</f>
        <v>6000</v>
      </c>
      <c r="AL151" s="94">
        <f>Programacion[[#This Row],[DEVENGADO JULIO]]+Programacion[[#This Row],[DEVENGADO AGOSTO]]+Programacion[[#This Row],[DEVENGADO SEPTIEMBRE]]</f>
        <v>0</v>
      </c>
      <c r="AM151" s="94">
        <f>Programacion[[#This Row],[OCTUBRE]]+Programacion[[#This Row],[NOVIEMBRE]]+Programacion[[#This Row],[DICIEMBRE]]</f>
        <v>6000</v>
      </c>
      <c r="AN151" s="103">
        <f>Programacion[[#This Row],[DEVENGADO OCTUBRE]]+Programacion[[#This Row],[DEVENGADO NOVIEMBRE]]+Programacion[[#This Row],[DEVENGADO DICIEMBRE]]</f>
        <v>0</v>
      </c>
      <c r="AO151" s="103">
        <f>Programacion[[#This Row],[ENERO]]+Programacion[[#This Row],[FEBRERO]]+Programacion[[#This Row],[MARZO]]+Programacion[[#This Row],[ABRIL]]+Programacion[[#This Row],[MAYO]]+Programacion[[#This Row],[JUNIO]]</f>
        <v>0</v>
      </c>
      <c r="AP15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0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5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1" s="123"/>
    </row>
    <row r="152" spans="1:46" x14ac:dyDescent="0.3">
      <c r="A152" s="105" t="s">
        <v>160</v>
      </c>
      <c r="B152" s="96" t="s">
        <v>184</v>
      </c>
      <c r="C152" s="87" t="s">
        <v>185</v>
      </c>
      <c r="D152" s="87" t="s">
        <v>162</v>
      </c>
      <c r="E152" s="88">
        <v>95</v>
      </c>
      <c r="F152" s="89">
        <v>2.2999999999999998</v>
      </c>
      <c r="G152" s="87" t="s">
        <v>186</v>
      </c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>
        <v>35</v>
      </c>
      <c r="S152" s="94">
        <v>35</v>
      </c>
      <c r="T152" s="94"/>
      <c r="U152" s="94"/>
      <c r="V152" s="94"/>
      <c r="W152" s="94"/>
      <c r="X152" s="94"/>
      <c r="Y152" s="94"/>
      <c r="Z152" s="94"/>
      <c r="AA152" s="94"/>
      <c r="AB152" s="94"/>
      <c r="AC152" s="94"/>
      <c r="AD152" s="94"/>
      <c r="AE152" s="94"/>
      <c r="AF152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52" s="94">
        <f>Programacion[[#This Row],[ENERO]]+Programacion[[#This Row],[FEBRERO]]+Programacion[[#This Row],[MARZO]]</f>
        <v>0</v>
      </c>
      <c r="AH152" s="94">
        <f>Programacion[[#This Row],[DEVENGADO ENERO]]+Programacion[[#This Row],[DEVENGADO FEBRERO]]+Programacion[[#This Row],[DEVENGADO MARZO]]</f>
        <v>0</v>
      </c>
      <c r="AI152" s="94">
        <f>Programacion[[#This Row],[ABRIL]]+Programacion[[#This Row],[MAYO]]+Programacion[[#This Row],[JUNIO]]</f>
        <v>35</v>
      </c>
      <c r="AJ152" s="94">
        <f>Programacion[[#This Row],[DEVENGADO ABRIL]]+Programacion[[#This Row],[DEVENGADO MAYO]]+Programacion[[#This Row],[DEVENGADO JUNIO]]</f>
        <v>35</v>
      </c>
      <c r="AK152" s="94">
        <f>Programacion[[#This Row],[JULIO]]+Programacion[[#This Row],[AGOSTO]]+Programacion[[#This Row],[SEPTIEMBRE]]</f>
        <v>0</v>
      </c>
      <c r="AL152" s="94">
        <f>Programacion[[#This Row],[DEVENGADO JULIO]]+Programacion[[#This Row],[DEVENGADO AGOSTO]]+Programacion[[#This Row],[DEVENGADO SEPTIEMBRE]]</f>
        <v>0</v>
      </c>
      <c r="AM152" s="94">
        <f>Programacion[[#This Row],[OCTUBRE]]+Programacion[[#This Row],[NOVIEMBRE]]+Programacion[[#This Row],[DICIEMBRE]]</f>
        <v>0</v>
      </c>
      <c r="AN152" s="95">
        <f>Programacion[[#This Row],[DEVENGADO OCTUBRE]]+Programacion[[#This Row],[DEVENGADO NOVIEMBRE]]+Programacion[[#This Row],[DEVENGADO DICIEMBRE]]</f>
        <v>0</v>
      </c>
      <c r="AO152" s="95">
        <f>Programacion[[#This Row],[ENERO]]+Programacion[[#This Row],[FEBRERO]]+Programacion[[#This Row],[MARZO]]+Programacion[[#This Row],[ABRIL]]+Programacion[[#This Row],[MAYO]]+Programacion[[#This Row],[JUNIO]]</f>
        <v>35</v>
      </c>
      <c r="AP15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52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52" s="123"/>
    </row>
    <row r="153" spans="1:46" x14ac:dyDescent="0.3">
      <c r="A153" s="105" t="s">
        <v>160</v>
      </c>
      <c r="B153" s="96" t="s">
        <v>187</v>
      </c>
      <c r="C153" s="87" t="s">
        <v>58</v>
      </c>
      <c r="D153" s="87" t="s">
        <v>162</v>
      </c>
      <c r="E153" s="88">
        <v>95</v>
      </c>
      <c r="F153" s="89">
        <v>2.2999999999999998</v>
      </c>
      <c r="G153" s="87" t="s">
        <v>59</v>
      </c>
      <c r="H153" s="87"/>
      <c r="I153" s="90"/>
      <c r="J153" s="90"/>
      <c r="K153" s="90"/>
      <c r="L153" s="90">
        <v>2800</v>
      </c>
      <c r="M153" s="90">
        <v>2800</v>
      </c>
      <c r="N153" s="90"/>
      <c r="O153" s="90"/>
      <c r="P153" s="90">
        <v>4200</v>
      </c>
      <c r="Q153" s="90">
        <v>4200</v>
      </c>
      <c r="R153" s="90"/>
      <c r="S153" s="90"/>
      <c r="T153" s="90"/>
      <c r="U153" s="90"/>
      <c r="V153" s="90"/>
      <c r="W153" s="90"/>
      <c r="X153" s="90"/>
      <c r="Y153" s="90"/>
      <c r="Z153" s="90"/>
      <c r="AA153" s="91"/>
      <c r="AB153" s="106"/>
      <c r="AC153" s="106"/>
      <c r="AD153" s="106"/>
      <c r="AE153" s="106"/>
      <c r="AF15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3" s="94">
        <f>Programacion[[#This Row],[ENERO]]+Programacion[[#This Row],[FEBRERO]]+Programacion[[#This Row],[MARZO]]</f>
        <v>2800</v>
      </c>
      <c r="AH153" s="94">
        <f>Programacion[[#This Row],[DEVENGADO ENERO]]+Programacion[[#This Row],[DEVENGADO FEBRERO]]+Programacion[[#This Row],[DEVENGADO MARZO]]</f>
        <v>2800</v>
      </c>
      <c r="AI153" s="94">
        <f>Programacion[[#This Row],[ABRIL]]+Programacion[[#This Row],[MAYO]]+Programacion[[#This Row],[JUNIO]]</f>
        <v>4200</v>
      </c>
      <c r="AJ153" s="94">
        <f>Programacion[[#This Row],[DEVENGADO ABRIL]]+Programacion[[#This Row],[DEVENGADO MAYO]]+Programacion[[#This Row],[DEVENGADO JUNIO]]</f>
        <v>4200</v>
      </c>
      <c r="AK153" s="94">
        <f>Programacion[[#This Row],[JULIO]]+Programacion[[#This Row],[AGOSTO]]+Programacion[[#This Row],[SEPTIEMBRE]]</f>
        <v>0</v>
      </c>
      <c r="AL153" s="94">
        <f>Programacion[[#This Row],[DEVENGADO JULIO]]+Programacion[[#This Row],[DEVENGADO AGOSTO]]+Programacion[[#This Row],[DEVENGADO SEPTIEMBRE]]</f>
        <v>0</v>
      </c>
      <c r="AM153" s="94">
        <f>Programacion[[#This Row],[OCTUBRE]]+Programacion[[#This Row],[NOVIEMBRE]]+Programacion[[#This Row],[DICIEMBRE]]</f>
        <v>0</v>
      </c>
      <c r="AN153" s="95">
        <f>Programacion[[#This Row],[DEVENGADO OCTUBRE]]+Programacion[[#This Row],[DEVENGADO NOVIEMBRE]]+Programacion[[#This Row],[DEVENGADO DICIEMBRE]]</f>
        <v>0</v>
      </c>
      <c r="AO153" s="95">
        <f>Programacion[[#This Row],[ENERO]]+Programacion[[#This Row],[FEBRERO]]+Programacion[[#This Row],[MARZO]]+Programacion[[#This Row],[ABRIL]]+Programacion[[#This Row],[MAYO]]+Programacion[[#This Row],[JUNIO]]</f>
        <v>7000</v>
      </c>
      <c r="AP15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5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53" s="123"/>
    </row>
    <row r="154" spans="1:46" ht="28.8" x14ac:dyDescent="0.3">
      <c r="A154" s="105" t="s">
        <v>160</v>
      </c>
      <c r="B154" s="96" t="s">
        <v>188</v>
      </c>
      <c r="C154" s="87" t="s">
        <v>58</v>
      </c>
      <c r="D154" s="87" t="s">
        <v>162</v>
      </c>
      <c r="E154" s="88">
        <v>96</v>
      </c>
      <c r="F154" s="89">
        <v>2.2999999999999998</v>
      </c>
      <c r="G154" s="87" t="s">
        <v>59</v>
      </c>
      <c r="H154" s="87">
        <v>10500</v>
      </c>
      <c r="I154" s="90">
        <v>10500</v>
      </c>
      <c r="J154" s="90"/>
      <c r="K154" s="90"/>
      <c r="L154" s="90">
        <v>10500</v>
      </c>
      <c r="M154" s="90">
        <v>10500</v>
      </c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1"/>
      <c r="AB154" s="106"/>
      <c r="AC154" s="106"/>
      <c r="AD154" s="106"/>
      <c r="AE154" s="106"/>
      <c r="AF15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54" s="94">
        <f>Programacion[[#This Row],[ENERO]]+Programacion[[#This Row],[FEBRERO]]+Programacion[[#This Row],[MARZO]]</f>
        <v>21000</v>
      </c>
      <c r="AH154" s="94">
        <f>Programacion[[#This Row],[DEVENGADO ENERO]]+Programacion[[#This Row],[DEVENGADO FEBRERO]]+Programacion[[#This Row],[DEVENGADO MARZO]]</f>
        <v>21000</v>
      </c>
      <c r="AI154" s="94">
        <f>Programacion[[#This Row],[ABRIL]]+Programacion[[#This Row],[MAYO]]+Programacion[[#This Row],[JUNIO]]</f>
        <v>0</v>
      </c>
      <c r="AJ154" s="94">
        <f>Programacion[[#This Row],[DEVENGADO ABRIL]]+Programacion[[#This Row],[DEVENGADO MAYO]]+Programacion[[#This Row],[DEVENGADO JUNIO]]</f>
        <v>0</v>
      </c>
      <c r="AK154" s="94">
        <f>Programacion[[#This Row],[JULIO]]+Programacion[[#This Row],[AGOSTO]]+Programacion[[#This Row],[SEPTIEMBRE]]</f>
        <v>0</v>
      </c>
      <c r="AL154" s="94">
        <f>Programacion[[#This Row],[DEVENGADO JULIO]]+Programacion[[#This Row],[DEVENGADO AGOSTO]]+Programacion[[#This Row],[DEVENGADO SEPTIEMBRE]]</f>
        <v>0</v>
      </c>
      <c r="AM154" s="94">
        <f>Programacion[[#This Row],[OCTUBRE]]+Programacion[[#This Row],[NOVIEMBRE]]+Programacion[[#This Row],[DICIEMBRE]]</f>
        <v>0</v>
      </c>
      <c r="AN154" s="95">
        <f>Programacion[[#This Row],[DEVENGADO OCTUBRE]]+Programacion[[#This Row],[DEVENGADO NOVIEMBRE]]+Programacion[[#This Row],[DEVENGADO DICIEMBRE]]</f>
        <v>0</v>
      </c>
      <c r="AO154" s="95">
        <f>Programacion[[#This Row],[ENERO]]+Programacion[[#This Row],[FEBRERO]]+Programacion[[#This Row],[MARZO]]+Programacion[[#This Row],[ABRIL]]+Programacion[[#This Row],[MAYO]]+Programacion[[#This Row],[JUNIO]]</f>
        <v>21000</v>
      </c>
      <c r="AP154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54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4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54" s="123"/>
    </row>
    <row r="155" spans="1:46" ht="28.8" x14ac:dyDescent="0.3">
      <c r="A155" s="105" t="s">
        <v>160</v>
      </c>
      <c r="B155" s="96" t="s">
        <v>189</v>
      </c>
      <c r="C155" s="87" t="s">
        <v>58</v>
      </c>
      <c r="D155" s="87" t="s">
        <v>162</v>
      </c>
      <c r="E155" s="88">
        <v>96</v>
      </c>
      <c r="F155" s="89">
        <v>2.2999999999999998</v>
      </c>
      <c r="G155" s="87" t="s">
        <v>59</v>
      </c>
      <c r="H155" s="87"/>
      <c r="I155" s="90"/>
      <c r="J155" s="90"/>
      <c r="K155" s="90"/>
      <c r="L155" s="90">
        <v>10800</v>
      </c>
      <c r="M155" s="90">
        <v>10800</v>
      </c>
      <c r="N155" s="90">
        <v>10800</v>
      </c>
      <c r="O155" s="90">
        <v>10800</v>
      </c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1"/>
      <c r="AB155" s="106"/>
      <c r="AC155" s="106"/>
      <c r="AD155" s="106"/>
      <c r="AE155" s="106"/>
      <c r="AF15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55" s="94">
        <f>Programacion[[#This Row],[ENERO]]+Programacion[[#This Row],[FEBRERO]]+Programacion[[#This Row],[MARZO]]</f>
        <v>10800</v>
      </c>
      <c r="AH155" s="94">
        <f>Programacion[[#This Row],[DEVENGADO ENERO]]+Programacion[[#This Row],[DEVENGADO FEBRERO]]+Programacion[[#This Row],[DEVENGADO MARZO]]</f>
        <v>10800</v>
      </c>
      <c r="AI155" s="94">
        <f>Programacion[[#This Row],[ABRIL]]+Programacion[[#This Row],[MAYO]]+Programacion[[#This Row],[JUNIO]]</f>
        <v>10800</v>
      </c>
      <c r="AJ155" s="94">
        <f>Programacion[[#This Row],[DEVENGADO ABRIL]]+Programacion[[#This Row],[DEVENGADO MAYO]]+Programacion[[#This Row],[DEVENGADO JUNIO]]</f>
        <v>10800</v>
      </c>
      <c r="AK155" s="94">
        <f>Programacion[[#This Row],[JULIO]]+Programacion[[#This Row],[AGOSTO]]+Programacion[[#This Row],[SEPTIEMBRE]]</f>
        <v>0</v>
      </c>
      <c r="AL155" s="94">
        <f>Programacion[[#This Row],[DEVENGADO JULIO]]+Programacion[[#This Row],[DEVENGADO AGOSTO]]+Programacion[[#This Row],[DEVENGADO SEPTIEMBRE]]</f>
        <v>0</v>
      </c>
      <c r="AM155" s="94">
        <f>Programacion[[#This Row],[OCTUBRE]]+Programacion[[#This Row],[NOVIEMBRE]]+Programacion[[#This Row],[DICIEMBRE]]</f>
        <v>0</v>
      </c>
      <c r="AN155" s="95">
        <f>Programacion[[#This Row],[DEVENGADO OCTUBRE]]+Programacion[[#This Row],[DEVENGADO NOVIEMBRE]]+Programacion[[#This Row],[DEVENGADO DICIEMBRE]]</f>
        <v>0</v>
      </c>
      <c r="AO155" s="95">
        <f>Programacion[[#This Row],[ENERO]]+Programacion[[#This Row],[FEBRERO]]+Programacion[[#This Row],[MARZO]]+Programacion[[#This Row],[ABRIL]]+Programacion[[#This Row],[MAYO]]+Programacion[[#This Row],[JUNIO]]</f>
        <v>21600</v>
      </c>
      <c r="AP155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55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5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55" s="123"/>
    </row>
    <row r="156" spans="1:46" ht="28.8" x14ac:dyDescent="0.3">
      <c r="A156" s="101" t="s">
        <v>160</v>
      </c>
      <c r="B156" s="96" t="s">
        <v>188</v>
      </c>
      <c r="C156" s="97" t="s">
        <v>58</v>
      </c>
      <c r="D156" s="100" t="s">
        <v>162</v>
      </c>
      <c r="E156" s="98">
        <v>96</v>
      </c>
      <c r="F156" s="99">
        <v>2.2999999999999998</v>
      </c>
      <c r="G156" s="87" t="s">
        <v>59</v>
      </c>
      <c r="H156" s="94"/>
      <c r="I156" s="94"/>
      <c r="J156" s="94"/>
      <c r="K156" s="94"/>
      <c r="L156" s="94"/>
      <c r="M156" s="94"/>
      <c r="N156" s="94"/>
      <c r="O156" s="94"/>
      <c r="P156" s="94">
        <v>10800</v>
      </c>
      <c r="Q156" s="94">
        <v>10800</v>
      </c>
      <c r="R156" s="94">
        <v>10800</v>
      </c>
      <c r="S156" s="94">
        <v>10800</v>
      </c>
      <c r="T156" s="94">
        <v>10800</v>
      </c>
      <c r="U156" s="94">
        <v>10800</v>
      </c>
      <c r="V156" s="94">
        <v>10800</v>
      </c>
      <c r="W156" s="94"/>
      <c r="X156" s="94"/>
      <c r="Y156" s="94"/>
      <c r="Z156" s="94"/>
      <c r="AA156" s="94"/>
      <c r="AB156" s="94"/>
      <c r="AC156" s="94"/>
      <c r="AD156" s="94"/>
      <c r="AE156" s="94"/>
      <c r="AF15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56" s="94">
        <f>Programacion[[#This Row],[ENERO]]+Programacion[[#This Row],[FEBRERO]]+Programacion[[#This Row],[MARZO]]</f>
        <v>0</v>
      </c>
      <c r="AH156" s="94">
        <f>Programacion[[#This Row],[DEVENGADO ENERO]]+Programacion[[#This Row],[DEVENGADO FEBRERO]]+Programacion[[#This Row],[DEVENGADO MARZO]]</f>
        <v>0</v>
      </c>
      <c r="AI156" s="94">
        <f>Programacion[[#This Row],[ABRIL]]+Programacion[[#This Row],[MAYO]]+Programacion[[#This Row],[JUNIO]]</f>
        <v>21600</v>
      </c>
      <c r="AJ156" s="94">
        <f>Programacion[[#This Row],[DEVENGADO ABRIL]]+Programacion[[#This Row],[DEVENGADO MAYO]]+Programacion[[#This Row],[DEVENGADO JUNIO]]</f>
        <v>21600</v>
      </c>
      <c r="AK156" s="94">
        <f>Programacion[[#This Row],[JULIO]]+Programacion[[#This Row],[AGOSTO]]+Programacion[[#This Row],[SEPTIEMBRE]]</f>
        <v>21600</v>
      </c>
      <c r="AL156" s="94">
        <f>Programacion[[#This Row],[DEVENGADO JULIO]]+Programacion[[#This Row],[DEVENGADO AGOSTO]]+Programacion[[#This Row],[DEVENGADO SEPTIEMBRE]]</f>
        <v>10800</v>
      </c>
      <c r="AM156" s="94">
        <f>Programacion[[#This Row],[OCTUBRE]]+Programacion[[#This Row],[NOVIEMBRE]]+Programacion[[#This Row],[DICIEMBRE]]</f>
        <v>0</v>
      </c>
      <c r="AN156" s="103">
        <f>Programacion[[#This Row],[DEVENGADO OCTUBRE]]+Programacion[[#This Row],[DEVENGADO NOVIEMBRE]]+Programacion[[#This Row],[DEVENGADO DICIEMBRE]]</f>
        <v>0</v>
      </c>
      <c r="AO156" s="103">
        <f>Programacion[[#This Row],[ENERO]]+Programacion[[#This Row],[FEBRERO]]+Programacion[[#This Row],[MARZO]]+Programacion[[#This Row],[ABRIL]]+Programacion[[#This Row],[MAYO]]+Programacion[[#This Row],[JUNIO]]</f>
        <v>21600</v>
      </c>
      <c r="AP15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56" s="103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5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10800</v>
      </c>
      <c r="AS15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32400</v>
      </c>
      <c r="AT156" s="123"/>
    </row>
    <row r="157" spans="1:46" ht="28.8" x14ac:dyDescent="0.3">
      <c r="A157" s="101" t="s">
        <v>160</v>
      </c>
      <c r="B157" s="96" t="s">
        <v>190</v>
      </c>
      <c r="C157" s="97" t="s">
        <v>58</v>
      </c>
      <c r="D157" s="100" t="s">
        <v>162</v>
      </c>
      <c r="E157" s="98">
        <v>96</v>
      </c>
      <c r="F157" s="99">
        <v>2.2999999999999998</v>
      </c>
      <c r="G157" s="87" t="s">
        <v>59</v>
      </c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>
        <v>10800</v>
      </c>
      <c r="Y157" s="94"/>
      <c r="Z157" s="94">
        <v>10800</v>
      </c>
      <c r="AA157" s="94"/>
      <c r="AB157" s="94"/>
      <c r="AC157" s="94"/>
      <c r="AD157" s="94"/>
      <c r="AE157" s="94"/>
      <c r="AF157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57" s="94">
        <f>Programacion[[#This Row],[ENERO]]+Programacion[[#This Row],[FEBRERO]]+Programacion[[#This Row],[MARZO]]</f>
        <v>0</v>
      </c>
      <c r="AH157" s="94">
        <f>Programacion[[#This Row],[DEVENGADO ENERO]]+Programacion[[#This Row],[DEVENGADO FEBRERO]]+Programacion[[#This Row],[DEVENGADO MARZO]]</f>
        <v>0</v>
      </c>
      <c r="AI157" s="94">
        <f>Programacion[[#This Row],[ABRIL]]+Programacion[[#This Row],[MAYO]]+Programacion[[#This Row],[JUNIO]]</f>
        <v>0</v>
      </c>
      <c r="AJ157" s="94">
        <f>Programacion[[#This Row],[DEVENGADO ABRIL]]+Programacion[[#This Row],[DEVENGADO MAYO]]+Programacion[[#This Row],[DEVENGADO JUNIO]]</f>
        <v>0</v>
      </c>
      <c r="AK157" s="94">
        <f>Programacion[[#This Row],[JULIO]]+Programacion[[#This Row],[AGOSTO]]+Programacion[[#This Row],[SEPTIEMBRE]]</f>
        <v>10800</v>
      </c>
      <c r="AL157" s="94">
        <f>Programacion[[#This Row],[DEVENGADO JULIO]]+Programacion[[#This Row],[DEVENGADO AGOSTO]]+Programacion[[#This Row],[DEVENGADO SEPTIEMBRE]]</f>
        <v>0</v>
      </c>
      <c r="AM157" s="94">
        <f>Programacion[[#This Row],[OCTUBRE]]+Programacion[[#This Row],[NOVIEMBRE]]+Programacion[[#This Row],[DICIEMBRE]]</f>
        <v>10800</v>
      </c>
      <c r="AN157" s="103">
        <f>Programacion[[#This Row],[DEVENGADO OCTUBRE]]+Programacion[[#This Row],[DEVENGADO NOVIEMBRE]]+Programacion[[#This Row],[DEVENGADO DICIEMBRE]]</f>
        <v>0</v>
      </c>
      <c r="AO157" s="103">
        <f>Programacion[[#This Row],[ENERO]]+Programacion[[#This Row],[FEBRERO]]+Programacion[[#This Row],[MARZO]]+Programacion[[#This Row],[ABRIL]]+Programacion[[#This Row],[MAYO]]+Programacion[[#This Row],[JUNIO]]</f>
        <v>0</v>
      </c>
      <c r="AP157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03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57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23"/>
    </row>
    <row r="158" spans="1:46" x14ac:dyDescent="0.3">
      <c r="A158" s="101" t="s">
        <v>160</v>
      </c>
      <c r="B158" s="96" t="s">
        <v>191</v>
      </c>
      <c r="C158" s="97" t="s">
        <v>58</v>
      </c>
      <c r="D158" s="100" t="s">
        <v>162</v>
      </c>
      <c r="E158" s="98">
        <v>96</v>
      </c>
      <c r="F158" s="99">
        <v>2.2999999999999998</v>
      </c>
      <c r="G158" s="87" t="s">
        <v>59</v>
      </c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>
        <v>5000</v>
      </c>
      <c r="S158" s="94">
        <v>5000</v>
      </c>
      <c r="T158" s="94">
        <v>5000</v>
      </c>
      <c r="U158" s="94">
        <v>5000</v>
      </c>
      <c r="V158" s="94">
        <v>5000</v>
      </c>
      <c r="W158" s="94"/>
      <c r="X158" s="94"/>
      <c r="Y158" s="94"/>
      <c r="Z158" s="94"/>
      <c r="AA158" s="94"/>
      <c r="AB158" s="94"/>
      <c r="AC158" s="94"/>
      <c r="AD158" s="94"/>
      <c r="AE158" s="94"/>
      <c r="AF158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58" s="94">
        <f>Programacion[[#This Row],[ENERO]]+Programacion[[#This Row],[FEBRERO]]+Programacion[[#This Row],[MARZO]]</f>
        <v>0</v>
      </c>
      <c r="AH158" s="94">
        <f>Programacion[[#This Row],[DEVENGADO ENERO]]+Programacion[[#This Row],[DEVENGADO FEBRERO]]+Programacion[[#This Row],[DEVENGADO MARZO]]</f>
        <v>0</v>
      </c>
      <c r="AI158" s="94">
        <f>Programacion[[#This Row],[ABRIL]]+Programacion[[#This Row],[MAYO]]+Programacion[[#This Row],[JUNIO]]</f>
        <v>5000</v>
      </c>
      <c r="AJ158" s="94">
        <f>Programacion[[#This Row],[DEVENGADO ABRIL]]+Programacion[[#This Row],[DEVENGADO MAYO]]+Programacion[[#This Row],[DEVENGADO JUNIO]]</f>
        <v>5000</v>
      </c>
      <c r="AK158" s="94">
        <f>Programacion[[#This Row],[JULIO]]+Programacion[[#This Row],[AGOSTO]]+Programacion[[#This Row],[SEPTIEMBRE]]</f>
        <v>10000</v>
      </c>
      <c r="AL158" s="94">
        <f>Programacion[[#This Row],[DEVENGADO JULIO]]+Programacion[[#This Row],[DEVENGADO AGOSTO]]+Programacion[[#This Row],[DEVENGADO SEPTIEMBRE]]</f>
        <v>5000</v>
      </c>
      <c r="AM158" s="94">
        <f>Programacion[[#This Row],[OCTUBRE]]+Programacion[[#This Row],[NOVIEMBRE]]+Programacion[[#This Row],[DICIEMBRE]]</f>
        <v>0</v>
      </c>
      <c r="AN158" s="103">
        <f>Programacion[[#This Row],[DEVENGADO OCTUBRE]]+Programacion[[#This Row],[DEVENGADO NOVIEMBRE]]+Programacion[[#This Row],[DEVENGADO DICIEMBRE]]</f>
        <v>0</v>
      </c>
      <c r="AO158" s="103">
        <f>Programacion[[#This Row],[ENERO]]+Programacion[[#This Row],[FEBRERO]]+Programacion[[#This Row],[MARZO]]+Programacion[[#This Row],[ABRIL]]+Programacion[[#This Row],[MAYO]]+Programacion[[#This Row],[JUNIO]]</f>
        <v>5000</v>
      </c>
      <c r="AP158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8" s="10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58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58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58" s="123"/>
    </row>
    <row r="159" spans="1:46" ht="28.8" x14ac:dyDescent="0.3">
      <c r="A159" s="105" t="s">
        <v>160</v>
      </c>
      <c r="B159" s="96" t="s">
        <v>192</v>
      </c>
      <c r="C159" s="87" t="s">
        <v>58</v>
      </c>
      <c r="D159" s="87" t="s">
        <v>162</v>
      </c>
      <c r="E159" s="88">
        <v>96</v>
      </c>
      <c r="F159" s="89">
        <v>2.2999999999999998</v>
      </c>
      <c r="G159" s="87" t="s">
        <v>59</v>
      </c>
      <c r="H159" s="87">
        <v>8774</v>
      </c>
      <c r="I159" s="90">
        <v>8774</v>
      </c>
      <c r="J159" s="90"/>
      <c r="K159" s="90"/>
      <c r="L159" s="90">
        <v>8774</v>
      </c>
      <c r="M159" s="90">
        <v>8774</v>
      </c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>
        <v>10000</v>
      </c>
      <c r="AA159" s="91"/>
      <c r="AB159" s="106"/>
      <c r="AC159" s="106"/>
      <c r="AD159" s="106"/>
      <c r="AE159" s="106"/>
      <c r="AF15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27548</v>
      </c>
      <c r="AG159" s="94">
        <f>Programacion[[#This Row],[ENERO]]+Programacion[[#This Row],[FEBRERO]]+Programacion[[#This Row],[MARZO]]</f>
        <v>17548</v>
      </c>
      <c r="AH159" s="94">
        <f>Programacion[[#This Row],[DEVENGADO ENERO]]+Programacion[[#This Row],[DEVENGADO FEBRERO]]+Programacion[[#This Row],[DEVENGADO MARZO]]</f>
        <v>17548</v>
      </c>
      <c r="AI159" s="94">
        <f>Programacion[[#This Row],[ABRIL]]+Programacion[[#This Row],[MAYO]]+Programacion[[#This Row],[JUNIO]]</f>
        <v>0</v>
      </c>
      <c r="AJ159" s="94">
        <f>Programacion[[#This Row],[DEVENGADO ABRIL]]+Programacion[[#This Row],[DEVENGADO MAYO]]+Programacion[[#This Row],[DEVENGADO JUNIO]]</f>
        <v>0</v>
      </c>
      <c r="AK159" s="94">
        <f>Programacion[[#This Row],[JULIO]]+Programacion[[#This Row],[AGOSTO]]+Programacion[[#This Row],[SEPTIEMBRE]]</f>
        <v>0</v>
      </c>
      <c r="AL159" s="94">
        <f>Programacion[[#This Row],[DEVENGADO JULIO]]+Programacion[[#This Row],[DEVENGADO AGOSTO]]+Programacion[[#This Row],[DEVENGADO SEPTIEMBRE]]</f>
        <v>0</v>
      </c>
      <c r="AM159" s="94">
        <f>Programacion[[#This Row],[OCTUBRE]]+Programacion[[#This Row],[NOVIEMBRE]]+Programacion[[#This Row],[DICIEMBRE]]</f>
        <v>10000</v>
      </c>
      <c r="AN159" s="95">
        <f>Programacion[[#This Row],[DEVENGADO OCTUBRE]]+Programacion[[#This Row],[DEVENGADO NOVIEMBRE]]+Programacion[[#This Row],[DEVENGADO DICIEMBRE]]</f>
        <v>0</v>
      </c>
      <c r="AO159" s="95">
        <f>Programacion[[#This Row],[ENERO]]+Programacion[[#This Row],[FEBRERO]]+Programacion[[#This Row],[MARZO]]+Programacion[[#This Row],[ABRIL]]+Programacion[[#This Row],[MAYO]]+Programacion[[#This Row],[JUNIO]]</f>
        <v>17548</v>
      </c>
      <c r="AP15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59" s="95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5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59" s="123"/>
    </row>
    <row r="160" spans="1:46" ht="28.8" x14ac:dyDescent="0.3">
      <c r="A160" s="105" t="s">
        <v>160</v>
      </c>
      <c r="B160" s="96" t="s">
        <v>193</v>
      </c>
      <c r="C160" s="87" t="s">
        <v>58</v>
      </c>
      <c r="D160" s="87" t="s">
        <v>162</v>
      </c>
      <c r="E160" s="88">
        <v>96</v>
      </c>
      <c r="F160" s="89">
        <v>2.2999999999999998</v>
      </c>
      <c r="G160" s="87" t="s">
        <v>59</v>
      </c>
      <c r="H160" s="87"/>
      <c r="I160" s="90"/>
      <c r="J160" s="90"/>
      <c r="K160" s="90"/>
      <c r="L160" s="90">
        <v>8520</v>
      </c>
      <c r="M160" s="90">
        <v>8520</v>
      </c>
      <c r="N160" s="90">
        <v>5680</v>
      </c>
      <c r="O160" s="90">
        <v>5680</v>
      </c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1"/>
      <c r="AB160" s="106"/>
      <c r="AC160" s="106"/>
      <c r="AD160" s="106"/>
      <c r="AE160" s="106"/>
      <c r="AF16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60" s="94">
        <f>Programacion[[#This Row],[ENERO]]+Programacion[[#This Row],[FEBRERO]]+Programacion[[#This Row],[MARZO]]</f>
        <v>8520</v>
      </c>
      <c r="AH160" s="94">
        <f>Programacion[[#This Row],[DEVENGADO ENERO]]+Programacion[[#This Row],[DEVENGADO FEBRERO]]+Programacion[[#This Row],[DEVENGADO MARZO]]</f>
        <v>8520</v>
      </c>
      <c r="AI160" s="94">
        <f>Programacion[[#This Row],[ABRIL]]+Programacion[[#This Row],[MAYO]]+Programacion[[#This Row],[JUNIO]]</f>
        <v>5680</v>
      </c>
      <c r="AJ160" s="94">
        <f>Programacion[[#This Row],[DEVENGADO ABRIL]]+Programacion[[#This Row],[DEVENGADO MAYO]]+Programacion[[#This Row],[DEVENGADO JUNIO]]</f>
        <v>5680</v>
      </c>
      <c r="AK160" s="94">
        <f>Programacion[[#This Row],[JULIO]]+Programacion[[#This Row],[AGOSTO]]+Programacion[[#This Row],[SEPTIEMBRE]]</f>
        <v>0</v>
      </c>
      <c r="AL160" s="94">
        <f>Programacion[[#This Row],[DEVENGADO JULIO]]+Programacion[[#This Row],[DEVENGADO AGOSTO]]+Programacion[[#This Row],[DEVENGADO SEPTIEMBRE]]</f>
        <v>0</v>
      </c>
      <c r="AM160" s="94">
        <f>Programacion[[#This Row],[OCTUBRE]]+Programacion[[#This Row],[NOVIEMBRE]]+Programacion[[#This Row],[DICIEMBRE]]</f>
        <v>0</v>
      </c>
      <c r="AN160" s="95">
        <f>Programacion[[#This Row],[DEVENGADO OCTUBRE]]+Programacion[[#This Row],[DEVENGADO NOVIEMBRE]]+Programacion[[#This Row],[DEVENGADO DICIEMBRE]]</f>
        <v>0</v>
      </c>
      <c r="AO160" s="95">
        <f>Programacion[[#This Row],[ENERO]]+Programacion[[#This Row],[FEBRERO]]+Programacion[[#This Row],[MARZO]]+Programacion[[#This Row],[ABRIL]]+Programacion[[#This Row],[MAYO]]+Programacion[[#This Row],[JUNIO]]</f>
        <v>14200</v>
      </c>
      <c r="AP16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6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60" s="123"/>
    </row>
    <row r="161" spans="1:46" ht="43.2" x14ac:dyDescent="0.3">
      <c r="A161" s="101" t="s">
        <v>160</v>
      </c>
      <c r="B161" s="96" t="s">
        <v>194</v>
      </c>
      <c r="C161" s="97" t="s">
        <v>58</v>
      </c>
      <c r="D161" s="100" t="s">
        <v>162</v>
      </c>
      <c r="E161" s="98">
        <v>96</v>
      </c>
      <c r="F161" s="99">
        <v>2.2999999999999998</v>
      </c>
      <c r="G161" s="87" t="s">
        <v>59</v>
      </c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>
        <v>15000</v>
      </c>
      <c r="S161" s="94">
        <v>15000</v>
      </c>
      <c r="T161" s="94">
        <v>7500</v>
      </c>
      <c r="U161" s="94">
        <v>7500</v>
      </c>
      <c r="V161" s="94">
        <v>7500</v>
      </c>
      <c r="W161" s="94"/>
      <c r="X161" s="94">
        <v>7500</v>
      </c>
      <c r="Y161" s="94"/>
      <c r="Z161" s="94"/>
      <c r="AA161" s="94"/>
      <c r="AB161" s="94"/>
      <c r="AC161" s="94"/>
      <c r="AD161" s="94"/>
      <c r="AE161" s="94"/>
      <c r="AF16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61" s="94">
        <f>Programacion[[#This Row],[ENERO]]+Programacion[[#This Row],[FEBRERO]]+Programacion[[#This Row],[MARZO]]</f>
        <v>0</v>
      </c>
      <c r="AH161" s="94">
        <f>Programacion[[#This Row],[DEVENGADO ENERO]]+Programacion[[#This Row],[DEVENGADO FEBRERO]]+Programacion[[#This Row],[DEVENGADO MARZO]]</f>
        <v>0</v>
      </c>
      <c r="AI161" s="94">
        <f>Programacion[[#This Row],[ABRIL]]+Programacion[[#This Row],[MAYO]]+Programacion[[#This Row],[JUNIO]]</f>
        <v>15000</v>
      </c>
      <c r="AJ161" s="94">
        <f>Programacion[[#This Row],[DEVENGADO ABRIL]]+Programacion[[#This Row],[DEVENGADO MAYO]]+Programacion[[#This Row],[DEVENGADO JUNIO]]</f>
        <v>15000</v>
      </c>
      <c r="AK161" s="94">
        <f>Programacion[[#This Row],[JULIO]]+Programacion[[#This Row],[AGOSTO]]+Programacion[[#This Row],[SEPTIEMBRE]]</f>
        <v>22500</v>
      </c>
      <c r="AL161" s="94">
        <f>Programacion[[#This Row],[DEVENGADO JULIO]]+Programacion[[#This Row],[DEVENGADO AGOSTO]]+Programacion[[#This Row],[DEVENGADO SEPTIEMBRE]]</f>
        <v>7500</v>
      </c>
      <c r="AM161" s="94">
        <f>Programacion[[#This Row],[OCTUBRE]]+Programacion[[#This Row],[NOVIEMBRE]]+Programacion[[#This Row],[DICIEMBRE]]</f>
        <v>0</v>
      </c>
      <c r="AN161" s="103">
        <f>Programacion[[#This Row],[DEVENGADO OCTUBRE]]+Programacion[[#This Row],[DEVENGADO NOVIEMBRE]]+Programacion[[#This Row],[DEVENGADO DICIEMBRE]]</f>
        <v>0</v>
      </c>
      <c r="AO161" s="103">
        <f>Programacion[[#This Row],[ENERO]]+Programacion[[#This Row],[FEBRERO]]+Programacion[[#This Row],[MARZO]]+Programacion[[#This Row],[ABRIL]]+Programacion[[#This Row],[MAYO]]+Programacion[[#This Row],[JUNIO]]</f>
        <v>15000</v>
      </c>
      <c r="AP16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1" s="103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6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6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61" s="123"/>
    </row>
    <row r="162" spans="1:46" ht="43.2" x14ac:dyDescent="0.3">
      <c r="A162" s="101" t="s">
        <v>160</v>
      </c>
      <c r="B162" s="96" t="s">
        <v>195</v>
      </c>
      <c r="C162" s="97" t="s">
        <v>58</v>
      </c>
      <c r="D162" s="100" t="s">
        <v>162</v>
      </c>
      <c r="E162" s="98">
        <v>96</v>
      </c>
      <c r="F162" s="99">
        <v>2.2999999999999998</v>
      </c>
      <c r="G162" s="87" t="s">
        <v>59</v>
      </c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>
        <v>9444.0300000000007</v>
      </c>
      <c r="AA162" s="94"/>
      <c r="AB162" s="94"/>
      <c r="AC162" s="94"/>
      <c r="AD162" s="94"/>
      <c r="AE162" s="94"/>
      <c r="AF162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62" s="94">
        <f>Programacion[[#This Row],[ENERO]]+Programacion[[#This Row],[FEBRERO]]+Programacion[[#This Row],[MARZO]]</f>
        <v>0</v>
      </c>
      <c r="AH162" s="94">
        <f>Programacion[[#This Row],[DEVENGADO ENERO]]+Programacion[[#This Row],[DEVENGADO FEBRERO]]+Programacion[[#This Row],[DEVENGADO MARZO]]</f>
        <v>0</v>
      </c>
      <c r="AI162" s="94">
        <f>Programacion[[#This Row],[ABRIL]]+Programacion[[#This Row],[MAYO]]+Programacion[[#This Row],[JUNIO]]</f>
        <v>0</v>
      </c>
      <c r="AJ162" s="94">
        <f>Programacion[[#This Row],[DEVENGADO ABRIL]]+Programacion[[#This Row],[DEVENGADO MAYO]]+Programacion[[#This Row],[DEVENGADO JUNIO]]</f>
        <v>0</v>
      </c>
      <c r="AK162" s="94">
        <f>Programacion[[#This Row],[JULIO]]+Programacion[[#This Row],[AGOSTO]]+Programacion[[#This Row],[SEPTIEMBRE]]</f>
        <v>0</v>
      </c>
      <c r="AL162" s="94">
        <f>Programacion[[#This Row],[DEVENGADO JULIO]]+Programacion[[#This Row],[DEVENGADO AGOSTO]]+Programacion[[#This Row],[DEVENGADO SEPTIEMBRE]]</f>
        <v>0</v>
      </c>
      <c r="AM162" s="94">
        <f>Programacion[[#This Row],[OCTUBRE]]+Programacion[[#This Row],[NOVIEMBRE]]+Programacion[[#This Row],[DICIEMBRE]]</f>
        <v>9444.0300000000007</v>
      </c>
      <c r="AN162" s="103">
        <f>Programacion[[#This Row],[DEVENGADO OCTUBRE]]+Programacion[[#This Row],[DEVENGADO NOVIEMBRE]]+Programacion[[#This Row],[DEVENGADO DICIEMBRE]]</f>
        <v>0</v>
      </c>
      <c r="AO162" s="103">
        <f>Programacion[[#This Row],[ENERO]]+Programacion[[#This Row],[FEBRERO]]+Programacion[[#This Row],[MARZO]]+Programacion[[#This Row],[ABRIL]]+Programacion[[#This Row],[MAYO]]+Programacion[[#This Row],[JUNIO]]</f>
        <v>0</v>
      </c>
      <c r="AP162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103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62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23"/>
    </row>
    <row r="163" spans="1:46" ht="43.2" x14ac:dyDescent="0.3">
      <c r="A163" s="105" t="s">
        <v>160</v>
      </c>
      <c r="B163" s="96" t="s">
        <v>196</v>
      </c>
      <c r="C163" s="87" t="s">
        <v>58</v>
      </c>
      <c r="D163" s="87" t="s">
        <v>162</v>
      </c>
      <c r="E163" s="88">
        <v>96</v>
      </c>
      <c r="F163" s="89">
        <v>2.2999999999999998</v>
      </c>
      <c r="G163" s="87" t="s">
        <v>73</v>
      </c>
      <c r="H163" s="87"/>
      <c r="I163" s="90"/>
      <c r="J163" s="90"/>
      <c r="K163" s="90"/>
      <c r="L163" s="90">
        <v>6000</v>
      </c>
      <c r="M163" s="90">
        <v>6000</v>
      </c>
      <c r="N163" s="90"/>
      <c r="O163" s="90"/>
      <c r="P163" s="90">
        <v>14000</v>
      </c>
      <c r="Q163" s="90">
        <v>14000</v>
      </c>
      <c r="R163" s="90"/>
      <c r="S163" s="90"/>
      <c r="T163" s="90"/>
      <c r="U163" s="90"/>
      <c r="V163" s="90"/>
      <c r="W163" s="90"/>
      <c r="X163" s="90"/>
      <c r="Y163" s="90"/>
      <c r="Z163" s="90"/>
      <c r="AA163" s="91"/>
      <c r="AB163" s="106"/>
      <c r="AC163" s="106"/>
      <c r="AD163" s="106"/>
      <c r="AE163" s="106"/>
      <c r="AF16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3" s="94">
        <f>Programacion[[#This Row],[ENERO]]+Programacion[[#This Row],[FEBRERO]]+Programacion[[#This Row],[MARZO]]</f>
        <v>6000</v>
      </c>
      <c r="AH163" s="94">
        <f>Programacion[[#This Row],[DEVENGADO ENERO]]+Programacion[[#This Row],[DEVENGADO FEBRERO]]+Programacion[[#This Row],[DEVENGADO MARZO]]</f>
        <v>6000</v>
      </c>
      <c r="AI163" s="94">
        <f>Programacion[[#This Row],[ABRIL]]+Programacion[[#This Row],[MAYO]]+Programacion[[#This Row],[JUNIO]]</f>
        <v>14000</v>
      </c>
      <c r="AJ163" s="94">
        <f>Programacion[[#This Row],[DEVENGADO ABRIL]]+Programacion[[#This Row],[DEVENGADO MAYO]]+Programacion[[#This Row],[DEVENGADO JUNIO]]</f>
        <v>14000</v>
      </c>
      <c r="AK163" s="94">
        <f>Programacion[[#This Row],[JULIO]]+Programacion[[#This Row],[AGOSTO]]+Programacion[[#This Row],[SEPTIEMBRE]]</f>
        <v>0</v>
      </c>
      <c r="AL163" s="94">
        <f>Programacion[[#This Row],[DEVENGADO JULIO]]+Programacion[[#This Row],[DEVENGADO AGOSTO]]+Programacion[[#This Row],[DEVENGADO SEPTIEMBRE]]</f>
        <v>0</v>
      </c>
      <c r="AM163" s="94">
        <f>Programacion[[#This Row],[OCTUBRE]]+Programacion[[#This Row],[NOVIEMBRE]]+Programacion[[#This Row],[DICIEMBRE]]</f>
        <v>0</v>
      </c>
      <c r="AN163" s="95">
        <f>Programacion[[#This Row],[DEVENGADO OCTUBRE]]+Programacion[[#This Row],[DEVENGADO NOVIEMBRE]]+Programacion[[#This Row],[DEVENGADO DICIEMBRE]]</f>
        <v>0</v>
      </c>
      <c r="AO163" s="95">
        <f>Programacion[[#This Row],[ENERO]]+Programacion[[#This Row],[FEBRERO]]+Programacion[[#This Row],[MARZO]]+Programacion[[#This Row],[ABRIL]]+Programacion[[#This Row],[MAYO]]+Programacion[[#This Row],[JUNIO]]</f>
        <v>20000</v>
      </c>
      <c r="AP16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3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3" s="123"/>
    </row>
    <row r="164" spans="1:46" x14ac:dyDescent="0.3">
      <c r="A164" s="101" t="s">
        <v>160</v>
      </c>
      <c r="B164" s="96" t="s">
        <v>197</v>
      </c>
      <c r="C164" s="97" t="s">
        <v>58</v>
      </c>
      <c r="D164" s="100" t="s">
        <v>162</v>
      </c>
      <c r="E164" s="98">
        <v>96</v>
      </c>
      <c r="F164" s="99">
        <v>2.2999999999999998</v>
      </c>
      <c r="G164" s="100" t="s">
        <v>73</v>
      </c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>
        <v>6000</v>
      </c>
      <c r="W164" s="94"/>
      <c r="X164" s="94">
        <v>6000</v>
      </c>
      <c r="Y164" s="94"/>
      <c r="Z164" s="94"/>
      <c r="AA164" s="94"/>
      <c r="AB164" s="94"/>
      <c r="AC164" s="94"/>
      <c r="AD164" s="94"/>
      <c r="AE164" s="94"/>
      <c r="AF164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4" s="94">
        <f>Programacion[[#This Row],[ENERO]]+Programacion[[#This Row],[FEBRERO]]+Programacion[[#This Row],[MARZO]]</f>
        <v>0</v>
      </c>
      <c r="AH164" s="94">
        <f>Programacion[[#This Row],[DEVENGADO ENERO]]+Programacion[[#This Row],[DEVENGADO FEBRERO]]+Programacion[[#This Row],[DEVENGADO MARZO]]</f>
        <v>0</v>
      </c>
      <c r="AI164" s="94">
        <f>Programacion[[#This Row],[ABRIL]]+Programacion[[#This Row],[MAYO]]+Programacion[[#This Row],[JUNIO]]</f>
        <v>0</v>
      </c>
      <c r="AJ164" s="94">
        <f>Programacion[[#This Row],[DEVENGADO ABRIL]]+Programacion[[#This Row],[DEVENGADO MAYO]]+Programacion[[#This Row],[DEVENGADO JUNIO]]</f>
        <v>0</v>
      </c>
      <c r="AK164" s="94">
        <f>Programacion[[#This Row],[JULIO]]+Programacion[[#This Row],[AGOSTO]]+Programacion[[#This Row],[SEPTIEMBRE]]</f>
        <v>12000</v>
      </c>
      <c r="AL164" s="94">
        <f>Programacion[[#This Row],[DEVENGADO JULIO]]+Programacion[[#This Row],[DEVENGADO AGOSTO]]+Programacion[[#This Row],[DEVENGADO SEPTIEMBRE]]</f>
        <v>0</v>
      </c>
      <c r="AM164" s="94">
        <f>Programacion[[#This Row],[OCTUBRE]]+Programacion[[#This Row],[NOVIEMBRE]]+Programacion[[#This Row],[DICIEMBRE]]</f>
        <v>0</v>
      </c>
      <c r="AN164" s="103">
        <f>Programacion[[#This Row],[DEVENGADO OCTUBRE]]+Programacion[[#This Row],[DEVENGADO NOVIEMBRE]]+Programacion[[#This Row],[DEVENGADO DICIEMBRE]]</f>
        <v>0</v>
      </c>
      <c r="AO164" s="103">
        <f>Programacion[[#This Row],[ENERO]]+Programacion[[#This Row],[FEBRERO]]+Programacion[[#This Row],[MARZO]]+Programacion[[#This Row],[ABRIL]]+Programacion[[#This Row],[MAYO]]+Programacion[[#This Row],[JUNIO]]</f>
        <v>0</v>
      </c>
      <c r="AP164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0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64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4" s="123"/>
    </row>
    <row r="165" spans="1:46" ht="28.8" x14ac:dyDescent="0.3">
      <c r="A165" s="105" t="s">
        <v>160</v>
      </c>
      <c r="B165" s="96" t="s">
        <v>198</v>
      </c>
      <c r="C165" s="87" t="s">
        <v>58</v>
      </c>
      <c r="D165" s="87" t="s">
        <v>162</v>
      </c>
      <c r="E165" s="88">
        <v>96</v>
      </c>
      <c r="F165" s="89">
        <v>2.2999999999999998</v>
      </c>
      <c r="G165" s="87" t="s">
        <v>59</v>
      </c>
      <c r="H165" s="87"/>
      <c r="I165" s="90"/>
      <c r="J165" s="90"/>
      <c r="K165" s="90"/>
      <c r="L165" s="90">
        <v>6480</v>
      </c>
      <c r="M165" s="90">
        <v>6480</v>
      </c>
      <c r="N165" s="90">
        <v>15120</v>
      </c>
      <c r="O165" s="90">
        <v>15120</v>
      </c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1"/>
      <c r="AB165" s="106"/>
      <c r="AC165" s="106"/>
      <c r="AD165" s="106"/>
      <c r="AE165" s="106"/>
      <c r="AF16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65" s="94">
        <f>Programacion[[#This Row],[ENERO]]+Programacion[[#This Row],[FEBRERO]]+Programacion[[#This Row],[MARZO]]</f>
        <v>6480</v>
      </c>
      <c r="AH165" s="94">
        <f>Programacion[[#This Row],[DEVENGADO ENERO]]+Programacion[[#This Row],[DEVENGADO FEBRERO]]+Programacion[[#This Row],[DEVENGADO MARZO]]</f>
        <v>6480</v>
      </c>
      <c r="AI165" s="94">
        <f>Programacion[[#This Row],[ABRIL]]+Programacion[[#This Row],[MAYO]]+Programacion[[#This Row],[JUNIO]]</f>
        <v>15120</v>
      </c>
      <c r="AJ165" s="94">
        <f>Programacion[[#This Row],[DEVENGADO ABRIL]]+Programacion[[#This Row],[DEVENGADO MAYO]]+Programacion[[#This Row],[DEVENGADO JUNIO]]</f>
        <v>15120</v>
      </c>
      <c r="AK165" s="94">
        <f>Programacion[[#This Row],[JULIO]]+Programacion[[#This Row],[AGOSTO]]+Programacion[[#This Row],[SEPTIEMBRE]]</f>
        <v>0</v>
      </c>
      <c r="AL165" s="94">
        <f>Programacion[[#This Row],[DEVENGADO JULIO]]+Programacion[[#This Row],[DEVENGADO AGOSTO]]+Programacion[[#This Row],[DEVENGADO SEPTIEMBRE]]</f>
        <v>0</v>
      </c>
      <c r="AM165" s="94">
        <f>Programacion[[#This Row],[OCTUBRE]]+Programacion[[#This Row],[NOVIEMBRE]]+Programacion[[#This Row],[DICIEMBRE]]</f>
        <v>0</v>
      </c>
      <c r="AN165" s="95">
        <f>Programacion[[#This Row],[DEVENGADO OCTUBRE]]+Programacion[[#This Row],[DEVENGADO NOVIEMBRE]]+Programacion[[#This Row],[DEVENGADO DICIEMBRE]]</f>
        <v>0</v>
      </c>
      <c r="AO165" s="95">
        <f>Programacion[[#This Row],[ENERO]]+Programacion[[#This Row],[FEBRERO]]+Programacion[[#This Row],[MARZO]]+Programacion[[#This Row],[ABRIL]]+Programacion[[#This Row],[MAYO]]+Programacion[[#This Row],[JUNIO]]</f>
        <v>21600</v>
      </c>
      <c r="AP165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65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65" s="123"/>
    </row>
    <row r="166" spans="1:46" x14ac:dyDescent="0.3">
      <c r="A166" s="105" t="s">
        <v>160</v>
      </c>
      <c r="B166" s="96" t="s">
        <v>199</v>
      </c>
      <c r="C166" s="97" t="s">
        <v>200</v>
      </c>
      <c r="D166" s="100" t="s">
        <v>162</v>
      </c>
      <c r="E166" s="98">
        <v>96</v>
      </c>
      <c r="F166" s="99">
        <v>2.2999999999999998</v>
      </c>
      <c r="G166" s="100" t="s">
        <v>201</v>
      </c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>
        <v>228.6</v>
      </c>
      <c r="U166" s="94">
        <v>228.6</v>
      </c>
      <c r="V166" s="94"/>
      <c r="W166" s="94"/>
      <c r="X166" s="94"/>
      <c r="Y166" s="94"/>
      <c r="Z166" s="94"/>
      <c r="AA166" s="94"/>
      <c r="AB166" s="94"/>
      <c r="AC166" s="94"/>
      <c r="AD166" s="94"/>
      <c r="AE166" s="94"/>
      <c r="AF166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66" s="94">
        <f>Programacion[[#This Row],[ENERO]]+Programacion[[#This Row],[FEBRERO]]+Programacion[[#This Row],[MARZO]]</f>
        <v>0</v>
      </c>
      <c r="AH166" s="94">
        <f>Programacion[[#This Row],[DEVENGADO ENERO]]+Programacion[[#This Row],[DEVENGADO FEBRERO]]+Programacion[[#This Row],[DEVENGADO MARZO]]</f>
        <v>0</v>
      </c>
      <c r="AI166" s="94">
        <f>Programacion[[#This Row],[ABRIL]]+Programacion[[#This Row],[MAYO]]+Programacion[[#This Row],[JUNIO]]</f>
        <v>0</v>
      </c>
      <c r="AJ166" s="94">
        <f>Programacion[[#This Row],[DEVENGADO ABRIL]]+Programacion[[#This Row],[DEVENGADO MAYO]]+Programacion[[#This Row],[DEVENGADO JUNIO]]</f>
        <v>0</v>
      </c>
      <c r="AK166" s="94">
        <f>Programacion[[#This Row],[JULIO]]+Programacion[[#This Row],[AGOSTO]]+Programacion[[#This Row],[SEPTIEMBRE]]</f>
        <v>228.6</v>
      </c>
      <c r="AL166" s="94">
        <f>Programacion[[#This Row],[DEVENGADO JULIO]]+Programacion[[#This Row],[DEVENGADO AGOSTO]]+Programacion[[#This Row],[DEVENGADO SEPTIEMBRE]]</f>
        <v>228.6</v>
      </c>
      <c r="AM166" s="94">
        <f>Programacion[[#This Row],[OCTUBRE]]+Programacion[[#This Row],[NOVIEMBRE]]+Programacion[[#This Row],[DICIEMBRE]]</f>
        <v>0</v>
      </c>
      <c r="AN166" s="94">
        <f>Programacion[[#This Row],[DEVENGADO OCTUBRE]]+Programacion[[#This Row],[DEVENGADO NOVIEMBRE]]+Programacion[[#This Row],[DEVENGADO DICIEMBRE]]</f>
        <v>0</v>
      </c>
      <c r="AO166" s="94">
        <f>Programacion[[#This Row],[ENERO]]+Programacion[[#This Row],[FEBRERO]]+Programacion[[#This Row],[MARZO]]+Programacion[[#This Row],[ABRIL]]+Programacion[[#This Row],[MAYO]]+Programacion[[#This Row],[JUNIO]]</f>
        <v>0</v>
      </c>
      <c r="AP166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94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66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6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66" s="123"/>
    </row>
    <row r="167" spans="1:46" x14ac:dyDescent="0.3">
      <c r="A167" s="105" t="s">
        <v>160</v>
      </c>
      <c r="B167" s="96" t="s">
        <v>202</v>
      </c>
      <c r="C167" s="87" t="s">
        <v>200</v>
      </c>
      <c r="D167" s="87" t="s">
        <v>162</v>
      </c>
      <c r="E167" s="88">
        <v>96</v>
      </c>
      <c r="F167" s="89">
        <v>2.2999999999999998</v>
      </c>
      <c r="G167" s="87" t="s">
        <v>201</v>
      </c>
      <c r="H167" s="87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>
        <v>30671.4</v>
      </c>
      <c r="U167" s="90">
        <v>30671.4</v>
      </c>
      <c r="V167" s="90"/>
      <c r="W167" s="90"/>
      <c r="X167" s="90"/>
      <c r="Y167" s="90"/>
      <c r="Z167" s="90"/>
      <c r="AA167" s="91"/>
      <c r="AB167" s="106"/>
      <c r="AC167" s="106"/>
      <c r="AD167" s="106"/>
      <c r="AE167" s="106"/>
      <c r="AF167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67" s="94">
        <f>Programacion[[#This Row],[ENERO]]+Programacion[[#This Row],[FEBRERO]]+Programacion[[#This Row],[MARZO]]</f>
        <v>0</v>
      </c>
      <c r="AH167" s="94">
        <f>Programacion[[#This Row],[DEVENGADO ENERO]]+Programacion[[#This Row],[DEVENGADO FEBRERO]]+Programacion[[#This Row],[DEVENGADO MARZO]]</f>
        <v>0</v>
      </c>
      <c r="AI167" s="94">
        <f>Programacion[[#This Row],[ABRIL]]+Programacion[[#This Row],[MAYO]]+Programacion[[#This Row],[JUNIO]]</f>
        <v>0</v>
      </c>
      <c r="AJ167" s="94">
        <f>Programacion[[#This Row],[DEVENGADO ABRIL]]+Programacion[[#This Row],[DEVENGADO MAYO]]+Programacion[[#This Row],[DEVENGADO JUNIO]]</f>
        <v>0</v>
      </c>
      <c r="AK167" s="94">
        <f>Programacion[[#This Row],[JULIO]]+Programacion[[#This Row],[AGOSTO]]+Programacion[[#This Row],[SEPTIEMBRE]]</f>
        <v>30671.4</v>
      </c>
      <c r="AL167" s="94">
        <f>Programacion[[#This Row],[DEVENGADO JULIO]]+Programacion[[#This Row],[DEVENGADO AGOSTO]]+Programacion[[#This Row],[DEVENGADO SEPTIEMBRE]]</f>
        <v>30671.4</v>
      </c>
      <c r="AM167" s="94">
        <f>Programacion[[#This Row],[OCTUBRE]]+Programacion[[#This Row],[NOVIEMBRE]]+Programacion[[#This Row],[DICIEMBRE]]</f>
        <v>0</v>
      </c>
      <c r="AN167" s="95">
        <f>Programacion[[#This Row],[DEVENGADO OCTUBRE]]+Programacion[[#This Row],[DEVENGADO NOVIEMBRE]]+Programacion[[#This Row],[DEVENGADO DICIEMBRE]]</f>
        <v>0</v>
      </c>
      <c r="AO167" s="95">
        <f>Programacion[[#This Row],[ENERO]]+Programacion[[#This Row],[FEBRERO]]+Programacion[[#This Row],[MARZO]]+Programacion[[#This Row],[ABRIL]]+Programacion[[#This Row],[MAYO]]+Programacion[[#This Row],[JUNIO]]</f>
        <v>0</v>
      </c>
      <c r="AP167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95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67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67" s="123"/>
    </row>
    <row r="168" spans="1:46" x14ac:dyDescent="0.3">
      <c r="A168" s="105" t="s">
        <v>160</v>
      </c>
      <c r="B168" s="96" t="s">
        <v>65</v>
      </c>
      <c r="C168" s="87" t="s">
        <v>58</v>
      </c>
      <c r="D168" s="87" t="s">
        <v>162</v>
      </c>
      <c r="E168" s="88">
        <v>96</v>
      </c>
      <c r="F168" s="89">
        <v>2.2999999999999998</v>
      </c>
      <c r="G168" s="87" t="s">
        <v>59</v>
      </c>
      <c r="H168" s="87">
        <v>7380</v>
      </c>
      <c r="I168" s="90">
        <v>7380</v>
      </c>
      <c r="J168" s="90">
        <v>7380</v>
      </c>
      <c r="K168" s="90">
        <v>7380</v>
      </c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1"/>
      <c r="AB168" s="106"/>
      <c r="AC168" s="106"/>
      <c r="AD168" s="106"/>
      <c r="AE168" s="106"/>
      <c r="AF16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68" s="94">
        <f>Programacion[[#This Row],[ENERO]]+Programacion[[#This Row],[FEBRERO]]+Programacion[[#This Row],[MARZO]]</f>
        <v>14760</v>
      </c>
      <c r="AH168" s="94">
        <f>Programacion[[#This Row],[DEVENGADO ENERO]]+Programacion[[#This Row],[DEVENGADO FEBRERO]]+Programacion[[#This Row],[DEVENGADO MARZO]]</f>
        <v>14760</v>
      </c>
      <c r="AI168" s="94">
        <f>Programacion[[#This Row],[ABRIL]]+Programacion[[#This Row],[MAYO]]+Programacion[[#This Row],[JUNIO]]</f>
        <v>0</v>
      </c>
      <c r="AJ168" s="94">
        <f>Programacion[[#This Row],[DEVENGADO ABRIL]]+Programacion[[#This Row],[DEVENGADO MAYO]]+Programacion[[#This Row],[DEVENGADO JUNIO]]</f>
        <v>0</v>
      </c>
      <c r="AK168" s="94">
        <f>Programacion[[#This Row],[JULIO]]+Programacion[[#This Row],[AGOSTO]]+Programacion[[#This Row],[SEPTIEMBRE]]</f>
        <v>0</v>
      </c>
      <c r="AL168" s="94">
        <f>Programacion[[#This Row],[DEVENGADO JULIO]]+Programacion[[#This Row],[DEVENGADO AGOSTO]]+Programacion[[#This Row],[DEVENGADO SEPTIEMBRE]]</f>
        <v>0</v>
      </c>
      <c r="AM168" s="94">
        <f>Programacion[[#This Row],[OCTUBRE]]+Programacion[[#This Row],[NOVIEMBRE]]+Programacion[[#This Row],[DICIEMBRE]]</f>
        <v>0</v>
      </c>
      <c r="AN168" s="95">
        <f>Programacion[[#This Row],[DEVENGADO OCTUBRE]]+Programacion[[#This Row],[DEVENGADO NOVIEMBRE]]+Programacion[[#This Row],[DEVENGADO DICIEMBRE]]</f>
        <v>0</v>
      </c>
      <c r="AO168" s="95">
        <f>Programacion[[#This Row],[ENERO]]+Programacion[[#This Row],[FEBRERO]]+Programacion[[#This Row],[MARZO]]+Programacion[[#This Row],[ABRIL]]+Programacion[[#This Row],[MAYO]]+Programacion[[#This Row],[JUNIO]]</f>
        <v>14760</v>
      </c>
      <c r="AP168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68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8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68" s="123"/>
    </row>
    <row r="169" spans="1:46" x14ac:dyDescent="0.3">
      <c r="A169" s="105" t="s">
        <v>160</v>
      </c>
      <c r="B169" s="96" t="s">
        <v>203</v>
      </c>
      <c r="C169" s="87" t="s">
        <v>58</v>
      </c>
      <c r="D169" s="87" t="s">
        <v>162</v>
      </c>
      <c r="E169" s="88">
        <v>96</v>
      </c>
      <c r="F169" s="89">
        <v>2.2999999999999998</v>
      </c>
      <c r="G169" s="87" t="s">
        <v>59</v>
      </c>
      <c r="H169" s="87"/>
      <c r="I169" s="90"/>
      <c r="J169" s="90">
        <v>6001.2</v>
      </c>
      <c r="K169" s="90">
        <v>6001.2</v>
      </c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1"/>
      <c r="AB169" s="106"/>
      <c r="AC169" s="106"/>
      <c r="AD169" s="106"/>
      <c r="AE169" s="106"/>
      <c r="AF16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69" s="94">
        <f>Programacion[[#This Row],[ENERO]]+Programacion[[#This Row],[FEBRERO]]+Programacion[[#This Row],[MARZO]]</f>
        <v>6001.2</v>
      </c>
      <c r="AH169" s="94">
        <f>Programacion[[#This Row],[DEVENGADO ENERO]]+Programacion[[#This Row],[DEVENGADO FEBRERO]]+Programacion[[#This Row],[DEVENGADO MARZO]]</f>
        <v>6001.2</v>
      </c>
      <c r="AI169" s="94">
        <f>Programacion[[#This Row],[ABRIL]]+Programacion[[#This Row],[MAYO]]+Programacion[[#This Row],[JUNIO]]</f>
        <v>0</v>
      </c>
      <c r="AJ169" s="94">
        <f>Programacion[[#This Row],[DEVENGADO ABRIL]]+Programacion[[#This Row],[DEVENGADO MAYO]]+Programacion[[#This Row],[DEVENGADO JUNIO]]</f>
        <v>0</v>
      </c>
      <c r="AK169" s="94">
        <f>Programacion[[#This Row],[JULIO]]+Programacion[[#This Row],[AGOSTO]]+Programacion[[#This Row],[SEPTIEMBRE]]</f>
        <v>0</v>
      </c>
      <c r="AL169" s="94">
        <f>Programacion[[#This Row],[DEVENGADO JULIO]]+Programacion[[#This Row],[DEVENGADO AGOSTO]]+Programacion[[#This Row],[DEVENGADO SEPTIEMBRE]]</f>
        <v>0</v>
      </c>
      <c r="AM169" s="94">
        <f>Programacion[[#This Row],[OCTUBRE]]+Programacion[[#This Row],[NOVIEMBRE]]+Programacion[[#This Row],[DICIEMBRE]]</f>
        <v>0</v>
      </c>
      <c r="AN169" s="95">
        <f>Programacion[[#This Row],[DEVENGADO OCTUBRE]]+Programacion[[#This Row],[DEVENGADO NOVIEMBRE]]+Programacion[[#This Row],[DEVENGADO DICIEMBRE]]</f>
        <v>0</v>
      </c>
      <c r="AO169" s="95">
        <f>Programacion[[#This Row],[ENERO]]+Programacion[[#This Row],[FEBRERO]]+Programacion[[#This Row],[MARZO]]+Programacion[[#This Row],[ABRIL]]+Programacion[[#This Row],[MAYO]]+Programacion[[#This Row],[JUNIO]]</f>
        <v>6001.2</v>
      </c>
      <c r="AP169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69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9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69" s="123"/>
    </row>
    <row r="170" spans="1:46" x14ac:dyDescent="0.3">
      <c r="A170" s="105" t="s">
        <v>160</v>
      </c>
      <c r="B170" s="96" t="s">
        <v>204</v>
      </c>
      <c r="C170" s="87" t="s">
        <v>58</v>
      </c>
      <c r="D170" s="87" t="s">
        <v>162</v>
      </c>
      <c r="E170" s="88">
        <v>96</v>
      </c>
      <c r="F170" s="89">
        <v>2.2999999999999998</v>
      </c>
      <c r="G170" s="87" t="s">
        <v>59</v>
      </c>
      <c r="H170" s="87"/>
      <c r="I170" s="90"/>
      <c r="J170" s="90"/>
      <c r="K170" s="90"/>
      <c r="L170" s="90">
        <v>6000</v>
      </c>
      <c r="M170" s="90">
        <v>6000</v>
      </c>
      <c r="N170" s="90">
        <v>6000</v>
      </c>
      <c r="O170" s="90">
        <v>6000</v>
      </c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1"/>
      <c r="AB170" s="106"/>
      <c r="AC170" s="106"/>
      <c r="AD170" s="106"/>
      <c r="AE170" s="106"/>
      <c r="AF17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0" s="94">
        <f>Programacion[[#This Row],[ENERO]]+Programacion[[#This Row],[FEBRERO]]+Programacion[[#This Row],[MARZO]]</f>
        <v>6000</v>
      </c>
      <c r="AH170" s="94">
        <f>Programacion[[#This Row],[DEVENGADO ENERO]]+Programacion[[#This Row],[DEVENGADO FEBRERO]]+Programacion[[#This Row],[DEVENGADO MARZO]]</f>
        <v>6000</v>
      </c>
      <c r="AI170" s="94">
        <f>Programacion[[#This Row],[ABRIL]]+Programacion[[#This Row],[MAYO]]+Programacion[[#This Row],[JUNIO]]</f>
        <v>6000</v>
      </c>
      <c r="AJ170" s="94">
        <f>Programacion[[#This Row],[DEVENGADO ABRIL]]+Programacion[[#This Row],[DEVENGADO MAYO]]+Programacion[[#This Row],[DEVENGADO JUNIO]]</f>
        <v>6000</v>
      </c>
      <c r="AK170" s="94">
        <f>Programacion[[#This Row],[JULIO]]+Programacion[[#This Row],[AGOSTO]]+Programacion[[#This Row],[SEPTIEMBRE]]</f>
        <v>0</v>
      </c>
      <c r="AL170" s="94">
        <f>Programacion[[#This Row],[DEVENGADO JULIO]]+Programacion[[#This Row],[DEVENGADO AGOSTO]]+Programacion[[#This Row],[DEVENGADO SEPTIEMBRE]]</f>
        <v>0</v>
      </c>
      <c r="AM170" s="94">
        <f>Programacion[[#This Row],[OCTUBRE]]+Programacion[[#This Row],[NOVIEMBRE]]+Programacion[[#This Row],[DICIEMBRE]]</f>
        <v>0</v>
      </c>
      <c r="AN170" s="95">
        <f>Programacion[[#This Row],[DEVENGADO OCTUBRE]]+Programacion[[#This Row],[DEVENGADO NOVIEMBRE]]+Programacion[[#This Row],[DEVENGADO DICIEMBRE]]</f>
        <v>0</v>
      </c>
      <c r="AO170" s="95">
        <f>Programacion[[#This Row],[ENERO]]+Programacion[[#This Row],[FEBRERO]]+Programacion[[#This Row],[MARZO]]+Programacion[[#This Row],[ABRIL]]+Programacion[[#This Row],[MAYO]]+Programacion[[#This Row],[JUNIO]]</f>
        <v>12000</v>
      </c>
      <c r="AP17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0" s="123"/>
    </row>
    <row r="171" spans="1:46" x14ac:dyDescent="0.3">
      <c r="A171" s="101" t="s">
        <v>160</v>
      </c>
      <c r="B171" s="96" t="s">
        <v>205</v>
      </c>
      <c r="C171" s="97" t="s">
        <v>58</v>
      </c>
      <c r="D171" s="100" t="s">
        <v>162</v>
      </c>
      <c r="E171" s="98">
        <v>96</v>
      </c>
      <c r="F171" s="99">
        <v>2.2999999999999998</v>
      </c>
      <c r="G171" s="100" t="s">
        <v>59</v>
      </c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>
        <v>12000</v>
      </c>
      <c r="S171" s="94">
        <v>12000</v>
      </c>
      <c r="T171" s="94">
        <v>6000</v>
      </c>
      <c r="U171" s="94">
        <v>6000</v>
      </c>
      <c r="V171" s="94">
        <v>6000</v>
      </c>
      <c r="W171" s="94"/>
      <c r="X171" s="94">
        <v>6000</v>
      </c>
      <c r="Y171" s="94"/>
      <c r="Z171" s="94">
        <v>6000</v>
      </c>
      <c r="AA171" s="94"/>
      <c r="AB171" s="94"/>
      <c r="AC171" s="94"/>
      <c r="AD171" s="94"/>
      <c r="AE171" s="94"/>
      <c r="AF17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171" s="94">
        <f>Programacion[[#This Row],[ENERO]]+Programacion[[#This Row],[FEBRERO]]+Programacion[[#This Row],[MARZO]]</f>
        <v>0</v>
      </c>
      <c r="AH171" s="94">
        <f>Programacion[[#This Row],[DEVENGADO ENERO]]+Programacion[[#This Row],[DEVENGADO FEBRERO]]+Programacion[[#This Row],[DEVENGADO MARZO]]</f>
        <v>0</v>
      </c>
      <c r="AI171" s="94">
        <f>Programacion[[#This Row],[ABRIL]]+Programacion[[#This Row],[MAYO]]+Programacion[[#This Row],[JUNIO]]</f>
        <v>12000</v>
      </c>
      <c r="AJ171" s="94">
        <f>Programacion[[#This Row],[DEVENGADO ABRIL]]+Programacion[[#This Row],[DEVENGADO MAYO]]+Programacion[[#This Row],[DEVENGADO JUNIO]]</f>
        <v>12000</v>
      </c>
      <c r="AK171" s="94">
        <f>Programacion[[#This Row],[JULIO]]+Programacion[[#This Row],[AGOSTO]]+Programacion[[#This Row],[SEPTIEMBRE]]</f>
        <v>18000</v>
      </c>
      <c r="AL171" s="94">
        <f>Programacion[[#This Row],[DEVENGADO JULIO]]+Programacion[[#This Row],[DEVENGADO AGOSTO]]+Programacion[[#This Row],[DEVENGADO SEPTIEMBRE]]</f>
        <v>6000</v>
      </c>
      <c r="AM171" s="94">
        <f>Programacion[[#This Row],[OCTUBRE]]+Programacion[[#This Row],[NOVIEMBRE]]+Programacion[[#This Row],[DICIEMBRE]]</f>
        <v>6000</v>
      </c>
      <c r="AN171" s="103">
        <f>Programacion[[#This Row],[DEVENGADO OCTUBRE]]+Programacion[[#This Row],[DEVENGADO NOVIEMBRE]]+Programacion[[#This Row],[DEVENGADO DICIEMBRE]]</f>
        <v>0</v>
      </c>
      <c r="AO171" s="103">
        <f>Programacion[[#This Row],[ENERO]]+Programacion[[#This Row],[FEBRERO]]+Programacion[[#This Row],[MARZO]]+Programacion[[#This Row],[ABRIL]]+Programacion[[#This Row],[MAYO]]+Programacion[[#This Row],[JUNIO]]</f>
        <v>12000</v>
      </c>
      <c r="AP17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1" s="10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7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171" s="123"/>
    </row>
    <row r="172" spans="1:46" ht="28.8" x14ac:dyDescent="0.3">
      <c r="A172" s="105" t="s">
        <v>160</v>
      </c>
      <c r="B172" s="96" t="s">
        <v>206</v>
      </c>
      <c r="C172" s="87" t="s">
        <v>58</v>
      </c>
      <c r="D172" s="87" t="s">
        <v>162</v>
      </c>
      <c r="E172" s="88">
        <v>97</v>
      </c>
      <c r="F172" s="89">
        <v>2.2999999999999998</v>
      </c>
      <c r="G172" s="87" t="s">
        <v>59</v>
      </c>
      <c r="H172" s="87">
        <v>7892.5</v>
      </c>
      <c r="I172" s="90">
        <v>7892.5</v>
      </c>
      <c r="J172" s="90"/>
      <c r="K172" s="90"/>
      <c r="L172" s="90">
        <v>7892.5</v>
      </c>
      <c r="M172" s="90">
        <v>7892.5</v>
      </c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1"/>
      <c r="AB172" s="106"/>
      <c r="AC172" s="106"/>
      <c r="AD172" s="106"/>
      <c r="AE172" s="106"/>
      <c r="AF17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172" s="94">
        <f>Programacion[[#This Row],[ENERO]]+Programacion[[#This Row],[FEBRERO]]+Programacion[[#This Row],[MARZO]]</f>
        <v>15785</v>
      </c>
      <c r="AH172" s="94">
        <f>Programacion[[#This Row],[DEVENGADO ENERO]]+Programacion[[#This Row],[DEVENGADO FEBRERO]]+Programacion[[#This Row],[DEVENGADO MARZO]]</f>
        <v>15785</v>
      </c>
      <c r="AI172" s="94">
        <f>Programacion[[#This Row],[ABRIL]]+Programacion[[#This Row],[MAYO]]+Programacion[[#This Row],[JUNIO]]</f>
        <v>0</v>
      </c>
      <c r="AJ172" s="94">
        <f>Programacion[[#This Row],[DEVENGADO ABRIL]]+Programacion[[#This Row],[DEVENGADO MAYO]]+Programacion[[#This Row],[DEVENGADO JUNIO]]</f>
        <v>0</v>
      </c>
      <c r="AK172" s="94">
        <f>Programacion[[#This Row],[JULIO]]+Programacion[[#This Row],[AGOSTO]]+Programacion[[#This Row],[SEPTIEMBRE]]</f>
        <v>0</v>
      </c>
      <c r="AL172" s="94">
        <f>Programacion[[#This Row],[DEVENGADO JULIO]]+Programacion[[#This Row],[DEVENGADO AGOSTO]]+Programacion[[#This Row],[DEVENGADO SEPTIEMBRE]]</f>
        <v>0</v>
      </c>
      <c r="AM172" s="94">
        <f>Programacion[[#This Row],[OCTUBRE]]+Programacion[[#This Row],[NOVIEMBRE]]+Programacion[[#This Row],[DICIEMBRE]]</f>
        <v>0</v>
      </c>
      <c r="AN172" s="95">
        <f>Programacion[[#This Row],[DEVENGADO OCTUBRE]]+Programacion[[#This Row],[DEVENGADO NOVIEMBRE]]+Programacion[[#This Row],[DEVENGADO DICIEMBRE]]</f>
        <v>0</v>
      </c>
      <c r="AO172" s="95">
        <f>Programacion[[#This Row],[ENERO]]+Programacion[[#This Row],[FEBRERO]]+Programacion[[#This Row],[MARZO]]+Programacion[[#This Row],[ABRIL]]+Programacion[[#This Row],[MAYO]]+Programacion[[#This Row],[JUNIO]]</f>
        <v>15785</v>
      </c>
      <c r="AP17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172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172" s="123"/>
    </row>
    <row r="173" spans="1:46" x14ac:dyDescent="0.3">
      <c r="A173" s="105" t="s">
        <v>160</v>
      </c>
      <c r="B173" s="96" t="s">
        <v>207</v>
      </c>
      <c r="C173" s="87" t="s">
        <v>208</v>
      </c>
      <c r="D173" s="87" t="s">
        <v>162</v>
      </c>
      <c r="E173" s="88">
        <v>97</v>
      </c>
      <c r="F173" s="89">
        <v>2.2999999999999998</v>
      </c>
      <c r="G173" s="87" t="s">
        <v>180</v>
      </c>
      <c r="H173" s="87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>
        <v>1870.2</v>
      </c>
      <c r="Y173" s="90"/>
      <c r="Z173" s="90"/>
      <c r="AA173" s="91"/>
      <c r="AB173" s="106"/>
      <c r="AC173" s="106"/>
      <c r="AD173" s="106"/>
      <c r="AE173" s="106"/>
      <c r="AF17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173" s="94">
        <f>Programacion[[#This Row],[ENERO]]+Programacion[[#This Row],[FEBRERO]]+Programacion[[#This Row],[MARZO]]</f>
        <v>0</v>
      </c>
      <c r="AH173" s="94">
        <f>Programacion[[#This Row],[DEVENGADO ENERO]]+Programacion[[#This Row],[DEVENGADO FEBRERO]]+Programacion[[#This Row],[DEVENGADO MARZO]]</f>
        <v>0</v>
      </c>
      <c r="AI173" s="94">
        <f>Programacion[[#This Row],[ABRIL]]+Programacion[[#This Row],[MAYO]]+Programacion[[#This Row],[JUNIO]]</f>
        <v>0</v>
      </c>
      <c r="AJ173" s="94">
        <f>Programacion[[#This Row],[DEVENGADO ABRIL]]+Programacion[[#This Row],[DEVENGADO MAYO]]+Programacion[[#This Row],[DEVENGADO JUNIO]]</f>
        <v>0</v>
      </c>
      <c r="AK173" s="94">
        <f>Programacion[[#This Row],[JULIO]]+Programacion[[#This Row],[AGOSTO]]+Programacion[[#This Row],[SEPTIEMBRE]]</f>
        <v>1870.2</v>
      </c>
      <c r="AL173" s="94">
        <f>Programacion[[#This Row],[DEVENGADO JULIO]]+Programacion[[#This Row],[DEVENGADO AGOSTO]]+Programacion[[#This Row],[DEVENGADO SEPTIEMBRE]]</f>
        <v>0</v>
      </c>
      <c r="AM173" s="94">
        <f>Programacion[[#This Row],[OCTUBRE]]+Programacion[[#This Row],[NOVIEMBRE]]+Programacion[[#This Row],[DICIEMBRE]]</f>
        <v>0</v>
      </c>
      <c r="AN173" s="95">
        <f>Programacion[[#This Row],[DEVENGADO OCTUBRE]]+Programacion[[#This Row],[DEVENGADO NOVIEMBRE]]+Programacion[[#This Row],[DEVENGADO DICIEMBRE]]</f>
        <v>0</v>
      </c>
      <c r="AO173" s="95">
        <f>Programacion[[#This Row],[ENERO]]+Programacion[[#This Row],[FEBRERO]]+Programacion[[#This Row],[MARZO]]+Programacion[[#This Row],[ABRIL]]+Programacion[[#This Row],[MAYO]]+Programacion[[#This Row],[JUNIO]]</f>
        <v>0</v>
      </c>
      <c r="AP173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95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173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3" s="123"/>
    </row>
    <row r="174" spans="1:46" x14ac:dyDescent="0.3">
      <c r="A174" s="105" t="s">
        <v>160</v>
      </c>
      <c r="B174" s="96" t="s">
        <v>209</v>
      </c>
      <c r="C174" s="97" t="s">
        <v>47</v>
      </c>
      <c r="D174" s="87" t="s">
        <v>162</v>
      </c>
      <c r="E174" s="98">
        <v>97</v>
      </c>
      <c r="F174" s="99">
        <v>2.2999999999999998</v>
      </c>
      <c r="G174" s="100" t="s">
        <v>49</v>
      </c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>
        <v>1600</v>
      </c>
      <c r="Y174" s="94"/>
      <c r="Z174" s="94"/>
      <c r="AA174" s="94"/>
      <c r="AB174" s="94"/>
      <c r="AC174" s="94"/>
      <c r="AD174" s="94"/>
      <c r="AE174" s="94"/>
      <c r="AF174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4" s="94">
        <f>Programacion[[#This Row],[ENERO]]+Programacion[[#This Row],[FEBRERO]]+Programacion[[#This Row],[MARZO]]</f>
        <v>0</v>
      </c>
      <c r="AH174" s="94">
        <f>Programacion[[#This Row],[DEVENGADO ENERO]]+Programacion[[#This Row],[DEVENGADO FEBRERO]]+Programacion[[#This Row],[DEVENGADO MARZO]]</f>
        <v>0</v>
      </c>
      <c r="AI174" s="94">
        <f>Programacion[[#This Row],[ABRIL]]+Programacion[[#This Row],[MAYO]]+Programacion[[#This Row],[JUNIO]]</f>
        <v>0</v>
      </c>
      <c r="AJ174" s="94">
        <f>Programacion[[#This Row],[DEVENGADO ABRIL]]+Programacion[[#This Row],[DEVENGADO MAYO]]+Programacion[[#This Row],[DEVENGADO JUNIO]]</f>
        <v>0</v>
      </c>
      <c r="AK174" s="94">
        <f>Programacion[[#This Row],[JULIO]]+Programacion[[#This Row],[AGOSTO]]+Programacion[[#This Row],[SEPTIEMBRE]]</f>
        <v>1600</v>
      </c>
      <c r="AL174" s="94">
        <f>Programacion[[#This Row],[DEVENGADO JULIO]]+Programacion[[#This Row],[DEVENGADO AGOSTO]]+Programacion[[#This Row],[DEVENGADO SEPTIEMBRE]]</f>
        <v>0</v>
      </c>
      <c r="AM174" s="94">
        <f>Programacion[[#This Row],[OCTUBRE]]+Programacion[[#This Row],[NOVIEMBRE]]+Programacion[[#This Row],[DICIEMBRE]]</f>
        <v>0</v>
      </c>
      <c r="AN174" s="94">
        <f>Programacion[[#This Row],[DEVENGADO OCTUBRE]]+Programacion[[#This Row],[DEVENGADO NOVIEMBRE]]+Programacion[[#This Row],[DEVENGADO DICIEMBRE]]</f>
        <v>0</v>
      </c>
      <c r="AO174" s="94">
        <f>Programacion[[#This Row],[ENERO]]+Programacion[[#This Row],[FEBRERO]]+Programacion[[#This Row],[MARZO]]+Programacion[[#This Row],[ABRIL]]+Programacion[[#This Row],[MAYO]]+Programacion[[#This Row],[JUNIO]]</f>
        <v>0</v>
      </c>
      <c r="AP174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4" s="9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4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4" s="123"/>
    </row>
    <row r="175" spans="1:46" x14ac:dyDescent="0.3">
      <c r="A175" s="105" t="s">
        <v>160</v>
      </c>
      <c r="B175" s="96" t="s">
        <v>210</v>
      </c>
      <c r="C175" s="97" t="s">
        <v>47</v>
      </c>
      <c r="D175" s="87" t="s">
        <v>162</v>
      </c>
      <c r="E175" s="98">
        <v>97</v>
      </c>
      <c r="F175" s="99">
        <v>2.2999999999999998</v>
      </c>
      <c r="G175" s="100" t="s">
        <v>51</v>
      </c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>
        <v>1620</v>
      </c>
      <c r="Y175" s="94"/>
      <c r="Z175" s="94"/>
      <c r="AA175" s="94"/>
      <c r="AB175" s="94"/>
      <c r="AC175" s="94"/>
      <c r="AD175" s="94"/>
      <c r="AE175" s="94"/>
      <c r="AF175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5" s="94">
        <f>Programacion[[#This Row],[ENERO]]+Programacion[[#This Row],[FEBRERO]]+Programacion[[#This Row],[MARZO]]</f>
        <v>0</v>
      </c>
      <c r="AH175" s="94">
        <f>Programacion[[#This Row],[DEVENGADO ENERO]]+Programacion[[#This Row],[DEVENGADO FEBRERO]]+Programacion[[#This Row],[DEVENGADO MARZO]]</f>
        <v>0</v>
      </c>
      <c r="AI175" s="94">
        <f>Programacion[[#This Row],[ABRIL]]+Programacion[[#This Row],[MAYO]]+Programacion[[#This Row],[JUNIO]]</f>
        <v>0</v>
      </c>
      <c r="AJ175" s="94">
        <f>Programacion[[#This Row],[DEVENGADO ABRIL]]+Programacion[[#This Row],[DEVENGADO MAYO]]+Programacion[[#This Row],[DEVENGADO JUNIO]]</f>
        <v>0</v>
      </c>
      <c r="AK175" s="94">
        <f>Programacion[[#This Row],[JULIO]]+Programacion[[#This Row],[AGOSTO]]+Programacion[[#This Row],[SEPTIEMBRE]]</f>
        <v>1620</v>
      </c>
      <c r="AL175" s="94">
        <f>Programacion[[#This Row],[DEVENGADO JULIO]]+Programacion[[#This Row],[DEVENGADO AGOSTO]]+Programacion[[#This Row],[DEVENGADO SEPTIEMBRE]]</f>
        <v>0</v>
      </c>
      <c r="AM175" s="94">
        <f>Programacion[[#This Row],[OCTUBRE]]+Programacion[[#This Row],[NOVIEMBRE]]+Programacion[[#This Row],[DICIEMBRE]]</f>
        <v>0</v>
      </c>
      <c r="AN175" s="94">
        <f>Programacion[[#This Row],[DEVENGADO OCTUBRE]]+Programacion[[#This Row],[DEVENGADO NOVIEMBRE]]+Programacion[[#This Row],[DEVENGADO DICIEMBRE]]</f>
        <v>0</v>
      </c>
      <c r="AO175" s="94">
        <f>Programacion[[#This Row],[ENERO]]+Programacion[[#This Row],[FEBRERO]]+Programacion[[#This Row],[MARZO]]+Programacion[[#This Row],[ABRIL]]+Programacion[[#This Row],[MAYO]]+Programacion[[#This Row],[JUNIO]]</f>
        <v>0</v>
      </c>
      <c r="AP17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9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123"/>
    </row>
    <row r="176" spans="1:46" x14ac:dyDescent="0.3">
      <c r="A176" s="105" t="s">
        <v>160</v>
      </c>
      <c r="B176" s="96" t="s">
        <v>211</v>
      </c>
      <c r="C176" s="97" t="s">
        <v>47</v>
      </c>
      <c r="D176" s="87" t="s">
        <v>162</v>
      </c>
      <c r="E176" s="98">
        <v>97</v>
      </c>
      <c r="F176" s="99">
        <v>2.2999999999999998</v>
      </c>
      <c r="G176" s="100" t="s">
        <v>49</v>
      </c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>
        <v>344.7</v>
      </c>
      <c r="Y176" s="94"/>
      <c r="Z176" s="94"/>
      <c r="AA176" s="94"/>
      <c r="AB176" s="94"/>
      <c r="AC176" s="94"/>
      <c r="AD176" s="94"/>
      <c r="AE176" s="94"/>
      <c r="AF176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176" s="94">
        <f>Programacion[[#This Row],[ENERO]]+Programacion[[#This Row],[FEBRERO]]+Programacion[[#This Row],[MARZO]]</f>
        <v>0</v>
      </c>
      <c r="AH176" s="94">
        <f>Programacion[[#This Row],[DEVENGADO ENERO]]+Programacion[[#This Row],[DEVENGADO FEBRERO]]+Programacion[[#This Row],[DEVENGADO MARZO]]</f>
        <v>0</v>
      </c>
      <c r="AI176" s="94">
        <f>Programacion[[#This Row],[ABRIL]]+Programacion[[#This Row],[MAYO]]+Programacion[[#This Row],[JUNIO]]</f>
        <v>0</v>
      </c>
      <c r="AJ176" s="94">
        <f>Programacion[[#This Row],[DEVENGADO ABRIL]]+Programacion[[#This Row],[DEVENGADO MAYO]]+Programacion[[#This Row],[DEVENGADO JUNIO]]</f>
        <v>0</v>
      </c>
      <c r="AK176" s="94">
        <f>Programacion[[#This Row],[JULIO]]+Programacion[[#This Row],[AGOSTO]]+Programacion[[#This Row],[SEPTIEMBRE]]</f>
        <v>344.7</v>
      </c>
      <c r="AL176" s="94">
        <f>Programacion[[#This Row],[DEVENGADO JULIO]]+Programacion[[#This Row],[DEVENGADO AGOSTO]]+Programacion[[#This Row],[DEVENGADO SEPTIEMBRE]]</f>
        <v>0</v>
      </c>
      <c r="AM176" s="94">
        <f>Programacion[[#This Row],[OCTUBRE]]+Programacion[[#This Row],[NOVIEMBRE]]+Programacion[[#This Row],[DICIEMBRE]]</f>
        <v>0</v>
      </c>
      <c r="AN176" s="94">
        <f>Programacion[[#This Row],[DEVENGADO OCTUBRE]]+Programacion[[#This Row],[DEVENGADO NOVIEMBRE]]+Programacion[[#This Row],[DEVENGADO DICIEMBRE]]</f>
        <v>0</v>
      </c>
      <c r="AO176" s="94">
        <f>Programacion[[#This Row],[ENERO]]+Programacion[[#This Row],[FEBRERO]]+Programacion[[#This Row],[MARZO]]+Programacion[[#This Row],[ABRIL]]+Programacion[[#This Row],[MAYO]]+Programacion[[#This Row],[JUNIO]]</f>
        <v>0</v>
      </c>
      <c r="AP176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94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176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6" s="123"/>
    </row>
    <row r="177" spans="1:46" ht="28.8" x14ac:dyDescent="0.3">
      <c r="A177" s="105" t="s">
        <v>160</v>
      </c>
      <c r="B177" s="96" t="s">
        <v>212</v>
      </c>
      <c r="C177" s="97" t="s">
        <v>213</v>
      </c>
      <c r="D177" s="87" t="s">
        <v>162</v>
      </c>
      <c r="E177" s="98">
        <v>98</v>
      </c>
      <c r="F177" s="99">
        <v>2.2999999999999998</v>
      </c>
      <c r="G177" s="100" t="s">
        <v>214</v>
      </c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>
        <v>2020</v>
      </c>
      <c r="S177" s="94">
        <v>2020</v>
      </c>
      <c r="T177" s="94"/>
      <c r="U177" s="94"/>
      <c r="V177" s="94">
        <v>8080</v>
      </c>
      <c r="W177" s="94"/>
      <c r="X177" s="94"/>
      <c r="Y177" s="94"/>
      <c r="Z177" s="94"/>
      <c r="AA177" s="94"/>
      <c r="AB177" s="94"/>
      <c r="AC177" s="94"/>
      <c r="AD177" s="94"/>
      <c r="AE177" s="94"/>
      <c r="AF177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177" s="94">
        <f>Programacion[[#This Row],[ENERO]]+Programacion[[#This Row],[FEBRERO]]+Programacion[[#This Row],[MARZO]]</f>
        <v>0</v>
      </c>
      <c r="AH177" s="94">
        <f>Programacion[[#This Row],[DEVENGADO ENERO]]+Programacion[[#This Row],[DEVENGADO FEBRERO]]+Programacion[[#This Row],[DEVENGADO MARZO]]</f>
        <v>0</v>
      </c>
      <c r="AI177" s="94">
        <f>Programacion[[#This Row],[ABRIL]]+Programacion[[#This Row],[MAYO]]+Programacion[[#This Row],[JUNIO]]</f>
        <v>2020</v>
      </c>
      <c r="AJ177" s="94">
        <f>Programacion[[#This Row],[DEVENGADO ABRIL]]+Programacion[[#This Row],[DEVENGADO MAYO]]+Programacion[[#This Row],[DEVENGADO JUNIO]]</f>
        <v>2020</v>
      </c>
      <c r="AK177" s="94">
        <f>Programacion[[#This Row],[JULIO]]+Programacion[[#This Row],[AGOSTO]]+Programacion[[#This Row],[SEPTIEMBRE]]</f>
        <v>8080</v>
      </c>
      <c r="AL177" s="94">
        <f>Programacion[[#This Row],[DEVENGADO JULIO]]+Programacion[[#This Row],[DEVENGADO AGOSTO]]+Programacion[[#This Row],[DEVENGADO SEPTIEMBRE]]</f>
        <v>0</v>
      </c>
      <c r="AM177" s="94">
        <f>Programacion[[#This Row],[OCTUBRE]]+Programacion[[#This Row],[NOVIEMBRE]]+Programacion[[#This Row],[DICIEMBRE]]</f>
        <v>0</v>
      </c>
      <c r="AN177" s="94">
        <f>Programacion[[#This Row],[DEVENGADO OCTUBRE]]+Programacion[[#This Row],[DEVENGADO NOVIEMBRE]]+Programacion[[#This Row],[DEVENGADO DICIEMBRE]]</f>
        <v>0</v>
      </c>
      <c r="AO177" s="94">
        <f>Programacion[[#This Row],[ENERO]]+Programacion[[#This Row],[FEBRERO]]+Programacion[[#This Row],[MARZO]]+Programacion[[#This Row],[ABRIL]]+Programacion[[#This Row],[MAYO]]+Programacion[[#This Row],[JUNIO]]</f>
        <v>2020</v>
      </c>
      <c r="AP177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177" s="94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177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177" s="123"/>
    </row>
    <row r="178" spans="1:46" ht="57.6" x14ac:dyDescent="0.3">
      <c r="A178" s="105" t="s">
        <v>160</v>
      </c>
      <c r="B178" s="96" t="s">
        <v>215</v>
      </c>
      <c r="C178" s="87" t="s">
        <v>213</v>
      </c>
      <c r="D178" s="87" t="s">
        <v>162</v>
      </c>
      <c r="E178" s="88">
        <v>98</v>
      </c>
      <c r="F178" s="89">
        <v>2.2999999999999998</v>
      </c>
      <c r="G178" s="87" t="s">
        <v>214</v>
      </c>
      <c r="H178" s="87"/>
      <c r="I178" s="90"/>
      <c r="J178" s="90"/>
      <c r="K178" s="90"/>
      <c r="L178" s="90">
        <v>2870</v>
      </c>
      <c r="M178" s="90">
        <v>2870</v>
      </c>
      <c r="N178" s="90"/>
      <c r="O178" s="90"/>
      <c r="P178" s="90">
        <v>5330</v>
      </c>
      <c r="Q178" s="90">
        <v>5330</v>
      </c>
      <c r="R178" s="90"/>
      <c r="S178" s="90"/>
      <c r="T178" s="90"/>
      <c r="U178" s="90"/>
      <c r="V178" s="90"/>
      <c r="W178" s="90"/>
      <c r="X178" s="90"/>
      <c r="Y178" s="90"/>
      <c r="Z178" s="90"/>
      <c r="AA178" s="91"/>
      <c r="AB178" s="106"/>
      <c r="AC178" s="106"/>
      <c r="AD178" s="106"/>
      <c r="AE178" s="106"/>
      <c r="AF17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178" s="94">
        <f>Programacion[[#This Row],[ENERO]]+Programacion[[#This Row],[FEBRERO]]+Programacion[[#This Row],[MARZO]]</f>
        <v>2870</v>
      </c>
      <c r="AH178" s="94">
        <f>Programacion[[#This Row],[DEVENGADO ENERO]]+Programacion[[#This Row],[DEVENGADO FEBRERO]]+Programacion[[#This Row],[DEVENGADO MARZO]]</f>
        <v>2870</v>
      </c>
      <c r="AI178" s="94">
        <f>Programacion[[#This Row],[ABRIL]]+Programacion[[#This Row],[MAYO]]+Programacion[[#This Row],[JUNIO]]</f>
        <v>5330</v>
      </c>
      <c r="AJ178" s="94">
        <f>Programacion[[#This Row],[DEVENGADO ABRIL]]+Programacion[[#This Row],[DEVENGADO MAYO]]+Programacion[[#This Row],[DEVENGADO JUNIO]]</f>
        <v>5330</v>
      </c>
      <c r="AK178" s="94">
        <f>Programacion[[#This Row],[JULIO]]+Programacion[[#This Row],[AGOSTO]]+Programacion[[#This Row],[SEPTIEMBRE]]</f>
        <v>0</v>
      </c>
      <c r="AL178" s="94">
        <f>Programacion[[#This Row],[DEVENGADO JULIO]]+Programacion[[#This Row],[DEVENGADO AGOSTO]]+Programacion[[#This Row],[DEVENGADO SEPTIEMBRE]]</f>
        <v>0</v>
      </c>
      <c r="AM178" s="94">
        <f>Programacion[[#This Row],[OCTUBRE]]+Programacion[[#This Row],[NOVIEMBRE]]+Programacion[[#This Row],[DICIEMBRE]]</f>
        <v>0</v>
      </c>
      <c r="AN178" s="95">
        <f>Programacion[[#This Row],[DEVENGADO OCTUBRE]]+Programacion[[#This Row],[DEVENGADO NOVIEMBRE]]+Programacion[[#This Row],[DEVENGADO DICIEMBRE]]</f>
        <v>0</v>
      </c>
      <c r="AO178" s="95">
        <f>Programacion[[#This Row],[ENERO]]+Programacion[[#This Row],[FEBRERO]]+Programacion[[#This Row],[MARZO]]+Programacion[[#This Row],[ABRIL]]+Programacion[[#This Row],[MAYO]]+Programacion[[#This Row],[JUNIO]]</f>
        <v>8200</v>
      </c>
      <c r="AP178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178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178" s="123"/>
    </row>
    <row r="179" spans="1:46" x14ac:dyDescent="0.3">
      <c r="A179" s="105" t="s">
        <v>160</v>
      </c>
      <c r="B179" s="96" t="s">
        <v>216</v>
      </c>
      <c r="C179" s="97" t="s">
        <v>76</v>
      </c>
      <c r="D179" s="100" t="s">
        <v>162</v>
      </c>
      <c r="E179" s="98">
        <v>98</v>
      </c>
      <c r="F179" s="99">
        <v>2.2999999999999998</v>
      </c>
      <c r="G179" s="100" t="s">
        <v>77</v>
      </c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>
        <v>147</v>
      </c>
      <c r="AA179" s="94"/>
      <c r="AB179" s="94"/>
      <c r="AC179" s="94"/>
      <c r="AD179" s="94"/>
      <c r="AE179" s="94"/>
      <c r="AF179" s="9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179" s="94">
        <f>Programacion[[#This Row],[ENERO]]+Programacion[[#This Row],[FEBRERO]]+Programacion[[#This Row],[MARZO]]</f>
        <v>0</v>
      </c>
      <c r="AH179" s="94">
        <f>Programacion[[#This Row],[DEVENGADO ENERO]]+Programacion[[#This Row],[DEVENGADO FEBRERO]]+Programacion[[#This Row],[DEVENGADO MARZO]]</f>
        <v>0</v>
      </c>
      <c r="AI179" s="94">
        <f>Programacion[[#This Row],[ABRIL]]+Programacion[[#This Row],[MAYO]]+Programacion[[#This Row],[JUNIO]]</f>
        <v>0</v>
      </c>
      <c r="AJ179" s="94">
        <f>Programacion[[#This Row],[DEVENGADO ABRIL]]+Programacion[[#This Row],[DEVENGADO MAYO]]+Programacion[[#This Row],[DEVENGADO JUNIO]]</f>
        <v>0</v>
      </c>
      <c r="AK179" s="94">
        <f>Programacion[[#This Row],[JULIO]]+Programacion[[#This Row],[AGOSTO]]+Programacion[[#This Row],[SEPTIEMBRE]]</f>
        <v>0</v>
      </c>
      <c r="AL179" s="94">
        <f>Programacion[[#This Row],[DEVENGADO JULIO]]+Programacion[[#This Row],[DEVENGADO AGOSTO]]+Programacion[[#This Row],[DEVENGADO SEPTIEMBRE]]</f>
        <v>0</v>
      </c>
      <c r="AM179" s="94">
        <f>Programacion[[#This Row],[OCTUBRE]]+Programacion[[#This Row],[NOVIEMBRE]]+Programacion[[#This Row],[DICIEMBRE]]</f>
        <v>147</v>
      </c>
      <c r="AN179" s="94">
        <f>Programacion[[#This Row],[DEVENGADO OCTUBRE]]+Programacion[[#This Row],[DEVENGADO NOVIEMBRE]]+Programacion[[#This Row],[DEVENGADO DICIEMBRE]]</f>
        <v>0</v>
      </c>
      <c r="AO179" s="94">
        <f>Programacion[[#This Row],[ENERO]]+Programacion[[#This Row],[FEBRERO]]+Programacion[[#This Row],[MARZO]]+Programacion[[#This Row],[ABRIL]]+Programacion[[#This Row],[MAYO]]+Programacion[[#This Row],[JUNIO]]</f>
        <v>0</v>
      </c>
      <c r="AP179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94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179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123"/>
    </row>
    <row r="180" spans="1:46" x14ac:dyDescent="0.3">
      <c r="A180" s="105" t="s">
        <v>160</v>
      </c>
      <c r="B180" s="96" t="s">
        <v>217</v>
      </c>
      <c r="C180" s="87" t="s">
        <v>208</v>
      </c>
      <c r="D180" s="87" t="s">
        <v>162</v>
      </c>
      <c r="E180" s="88">
        <v>98</v>
      </c>
      <c r="F180" s="89">
        <v>2.2999999999999998</v>
      </c>
      <c r="G180" s="87" t="s">
        <v>180</v>
      </c>
      <c r="H180" s="87"/>
      <c r="I180" s="90"/>
      <c r="J180" s="90"/>
      <c r="K180" s="90"/>
      <c r="L180" s="90"/>
      <c r="M180" s="90"/>
      <c r="N180" s="90"/>
      <c r="O180" s="90"/>
      <c r="P180" s="90"/>
      <c r="Q180" s="90"/>
      <c r="R180" s="90">
        <v>5450</v>
      </c>
      <c r="S180" s="90">
        <v>5450</v>
      </c>
      <c r="T180" s="90"/>
      <c r="U180" s="90"/>
      <c r="V180" s="90"/>
      <c r="W180" s="90"/>
      <c r="X180" s="90"/>
      <c r="Y180" s="90"/>
      <c r="Z180" s="90"/>
      <c r="AA180" s="91"/>
      <c r="AB180" s="106"/>
      <c r="AC180" s="106"/>
      <c r="AD180" s="106"/>
      <c r="AE180" s="106"/>
      <c r="AF18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180" s="94">
        <f>Programacion[[#This Row],[ENERO]]+Programacion[[#This Row],[FEBRERO]]+Programacion[[#This Row],[MARZO]]</f>
        <v>0</v>
      </c>
      <c r="AH180" s="94">
        <f>Programacion[[#This Row],[DEVENGADO ENERO]]+Programacion[[#This Row],[DEVENGADO FEBRERO]]+Programacion[[#This Row],[DEVENGADO MARZO]]</f>
        <v>0</v>
      </c>
      <c r="AI180" s="94">
        <f>Programacion[[#This Row],[ABRIL]]+Programacion[[#This Row],[MAYO]]+Programacion[[#This Row],[JUNIO]]</f>
        <v>5450</v>
      </c>
      <c r="AJ180" s="94">
        <f>Programacion[[#This Row],[DEVENGADO ABRIL]]+Programacion[[#This Row],[DEVENGADO MAYO]]+Programacion[[#This Row],[DEVENGADO JUNIO]]</f>
        <v>5450</v>
      </c>
      <c r="AK180" s="94">
        <f>Programacion[[#This Row],[JULIO]]+Programacion[[#This Row],[AGOSTO]]+Programacion[[#This Row],[SEPTIEMBRE]]</f>
        <v>0</v>
      </c>
      <c r="AL180" s="94">
        <f>Programacion[[#This Row],[DEVENGADO JULIO]]+Programacion[[#This Row],[DEVENGADO AGOSTO]]+Programacion[[#This Row],[DEVENGADO SEPTIEMBRE]]</f>
        <v>0</v>
      </c>
      <c r="AM180" s="94">
        <f>Programacion[[#This Row],[OCTUBRE]]+Programacion[[#This Row],[NOVIEMBRE]]+Programacion[[#This Row],[DICIEMBRE]]</f>
        <v>0</v>
      </c>
      <c r="AN180" s="95">
        <f>Programacion[[#This Row],[DEVENGADO OCTUBRE]]+Programacion[[#This Row],[DEVENGADO NOVIEMBRE]]+Programacion[[#This Row],[DEVENGADO DICIEMBRE]]</f>
        <v>0</v>
      </c>
      <c r="AO180" s="95">
        <f>Programacion[[#This Row],[ENERO]]+Programacion[[#This Row],[FEBRERO]]+Programacion[[#This Row],[MARZO]]+Programacion[[#This Row],[ABRIL]]+Programacion[[#This Row],[MAYO]]+Programacion[[#This Row],[JUNIO]]</f>
        <v>5450</v>
      </c>
      <c r="AP180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180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180" s="123"/>
    </row>
    <row r="181" spans="1:46" ht="28.8" x14ac:dyDescent="0.3">
      <c r="A181" s="105" t="s">
        <v>160</v>
      </c>
      <c r="B181" s="96" t="s">
        <v>206</v>
      </c>
      <c r="C181" s="87" t="s">
        <v>58</v>
      </c>
      <c r="D181" s="87" t="s">
        <v>162</v>
      </c>
      <c r="E181" s="88">
        <v>98</v>
      </c>
      <c r="F181" s="89">
        <v>2.2999999999999998</v>
      </c>
      <c r="G181" s="87" t="s">
        <v>59</v>
      </c>
      <c r="H181" s="87"/>
      <c r="I181" s="90"/>
      <c r="J181" s="90"/>
      <c r="K181" s="90"/>
      <c r="L181" s="90"/>
      <c r="M181" s="90"/>
      <c r="N181" s="90">
        <v>10500</v>
      </c>
      <c r="O181" s="90">
        <v>10500</v>
      </c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1"/>
      <c r="AB181" s="106"/>
      <c r="AC181" s="106"/>
      <c r="AD181" s="106"/>
      <c r="AE181" s="106"/>
      <c r="AF18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181" s="94">
        <f>Programacion[[#This Row],[ENERO]]+Programacion[[#This Row],[FEBRERO]]+Programacion[[#This Row],[MARZO]]</f>
        <v>0</v>
      </c>
      <c r="AH181" s="94">
        <f>Programacion[[#This Row],[DEVENGADO ENERO]]+Programacion[[#This Row],[DEVENGADO FEBRERO]]+Programacion[[#This Row],[DEVENGADO MARZO]]</f>
        <v>0</v>
      </c>
      <c r="AI181" s="94">
        <f>Programacion[[#This Row],[ABRIL]]+Programacion[[#This Row],[MAYO]]+Programacion[[#This Row],[JUNIO]]</f>
        <v>10500</v>
      </c>
      <c r="AJ181" s="94">
        <f>Programacion[[#This Row],[DEVENGADO ABRIL]]+Programacion[[#This Row],[DEVENGADO MAYO]]+Programacion[[#This Row],[DEVENGADO JUNIO]]</f>
        <v>10500</v>
      </c>
      <c r="AK181" s="94">
        <f>Programacion[[#This Row],[JULIO]]+Programacion[[#This Row],[AGOSTO]]+Programacion[[#This Row],[SEPTIEMBRE]]</f>
        <v>0</v>
      </c>
      <c r="AL181" s="94">
        <f>Programacion[[#This Row],[DEVENGADO JULIO]]+Programacion[[#This Row],[DEVENGADO AGOSTO]]+Programacion[[#This Row],[DEVENGADO SEPTIEMBRE]]</f>
        <v>0</v>
      </c>
      <c r="AM181" s="94">
        <f>Programacion[[#This Row],[OCTUBRE]]+Programacion[[#This Row],[NOVIEMBRE]]+Programacion[[#This Row],[DICIEMBRE]]</f>
        <v>0</v>
      </c>
      <c r="AN181" s="95">
        <f>Programacion[[#This Row],[DEVENGADO OCTUBRE]]+Programacion[[#This Row],[DEVENGADO NOVIEMBRE]]+Programacion[[#This Row],[DEVENGADO DICIEMBRE]]</f>
        <v>0</v>
      </c>
      <c r="AO181" s="95">
        <f>Programacion[[#This Row],[ENERO]]+Programacion[[#This Row],[FEBRERO]]+Programacion[[#This Row],[MARZO]]+Programacion[[#This Row],[ABRIL]]+Programacion[[#This Row],[MAYO]]+Programacion[[#This Row],[JUNIO]]</f>
        <v>10500</v>
      </c>
      <c r="AP181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181" s="9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181" s="123"/>
    </row>
    <row r="182" spans="1:46" x14ac:dyDescent="0.3">
      <c r="A182" s="105" t="s">
        <v>160</v>
      </c>
      <c r="B182" s="96" t="s">
        <v>218</v>
      </c>
      <c r="C182" s="87" t="s">
        <v>58</v>
      </c>
      <c r="D182" s="87" t="s">
        <v>162</v>
      </c>
      <c r="E182" s="88">
        <v>98</v>
      </c>
      <c r="F182" s="89">
        <v>2.2999999999999998</v>
      </c>
      <c r="G182" s="87" t="s">
        <v>59</v>
      </c>
      <c r="H182" s="87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>
        <v>9500</v>
      </c>
      <c r="AA182" s="91"/>
      <c r="AB182" s="106"/>
      <c r="AC182" s="106"/>
      <c r="AD182" s="106"/>
      <c r="AE182" s="106"/>
      <c r="AF18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182" s="94">
        <f>Programacion[[#This Row],[ENERO]]+Programacion[[#This Row],[FEBRERO]]+Programacion[[#This Row],[MARZO]]</f>
        <v>0</v>
      </c>
      <c r="AH182" s="94">
        <f>Programacion[[#This Row],[DEVENGADO ENERO]]+Programacion[[#This Row],[DEVENGADO FEBRERO]]+Programacion[[#This Row],[DEVENGADO MARZO]]</f>
        <v>0</v>
      </c>
      <c r="AI182" s="94">
        <f>Programacion[[#This Row],[ABRIL]]+Programacion[[#This Row],[MAYO]]+Programacion[[#This Row],[JUNIO]]</f>
        <v>0</v>
      </c>
      <c r="AJ182" s="94">
        <f>Programacion[[#This Row],[DEVENGADO ABRIL]]+Programacion[[#This Row],[DEVENGADO MAYO]]+Programacion[[#This Row],[DEVENGADO JUNIO]]</f>
        <v>0</v>
      </c>
      <c r="AK182" s="94">
        <f>Programacion[[#This Row],[JULIO]]+Programacion[[#This Row],[AGOSTO]]+Programacion[[#This Row],[SEPTIEMBRE]]</f>
        <v>0</v>
      </c>
      <c r="AL182" s="94">
        <f>Programacion[[#This Row],[DEVENGADO JULIO]]+Programacion[[#This Row],[DEVENGADO AGOSTO]]+Programacion[[#This Row],[DEVENGADO SEPTIEMBRE]]</f>
        <v>0</v>
      </c>
      <c r="AM182" s="94">
        <f>Programacion[[#This Row],[OCTUBRE]]+Programacion[[#This Row],[NOVIEMBRE]]+Programacion[[#This Row],[DICIEMBRE]]</f>
        <v>9500</v>
      </c>
      <c r="AN182" s="95">
        <f>Programacion[[#This Row],[DEVENGADO OCTUBRE]]+Programacion[[#This Row],[DEVENGADO NOVIEMBRE]]+Programacion[[#This Row],[DEVENGADO DICIEMBRE]]</f>
        <v>0</v>
      </c>
      <c r="AO182" s="95">
        <f>Programacion[[#This Row],[ENERO]]+Programacion[[#This Row],[FEBRERO]]+Programacion[[#This Row],[MARZO]]+Programacion[[#This Row],[ABRIL]]+Programacion[[#This Row],[MAYO]]+Programacion[[#This Row],[JUNIO]]</f>
        <v>0</v>
      </c>
      <c r="AP182" s="9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95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182" s="9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123"/>
    </row>
    <row r="183" spans="1:46" ht="28.8" x14ac:dyDescent="0.3">
      <c r="A183" s="105" t="s">
        <v>160</v>
      </c>
      <c r="B183" s="96" t="s">
        <v>219</v>
      </c>
      <c r="C183" s="97" t="s">
        <v>58</v>
      </c>
      <c r="D183" s="87" t="s">
        <v>162</v>
      </c>
      <c r="E183" s="98">
        <v>99</v>
      </c>
      <c r="F183" s="89">
        <v>2.2999999999999998</v>
      </c>
      <c r="G183" s="100" t="s">
        <v>59</v>
      </c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>
        <v>6500</v>
      </c>
      <c r="W183" s="94"/>
      <c r="X183" s="94">
        <v>6500</v>
      </c>
      <c r="Y183" s="94"/>
      <c r="Z183" s="94">
        <v>6500</v>
      </c>
      <c r="AA183" s="94"/>
      <c r="AB183" s="94"/>
      <c r="AC183" s="94"/>
      <c r="AD183" s="94"/>
      <c r="AE183" s="94"/>
      <c r="AF183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183" s="94">
        <f>Programacion[[#This Row],[ENERO]]+Programacion[[#This Row],[FEBRERO]]+Programacion[[#This Row],[MARZO]]</f>
        <v>0</v>
      </c>
      <c r="AH183" s="94">
        <f>Programacion[[#This Row],[DEVENGADO ENERO]]+Programacion[[#This Row],[DEVENGADO FEBRERO]]+Programacion[[#This Row],[DEVENGADO MARZO]]</f>
        <v>0</v>
      </c>
      <c r="AI183" s="94">
        <f>Programacion[[#This Row],[ABRIL]]+Programacion[[#This Row],[MAYO]]+Programacion[[#This Row],[JUNIO]]</f>
        <v>0</v>
      </c>
      <c r="AJ183" s="94">
        <f>Programacion[[#This Row],[DEVENGADO ABRIL]]+Programacion[[#This Row],[DEVENGADO MAYO]]+Programacion[[#This Row],[DEVENGADO JUNIO]]</f>
        <v>0</v>
      </c>
      <c r="AK183" s="94">
        <f>Programacion[[#This Row],[JULIO]]+Programacion[[#This Row],[AGOSTO]]+Programacion[[#This Row],[SEPTIEMBRE]]</f>
        <v>13000</v>
      </c>
      <c r="AL183" s="94">
        <f>Programacion[[#This Row],[DEVENGADO JULIO]]+Programacion[[#This Row],[DEVENGADO AGOSTO]]+Programacion[[#This Row],[DEVENGADO SEPTIEMBRE]]</f>
        <v>0</v>
      </c>
      <c r="AM183" s="94">
        <f>Programacion[[#This Row],[OCTUBRE]]+Programacion[[#This Row],[NOVIEMBRE]]+Programacion[[#This Row],[DICIEMBRE]]</f>
        <v>6500</v>
      </c>
      <c r="AN183" s="103">
        <f>Programacion[[#This Row],[DEVENGADO OCTUBRE]]+Programacion[[#This Row],[DEVENGADO NOVIEMBRE]]+Programacion[[#This Row],[DEVENGADO DICIEMBRE]]</f>
        <v>0</v>
      </c>
      <c r="AO183" s="103">
        <f>Programacion[[#This Row],[ENERO]]+Programacion[[#This Row],[FEBRERO]]+Programacion[[#This Row],[MARZO]]+Programacion[[#This Row],[ABRIL]]+Programacion[[#This Row],[MAYO]]+Programacion[[#This Row],[JUNIO]]</f>
        <v>0</v>
      </c>
      <c r="AP183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03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183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23"/>
    </row>
    <row r="184" spans="1:46" ht="28.8" x14ac:dyDescent="0.3">
      <c r="A184" s="105" t="s">
        <v>160</v>
      </c>
      <c r="B184" s="96" t="s">
        <v>220</v>
      </c>
      <c r="C184" s="97" t="s">
        <v>58</v>
      </c>
      <c r="D184" s="87" t="s">
        <v>162</v>
      </c>
      <c r="E184" s="98">
        <v>99</v>
      </c>
      <c r="F184" s="89">
        <v>2.2999999999999998</v>
      </c>
      <c r="G184" s="100" t="s">
        <v>59</v>
      </c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>
        <v>8000</v>
      </c>
      <c r="Y184" s="94"/>
      <c r="Z184" s="94">
        <v>8608.68</v>
      </c>
      <c r="AA184" s="94"/>
      <c r="AB184" s="94"/>
      <c r="AC184" s="94"/>
      <c r="AD184" s="94"/>
      <c r="AE184" s="94"/>
      <c r="AF184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184" s="94">
        <f>Programacion[[#This Row],[ENERO]]+Programacion[[#This Row],[FEBRERO]]+Programacion[[#This Row],[MARZO]]</f>
        <v>0</v>
      </c>
      <c r="AH184" s="94">
        <f>Programacion[[#This Row],[DEVENGADO ENERO]]+Programacion[[#This Row],[DEVENGADO FEBRERO]]+Programacion[[#This Row],[DEVENGADO MARZO]]</f>
        <v>0</v>
      </c>
      <c r="AI184" s="94">
        <f>Programacion[[#This Row],[ABRIL]]+Programacion[[#This Row],[MAYO]]+Programacion[[#This Row],[JUNIO]]</f>
        <v>0</v>
      </c>
      <c r="AJ184" s="94">
        <f>Programacion[[#This Row],[DEVENGADO ABRIL]]+Programacion[[#This Row],[DEVENGADO MAYO]]+Programacion[[#This Row],[DEVENGADO JUNIO]]</f>
        <v>0</v>
      </c>
      <c r="AK184" s="94">
        <f>Programacion[[#This Row],[JULIO]]+Programacion[[#This Row],[AGOSTO]]+Programacion[[#This Row],[SEPTIEMBRE]]</f>
        <v>8000</v>
      </c>
      <c r="AL184" s="94">
        <f>Programacion[[#This Row],[DEVENGADO JULIO]]+Programacion[[#This Row],[DEVENGADO AGOSTO]]+Programacion[[#This Row],[DEVENGADO SEPTIEMBRE]]</f>
        <v>0</v>
      </c>
      <c r="AM184" s="94">
        <f>Programacion[[#This Row],[OCTUBRE]]+Programacion[[#This Row],[NOVIEMBRE]]+Programacion[[#This Row],[DICIEMBRE]]</f>
        <v>8608.68</v>
      </c>
      <c r="AN184" s="103">
        <f>Programacion[[#This Row],[DEVENGADO OCTUBRE]]+Programacion[[#This Row],[DEVENGADO NOVIEMBRE]]+Programacion[[#This Row],[DEVENGADO DICIEMBRE]]</f>
        <v>0</v>
      </c>
      <c r="AO184" s="103">
        <f>Programacion[[#This Row],[ENERO]]+Programacion[[#This Row],[FEBRERO]]+Programacion[[#This Row],[MARZO]]+Programacion[[#This Row],[ABRIL]]+Programacion[[#This Row],[MAYO]]+Programacion[[#This Row],[JUNIO]]</f>
        <v>0</v>
      </c>
      <c r="AP184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03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184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123"/>
    </row>
    <row r="185" spans="1:46" x14ac:dyDescent="0.3">
      <c r="A185" s="105" t="s">
        <v>160</v>
      </c>
      <c r="B185" s="96" t="s">
        <v>221</v>
      </c>
      <c r="C185" s="97" t="s">
        <v>76</v>
      </c>
      <c r="D185" s="87" t="s">
        <v>162</v>
      </c>
      <c r="E185" s="98">
        <v>99</v>
      </c>
      <c r="F185" s="89">
        <v>2.2999999999999998</v>
      </c>
      <c r="G185" s="100" t="s">
        <v>77</v>
      </c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>
        <v>2500</v>
      </c>
      <c r="AA185" s="94"/>
      <c r="AB185" s="94"/>
      <c r="AC185" s="94"/>
      <c r="AD185" s="94"/>
      <c r="AE185" s="94"/>
      <c r="AF185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85" s="94">
        <f>Programacion[[#This Row],[ENERO]]+Programacion[[#This Row],[FEBRERO]]+Programacion[[#This Row],[MARZO]]</f>
        <v>0</v>
      </c>
      <c r="AH185" s="94">
        <f>Programacion[[#This Row],[DEVENGADO ENERO]]+Programacion[[#This Row],[DEVENGADO FEBRERO]]+Programacion[[#This Row],[DEVENGADO MARZO]]</f>
        <v>0</v>
      </c>
      <c r="AI185" s="94">
        <f>Programacion[[#This Row],[ABRIL]]+Programacion[[#This Row],[MAYO]]+Programacion[[#This Row],[JUNIO]]</f>
        <v>0</v>
      </c>
      <c r="AJ185" s="94">
        <f>Programacion[[#This Row],[DEVENGADO ABRIL]]+Programacion[[#This Row],[DEVENGADO MAYO]]+Programacion[[#This Row],[DEVENGADO JUNIO]]</f>
        <v>0</v>
      </c>
      <c r="AK185" s="94">
        <f>Programacion[[#This Row],[JULIO]]+Programacion[[#This Row],[AGOSTO]]+Programacion[[#This Row],[SEPTIEMBRE]]</f>
        <v>0</v>
      </c>
      <c r="AL185" s="94">
        <f>Programacion[[#This Row],[DEVENGADO JULIO]]+Programacion[[#This Row],[DEVENGADO AGOSTO]]+Programacion[[#This Row],[DEVENGADO SEPTIEMBRE]]</f>
        <v>0</v>
      </c>
      <c r="AM185" s="94">
        <f>Programacion[[#This Row],[OCTUBRE]]+Programacion[[#This Row],[NOVIEMBRE]]+Programacion[[#This Row],[DICIEMBRE]]</f>
        <v>2500</v>
      </c>
      <c r="AN185" s="103">
        <f>Programacion[[#This Row],[DEVENGADO OCTUBRE]]+Programacion[[#This Row],[DEVENGADO NOVIEMBRE]]+Programacion[[#This Row],[DEVENGADO DICIEMBRE]]</f>
        <v>0</v>
      </c>
      <c r="AO185" s="103">
        <f>Programacion[[#This Row],[ENERO]]+Programacion[[#This Row],[FEBRERO]]+Programacion[[#This Row],[MARZO]]+Programacion[[#This Row],[ABRIL]]+Programacion[[#This Row],[MAYO]]+Programacion[[#This Row],[JUNIO]]</f>
        <v>0</v>
      </c>
      <c r="AP185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03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85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23"/>
    </row>
    <row r="186" spans="1:46" x14ac:dyDescent="0.3">
      <c r="A186" s="105" t="s">
        <v>160</v>
      </c>
      <c r="B186" s="96" t="s">
        <v>222</v>
      </c>
      <c r="C186" s="97" t="s">
        <v>47</v>
      </c>
      <c r="D186" s="87" t="s">
        <v>162</v>
      </c>
      <c r="E186" s="98">
        <v>99</v>
      </c>
      <c r="F186" s="89">
        <v>2.2999999999999998</v>
      </c>
      <c r="G186" s="100" t="s">
        <v>49</v>
      </c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>
        <v>2400</v>
      </c>
      <c r="AA186" s="94"/>
      <c r="AB186" s="94"/>
      <c r="AC186" s="94"/>
      <c r="AD186" s="94"/>
      <c r="AE186" s="94"/>
      <c r="AF186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86" s="94">
        <f>Programacion[[#This Row],[ENERO]]+Programacion[[#This Row],[FEBRERO]]+Programacion[[#This Row],[MARZO]]</f>
        <v>0</v>
      </c>
      <c r="AH186" s="94">
        <f>Programacion[[#This Row],[DEVENGADO ENERO]]+Programacion[[#This Row],[DEVENGADO FEBRERO]]+Programacion[[#This Row],[DEVENGADO MARZO]]</f>
        <v>0</v>
      </c>
      <c r="AI186" s="94">
        <f>Programacion[[#This Row],[ABRIL]]+Programacion[[#This Row],[MAYO]]+Programacion[[#This Row],[JUNIO]]</f>
        <v>0</v>
      </c>
      <c r="AJ186" s="94">
        <f>Programacion[[#This Row],[DEVENGADO ABRIL]]+Programacion[[#This Row],[DEVENGADO MAYO]]+Programacion[[#This Row],[DEVENGADO JUNIO]]</f>
        <v>0</v>
      </c>
      <c r="AK186" s="94">
        <f>Programacion[[#This Row],[JULIO]]+Programacion[[#This Row],[AGOSTO]]+Programacion[[#This Row],[SEPTIEMBRE]]</f>
        <v>0</v>
      </c>
      <c r="AL186" s="94">
        <f>Programacion[[#This Row],[DEVENGADO JULIO]]+Programacion[[#This Row],[DEVENGADO AGOSTO]]+Programacion[[#This Row],[DEVENGADO SEPTIEMBRE]]</f>
        <v>0</v>
      </c>
      <c r="AM186" s="94">
        <f>Programacion[[#This Row],[OCTUBRE]]+Programacion[[#This Row],[NOVIEMBRE]]+Programacion[[#This Row],[DICIEMBRE]]</f>
        <v>2400</v>
      </c>
      <c r="AN186" s="103">
        <f>Programacion[[#This Row],[DEVENGADO OCTUBRE]]+Programacion[[#This Row],[DEVENGADO NOVIEMBRE]]+Programacion[[#This Row],[DEVENGADO DICIEMBRE]]</f>
        <v>0</v>
      </c>
      <c r="AO186" s="103">
        <f>Programacion[[#This Row],[ENERO]]+Programacion[[#This Row],[FEBRERO]]+Programacion[[#This Row],[MARZO]]+Programacion[[#This Row],[ABRIL]]+Programacion[[#This Row],[MAYO]]+Programacion[[#This Row],[JUNIO]]</f>
        <v>0</v>
      </c>
      <c r="AP186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10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86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6" s="123"/>
    </row>
    <row r="187" spans="1:46" x14ac:dyDescent="0.3">
      <c r="A187" s="105" t="s">
        <v>160</v>
      </c>
      <c r="B187" s="96" t="s">
        <v>223</v>
      </c>
      <c r="C187" s="97" t="s">
        <v>47</v>
      </c>
      <c r="D187" s="87" t="s">
        <v>162</v>
      </c>
      <c r="E187" s="98">
        <v>99</v>
      </c>
      <c r="F187" s="89">
        <v>2.2999999999999998</v>
      </c>
      <c r="G187" s="100" t="s">
        <v>51</v>
      </c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>
        <v>1620</v>
      </c>
      <c r="AA187" s="94"/>
      <c r="AB187" s="94"/>
      <c r="AC187" s="94"/>
      <c r="AD187" s="94"/>
      <c r="AE187" s="94"/>
      <c r="AF187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87" s="94">
        <f>Programacion[[#This Row],[ENERO]]+Programacion[[#This Row],[FEBRERO]]+Programacion[[#This Row],[MARZO]]</f>
        <v>0</v>
      </c>
      <c r="AH187" s="94">
        <f>Programacion[[#This Row],[DEVENGADO ENERO]]+Programacion[[#This Row],[DEVENGADO FEBRERO]]+Programacion[[#This Row],[DEVENGADO MARZO]]</f>
        <v>0</v>
      </c>
      <c r="AI187" s="94">
        <f>Programacion[[#This Row],[ABRIL]]+Programacion[[#This Row],[MAYO]]+Programacion[[#This Row],[JUNIO]]</f>
        <v>0</v>
      </c>
      <c r="AJ187" s="94">
        <f>Programacion[[#This Row],[DEVENGADO ABRIL]]+Programacion[[#This Row],[DEVENGADO MAYO]]+Programacion[[#This Row],[DEVENGADO JUNIO]]</f>
        <v>0</v>
      </c>
      <c r="AK187" s="94">
        <f>Programacion[[#This Row],[JULIO]]+Programacion[[#This Row],[AGOSTO]]+Programacion[[#This Row],[SEPTIEMBRE]]</f>
        <v>0</v>
      </c>
      <c r="AL187" s="94">
        <f>Programacion[[#This Row],[DEVENGADO JULIO]]+Programacion[[#This Row],[DEVENGADO AGOSTO]]+Programacion[[#This Row],[DEVENGADO SEPTIEMBRE]]</f>
        <v>0</v>
      </c>
      <c r="AM187" s="94">
        <f>Programacion[[#This Row],[OCTUBRE]]+Programacion[[#This Row],[NOVIEMBRE]]+Programacion[[#This Row],[DICIEMBRE]]</f>
        <v>1620</v>
      </c>
      <c r="AN187" s="103">
        <f>Programacion[[#This Row],[DEVENGADO OCTUBRE]]+Programacion[[#This Row],[DEVENGADO NOVIEMBRE]]+Programacion[[#This Row],[DEVENGADO DICIEMBRE]]</f>
        <v>0</v>
      </c>
      <c r="AO187" s="103">
        <f>Programacion[[#This Row],[ENERO]]+Programacion[[#This Row],[FEBRERO]]+Programacion[[#This Row],[MARZO]]+Programacion[[#This Row],[ABRIL]]+Programacion[[#This Row],[MAYO]]+Programacion[[#This Row],[JUNIO]]</f>
        <v>0</v>
      </c>
      <c r="AP187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10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87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7" s="123"/>
    </row>
    <row r="188" spans="1:46" x14ac:dyDescent="0.3">
      <c r="A188" s="105" t="s">
        <v>160</v>
      </c>
      <c r="B188" s="96" t="s">
        <v>224</v>
      </c>
      <c r="C188" s="97" t="s">
        <v>76</v>
      </c>
      <c r="D188" s="87" t="s">
        <v>162</v>
      </c>
      <c r="E188" s="98">
        <v>99</v>
      </c>
      <c r="F188" s="89">
        <v>2.2999999999999998</v>
      </c>
      <c r="G188" s="100" t="s">
        <v>77</v>
      </c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>
        <v>176</v>
      </c>
      <c r="AA188" s="94"/>
      <c r="AB188" s="94"/>
      <c r="AC188" s="94"/>
      <c r="AD188" s="94"/>
      <c r="AE188" s="94"/>
      <c r="AF188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188" s="94">
        <f>Programacion[[#This Row],[ENERO]]+Programacion[[#This Row],[FEBRERO]]+Programacion[[#This Row],[MARZO]]</f>
        <v>0</v>
      </c>
      <c r="AH188" s="94">
        <f>Programacion[[#This Row],[DEVENGADO ENERO]]+Programacion[[#This Row],[DEVENGADO FEBRERO]]+Programacion[[#This Row],[DEVENGADO MARZO]]</f>
        <v>0</v>
      </c>
      <c r="AI188" s="94">
        <f>Programacion[[#This Row],[ABRIL]]+Programacion[[#This Row],[MAYO]]+Programacion[[#This Row],[JUNIO]]</f>
        <v>0</v>
      </c>
      <c r="AJ188" s="94">
        <f>Programacion[[#This Row],[DEVENGADO ABRIL]]+Programacion[[#This Row],[DEVENGADO MAYO]]+Programacion[[#This Row],[DEVENGADO JUNIO]]</f>
        <v>0</v>
      </c>
      <c r="AK188" s="94">
        <f>Programacion[[#This Row],[JULIO]]+Programacion[[#This Row],[AGOSTO]]+Programacion[[#This Row],[SEPTIEMBRE]]</f>
        <v>0</v>
      </c>
      <c r="AL188" s="94">
        <f>Programacion[[#This Row],[DEVENGADO JULIO]]+Programacion[[#This Row],[DEVENGADO AGOSTO]]+Programacion[[#This Row],[DEVENGADO SEPTIEMBRE]]</f>
        <v>0</v>
      </c>
      <c r="AM188" s="94">
        <f>Programacion[[#This Row],[OCTUBRE]]+Programacion[[#This Row],[NOVIEMBRE]]+Programacion[[#This Row],[DICIEMBRE]]</f>
        <v>176</v>
      </c>
      <c r="AN188" s="103">
        <f>Programacion[[#This Row],[DEVENGADO OCTUBRE]]+Programacion[[#This Row],[DEVENGADO NOVIEMBRE]]+Programacion[[#This Row],[DEVENGADO DICIEMBRE]]</f>
        <v>0</v>
      </c>
      <c r="AO188" s="103">
        <f>Programacion[[#This Row],[ENERO]]+Programacion[[#This Row],[FEBRERO]]+Programacion[[#This Row],[MARZO]]+Programacion[[#This Row],[ABRIL]]+Programacion[[#This Row],[MAYO]]+Programacion[[#This Row],[JUNIO]]</f>
        <v>0</v>
      </c>
      <c r="AP188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103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188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8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8" s="123"/>
    </row>
    <row r="189" spans="1:46" x14ac:dyDescent="0.3">
      <c r="A189" s="105" t="s">
        <v>160</v>
      </c>
      <c r="B189" s="96" t="s">
        <v>224</v>
      </c>
      <c r="C189" s="97" t="s">
        <v>76</v>
      </c>
      <c r="D189" s="87" t="s">
        <v>162</v>
      </c>
      <c r="E189" s="98">
        <v>99</v>
      </c>
      <c r="F189" s="89">
        <v>2.2999999999999998</v>
      </c>
      <c r="G189" s="100" t="s">
        <v>77</v>
      </c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>
        <v>3260</v>
      </c>
      <c r="AA189" s="94"/>
      <c r="AB189" s="94"/>
      <c r="AC189" s="94"/>
      <c r="AD189" s="94"/>
      <c r="AE189" s="94"/>
      <c r="AF189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189" s="94">
        <f>Programacion[[#This Row],[ENERO]]+Programacion[[#This Row],[FEBRERO]]+Programacion[[#This Row],[MARZO]]</f>
        <v>0</v>
      </c>
      <c r="AH189" s="94">
        <f>Programacion[[#This Row],[DEVENGADO ENERO]]+Programacion[[#This Row],[DEVENGADO FEBRERO]]+Programacion[[#This Row],[DEVENGADO MARZO]]</f>
        <v>0</v>
      </c>
      <c r="AI189" s="94">
        <f>Programacion[[#This Row],[ABRIL]]+Programacion[[#This Row],[MAYO]]+Programacion[[#This Row],[JUNIO]]</f>
        <v>0</v>
      </c>
      <c r="AJ189" s="94">
        <f>Programacion[[#This Row],[DEVENGADO ABRIL]]+Programacion[[#This Row],[DEVENGADO MAYO]]+Programacion[[#This Row],[DEVENGADO JUNIO]]</f>
        <v>0</v>
      </c>
      <c r="AK189" s="94">
        <f>Programacion[[#This Row],[JULIO]]+Programacion[[#This Row],[AGOSTO]]+Programacion[[#This Row],[SEPTIEMBRE]]</f>
        <v>0</v>
      </c>
      <c r="AL189" s="94">
        <f>Programacion[[#This Row],[DEVENGADO JULIO]]+Programacion[[#This Row],[DEVENGADO AGOSTO]]+Programacion[[#This Row],[DEVENGADO SEPTIEMBRE]]</f>
        <v>0</v>
      </c>
      <c r="AM189" s="94">
        <f>Programacion[[#This Row],[OCTUBRE]]+Programacion[[#This Row],[NOVIEMBRE]]+Programacion[[#This Row],[DICIEMBRE]]</f>
        <v>3260</v>
      </c>
      <c r="AN189" s="103">
        <f>Programacion[[#This Row],[DEVENGADO OCTUBRE]]+Programacion[[#This Row],[DEVENGADO NOVIEMBRE]]+Programacion[[#This Row],[DEVENGADO DICIEMBRE]]</f>
        <v>0</v>
      </c>
      <c r="AO189" s="103">
        <f>Programacion[[#This Row],[ENERO]]+Programacion[[#This Row],[FEBRERO]]+Programacion[[#This Row],[MARZO]]+Programacion[[#This Row],[ABRIL]]+Programacion[[#This Row],[MAYO]]+Programacion[[#This Row],[JUNIO]]</f>
        <v>0</v>
      </c>
      <c r="AP189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03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189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23"/>
    </row>
    <row r="190" spans="1:46" ht="28.8" x14ac:dyDescent="0.3">
      <c r="A190" s="105" t="s">
        <v>160</v>
      </c>
      <c r="B190" s="96" t="s">
        <v>225</v>
      </c>
      <c r="C190" s="97" t="s">
        <v>47</v>
      </c>
      <c r="D190" s="87" t="s">
        <v>162</v>
      </c>
      <c r="E190" s="98">
        <v>99</v>
      </c>
      <c r="F190" s="89">
        <v>2.2999999999999998</v>
      </c>
      <c r="G190" s="100" t="s">
        <v>49</v>
      </c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>
        <v>2400</v>
      </c>
      <c r="AA190" s="94"/>
      <c r="AB190" s="94"/>
      <c r="AC190" s="94"/>
      <c r="AD190" s="94"/>
      <c r="AE190" s="94"/>
      <c r="AF190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0" s="94">
        <f>Programacion[[#This Row],[ENERO]]+Programacion[[#This Row],[FEBRERO]]+Programacion[[#This Row],[MARZO]]</f>
        <v>0</v>
      </c>
      <c r="AH190" s="94">
        <f>Programacion[[#This Row],[DEVENGADO ENERO]]+Programacion[[#This Row],[DEVENGADO FEBRERO]]+Programacion[[#This Row],[DEVENGADO MARZO]]</f>
        <v>0</v>
      </c>
      <c r="AI190" s="94">
        <f>Programacion[[#This Row],[ABRIL]]+Programacion[[#This Row],[MAYO]]+Programacion[[#This Row],[JUNIO]]</f>
        <v>0</v>
      </c>
      <c r="AJ190" s="94">
        <f>Programacion[[#This Row],[DEVENGADO ABRIL]]+Programacion[[#This Row],[DEVENGADO MAYO]]+Programacion[[#This Row],[DEVENGADO JUNIO]]</f>
        <v>0</v>
      </c>
      <c r="AK190" s="94">
        <f>Programacion[[#This Row],[JULIO]]+Programacion[[#This Row],[AGOSTO]]+Programacion[[#This Row],[SEPTIEMBRE]]</f>
        <v>0</v>
      </c>
      <c r="AL190" s="94">
        <f>Programacion[[#This Row],[DEVENGADO JULIO]]+Programacion[[#This Row],[DEVENGADO AGOSTO]]+Programacion[[#This Row],[DEVENGADO SEPTIEMBRE]]</f>
        <v>0</v>
      </c>
      <c r="AM190" s="94">
        <f>Programacion[[#This Row],[OCTUBRE]]+Programacion[[#This Row],[NOVIEMBRE]]+Programacion[[#This Row],[DICIEMBRE]]</f>
        <v>2400</v>
      </c>
      <c r="AN190" s="103">
        <f>Programacion[[#This Row],[DEVENGADO OCTUBRE]]+Programacion[[#This Row],[DEVENGADO NOVIEMBRE]]+Programacion[[#This Row],[DEVENGADO DICIEMBRE]]</f>
        <v>0</v>
      </c>
      <c r="AO190" s="103">
        <f>Programacion[[#This Row],[ENERO]]+Programacion[[#This Row],[FEBRERO]]+Programacion[[#This Row],[MARZO]]+Programacion[[#This Row],[ABRIL]]+Programacion[[#This Row],[MAYO]]+Programacion[[#This Row],[JUNIO]]</f>
        <v>0</v>
      </c>
      <c r="AP190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0" s="10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0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0" s="123"/>
    </row>
    <row r="191" spans="1:46" ht="28.8" x14ac:dyDescent="0.3">
      <c r="A191" s="105" t="s">
        <v>160</v>
      </c>
      <c r="B191" s="96" t="s">
        <v>226</v>
      </c>
      <c r="C191" s="97" t="s">
        <v>47</v>
      </c>
      <c r="D191" s="87" t="s">
        <v>162</v>
      </c>
      <c r="E191" s="98">
        <v>99</v>
      </c>
      <c r="F191" s="89">
        <v>2.2999999999999998</v>
      </c>
      <c r="G191" s="100" t="s">
        <v>51</v>
      </c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>
        <v>1620</v>
      </c>
      <c r="AA191" s="94"/>
      <c r="AB191" s="94"/>
      <c r="AC191" s="94"/>
      <c r="AD191" s="94"/>
      <c r="AE191" s="94"/>
      <c r="AF191" s="10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1" s="94">
        <f>Programacion[[#This Row],[ENERO]]+Programacion[[#This Row],[FEBRERO]]+Programacion[[#This Row],[MARZO]]</f>
        <v>0</v>
      </c>
      <c r="AH191" s="94">
        <f>Programacion[[#This Row],[DEVENGADO ENERO]]+Programacion[[#This Row],[DEVENGADO FEBRERO]]+Programacion[[#This Row],[DEVENGADO MARZO]]</f>
        <v>0</v>
      </c>
      <c r="AI191" s="94">
        <f>Programacion[[#This Row],[ABRIL]]+Programacion[[#This Row],[MAYO]]+Programacion[[#This Row],[JUNIO]]</f>
        <v>0</v>
      </c>
      <c r="AJ191" s="94">
        <f>Programacion[[#This Row],[DEVENGADO ABRIL]]+Programacion[[#This Row],[DEVENGADO MAYO]]+Programacion[[#This Row],[DEVENGADO JUNIO]]</f>
        <v>0</v>
      </c>
      <c r="AK191" s="94">
        <f>Programacion[[#This Row],[JULIO]]+Programacion[[#This Row],[AGOSTO]]+Programacion[[#This Row],[SEPTIEMBRE]]</f>
        <v>0</v>
      </c>
      <c r="AL191" s="94">
        <f>Programacion[[#This Row],[DEVENGADO JULIO]]+Programacion[[#This Row],[DEVENGADO AGOSTO]]+Programacion[[#This Row],[DEVENGADO SEPTIEMBRE]]</f>
        <v>0</v>
      </c>
      <c r="AM191" s="94">
        <f>Programacion[[#This Row],[OCTUBRE]]+Programacion[[#This Row],[NOVIEMBRE]]+Programacion[[#This Row],[DICIEMBRE]]</f>
        <v>1620</v>
      </c>
      <c r="AN191" s="103">
        <f>Programacion[[#This Row],[DEVENGADO OCTUBRE]]+Programacion[[#This Row],[DEVENGADO NOVIEMBRE]]+Programacion[[#This Row],[DEVENGADO DICIEMBRE]]</f>
        <v>0</v>
      </c>
      <c r="AO191" s="103">
        <f>Programacion[[#This Row],[ENERO]]+Programacion[[#This Row],[FEBRERO]]+Programacion[[#This Row],[MARZO]]+Programacion[[#This Row],[ABRIL]]+Programacion[[#This Row],[MAYO]]+Programacion[[#This Row],[JUNIO]]</f>
        <v>0</v>
      </c>
      <c r="AP191" s="10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10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91" s="10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10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1" s="123"/>
    </row>
    <row r="192" spans="1:46" x14ac:dyDescent="0.3">
      <c r="A192" s="107" t="s">
        <v>227</v>
      </c>
      <c r="B192" s="108" t="s">
        <v>228</v>
      </c>
      <c r="C192" s="109" t="s">
        <v>58</v>
      </c>
      <c r="D192" s="109" t="s">
        <v>162</v>
      </c>
      <c r="E192" s="110">
        <v>102</v>
      </c>
      <c r="F192" s="111">
        <v>2.2999999999999998</v>
      </c>
      <c r="G192" s="109" t="s">
        <v>201</v>
      </c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>
        <v>3300</v>
      </c>
      <c r="U192" s="33">
        <v>3300</v>
      </c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192" s="33">
        <f>Programacion[[#This Row],[ENERO]]+Programacion[[#This Row],[FEBRERO]]+Programacion[[#This Row],[MARZO]]</f>
        <v>0</v>
      </c>
      <c r="AH192" s="33">
        <f>Programacion[[#This Row],[DEVENGADO ENERO]]+Programacion[[#This Row],[DEVENGADO FEBRERO]]+Programacion[[#This Row],[DEVENGADO MARZO]]</f>
        <v>0</v>
      </c>
      <c r="AI192" s="33">
        <f>Programacion[[#This Row],[ABRIL]]+Programacion[[#This Row],[MAYO]]+Programacion[[#This Row],[JUNIO]]</f>
        <v>0</v>
      </c>
      <c r="AJ192" s="33">
        <f>Programacion[[#This Row],[DEVENGADO ABRIL]]+Programacion[[#This Row],[DEVENGADO MAYO]]+Programacion[[#This Row],[DEVENGADO JUNIO]]</f>
        <v>0</v>
      </c>
      <c r="AK192" s="33">
        <f>Programacion[[#This Row],[JULIO]]+Programacion[[#This Row],[AGOSTO]]+Programacion[[#This Row],[SEPTIEMBRE]]</f>
        <v>3300</v>
      </c>
      <c r="AL192" s="33">
        <f>Programacion[[#This Row],[DEVENGADO JULIO]]+Programacion[[#This Row],[DEVENGADO AGOSTO]]+Programacion[[#This Row],[DEVENGADO SEPTIEMBRE]]</f>
        <v>3300</v>
      </c>
      <c r="AM192" s="33">
        <f>Programacion[[#This Row],[OCTUBRE]]+Programacion[[#This Row],[NOVIEMBRE]]+Programacion[[#This Row],[DICIEMBRE]]</f>
        <v>0</v>
      </c>
      <c r="AN192" s="21">
        <f>Programacion[[#This Row],[DEVENGADO OCTUBRE]]+Programacion[[#This Row],[DEVENGADO NOVIEMBRE]]+Programacion[[#This Row],[DEVENGADO DICIEMBRE]]</f>
        <v>0</v>
      </c>
      <c r="AO192" s="21">
        <f>Programacion[[#This Row],[ENERO]]+Programacion[[#This Row],[FEBRERO]]+Programacion[[#This Row],[MARZO]]+Programacion[[#This Row],[ABRIL]]+Programacion[[#This Row],[MAYO]]+Programacion[[#This Row],[JUNIO]]</f>
        <v>0</v>
      </c>
      <c r="AP1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1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1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192" s="123"/>
    </row>
    <row r="193" spans="1:46" x14ac:dyDescent="0.3">
      <c r="A193" s="107" t="s">
        <v>227</v>
      </c>
      <c r="B193" s="113" t="s">
        <v>229</v>
      </c>
      <c r="C193" s="109" t="s">
        <v>58</v>
      </c>
      <c r="D193" s="109" t="s">
        <v>162</v>
      </c>
      <c r="E193" s="110">
        <v>102</v>
      </c>
      <c r="F193" s="111">
        <v>2.2999999999999998</v>
      </c>
      <c r="G193" s="109" t="s">
        <v>59</v>
      </c>
      <c r="H193" s="33"/>
      <c r="I193" s="33"/>
      <c r="J193" s="33"/>
      <c r="K193" s="33"/>
      <c r="L193" s="33">
        <v>8000</v>
      </c>
      <c r="M193" s="33">
        <v>8000</v>
      </c>
      <c r="N193" s="33">
        <v>8000</v>
      </c>
      <c r="O193" s="33">
        <v>8000</v>
      </c>
      <c r="P193" s="33">
        <v>8000</v>
      </c>
      <c r="Q193" s="33">
        <v>8000</v>
      </c>
      <c r="R193" s="33">
        <v>8000</v>
      </c>
      <c r="S193" s="33">
        <v>8000</v>
      </c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93" s="33">
        <f>Programacion[[#This Row],[ENERO]]+Programacion[[#This Row],[FEBRERO]]+Programacion[[#This Row],[MARZO]]</f>
        <v>8000</v>
      </c>
      <c r="AH193" s="33">
        <f>Programacion[[#This Row],[DEVENGADO ENERO]]+Programacion[[#This Row],[DEVENGADO FEBRERO]]+Programacion[[#This Row],[DEVENGADO MARZO]]</f>
        <v>8000</v>
      </c>
      <c r="AI193" s="33">
        <f>Programacion[[#This Row],[ABRIL]]+Programacion[[#This Row],[MAYO]]+Programacion[[#This Row],[JUNIO]]</f>
        <v>24000</v>
      </c>
      <c r="AJ193" s="33">
        <f>Programacion[[#This Row],[DEVENGADO ABRIL]]+Programacion[[#This Row],[DEVENGADO MAYO]]+Programacion[[#This Row],[DEVENGADO JUNIO]]</f>
        <v>24000</v>
      </c>
      <c r="AK193" s="33">
        <f>Programacion[[#This Row],[JULIO]]+Programacion[[#This Row],[AGOSTO]]+Programacion[[#This Row],[SEPTIEMBRE]]</f>
        <v>0</v>
      </c>
      <c r="AL193" s="33">
        <f>Programacion[[#This Row],[DEVENGADO JULIO]]+Programacion[[#This Row],[DEVENGADO AGOSTO]]+Programacion[[#This Row],[DEVENGADO SEPTIEMBRE]]</f>
        <v>0</v>
      </c>
      <c r="AM193" s="33">
        <f>Programacion[[#This Row],[OCTUBRE]]+Programacion[[#This Row],[NOVIEMBRE]]+Programacion[[#This Row],[DICIEMBRE]]</f>
        <v>0</v>
      </c>
      <c r="AN193" s="21">
        <f>Programacion[[#This Row],[DEVENGADO OCTUBRE]]+Programacion[[#This Row],[DEVENGADO NOVIEMBRE]]+Programacion[[#This Row],[DEVENGADO DICIEMBRE]]</f>
        <v>0</v>
      </c>
      <c r="AO193" s="21">
        <f>Programacion[[#This Row],[ENERO]]+Programacion[[#This Row],[FEBRERO]]+Programacion[[#This Row],[MARZO]]+Programacion[[#This Row],[ABRIL]]+Programacion[[#This Row],[MAYO]]+Programacion[[#This Row],[JUNIO]]</f>
        <v>32000</v>
      </c>
      <c r="AP19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19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193" s="123"/>
    </row>
    <row r="194" spans="1:46" x14ac:dyDescent="0.3">
      <c r="A194" s="107" t="s">
        <v>227</v>
      </c>
      <c r="B194" s="113" t="s">
        <v>230</v>
      </c>
      <c r="C194" s="109" t="s">
        <v>58</v>
      </c>
      <c r="D194" s="109" t="s">
        <v>162</v>
      </c>
      <c r="E194" s="110">
        <v>103</v>
      </c>
      <c r="F194" s="111">
        <v>2.2999999999999998</v>
      </c>
      <c r="G194" s="109" t="s">
        <v>59</v>
      </c>
      <c r="H194" s="33"/>
      <c r="I194" s="33"/>
      <c r="J194" s="33"/>
      <c r="K194" s="33"/>
      <c r="L194" s="33">
        <v>11000</v>
      </c>
      <c r="M194" s="33">
        <v>11000</v>
      </c>
      <c r="N194" s="33">
        <v>11000</v>
      </c>
      <c r="O194" s="33">
        <v>11000</v>
      </c>
      <c r="P194" s="33">
        <v>11000</v>
      </c>
      <c r="Q194" s="33">
        <v>11000</v>
      </c>
      <c r="R194" s="33">
        <v>11000</v>
      </c>
      <c r="S194" s="33">
        <v>11000</v>
      </c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94" s="33">
        <f>Programacion[[#This Row],[ENERO]]+Programacion[[#This Row],[FEBRERO]]+Programacion[[#This Row],[MARZO]]</f>
        <v>11000</v>
      </c>
      <c r="AH194" s="33">
        <f>Programacion[[#This Row],[DEVENGADO ENERO]]+Programacion[[#This Row],[DEVENGADO FEBRERO]]+Programacion[[#This Row],[DEVENGADO MARZO]]</f>
        <v>11000</v>
      </c>
      <c r="AI194" s="33">
        <f>Programacion[[#This Row],[ABRIL]]+Programacion[[#This Row],[MAYO]]+Programacion[[#This Row],[JUNIO]]</f>
        <v>33000</v>
      </c>
      <c r="AJ194" s="33">
        <f>Programacion[[#This Row],[DEVENGADO ABRIL]]+Programacion[[#This Row],[DEVENGADO MAYO]]+Programacion[[#This Row],[DEVENGADO JUNIO]]</f>
        <v>33000</v>
      </c>
      <c r="AK194" s="33">
        <f>Programacion[[#This Row],[JULIO]]+Programacion[[#This Row],[AGOSTO]]+Programacion[[#This Row],[SEPTIEMBRE]]</f>
        <v>0</v>
      </c>
      <c r="AL194" s="33">
        <f>Programacion[[#This Row],[DEVENGADO JULIO]]+Programacion[[#This Row],[DEVENGADO AGOSTO]]+Programacion[[#This Row],[DEVENGADO SEPTIEMBRE]]</f>
        <v>0</v>
      </c>
      <c r="AM194" s="33">
        <f>Programacion[[#This Row],[OCTUBRE]]+Programacion[[#This Row],[NOVIEMBRE]]+Programacion[[#This Row],[DICIEMBRE]]</f>
        <v>0</v>
      </c>
      <c r="AN194" s="21">
        <f>Programacion[[#This Row],[DEVENGADO OCTUBRE]]+Programacion[[#This Row],[DEVENGADO NOVIEMBRE]]+Programacion[[#This Row],[DEVENGADO DICIEMBRE]]</f>
        <v>0</v>
      </c>
      <c r="AO194" s="21">
        <f>Programacion[[#This Row],[ENERO]]+Programacion[[#This Row],[FEBRERO]]+Programacion[[#This Row],[MARZO]]+Programacion[[#This Row],[ABRIL]]+Programacion[[#This Row],[MAYO]]+Programacion[[#This Row],[JUNIO]]</f>
        <v>44000</v>
      </c>
      <c r="AP19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19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194" s="123"/>
    </row>
    <row r="195" spans="1:46" x14ac:dyDescent="0.3">
      <c r="A195" s="107" t="s">
        <v>227</v>
      </c>
      <c r="B195" s="108" t="s">
        <v>231</v>
      </c>
      <c r="C195" s="109" t="s">
        <v>47</v>
      </c>
      <c r="D195" s="109" t="s">
        <v>162</v>
      </c>
      <c r="E195" s="110">
        <v>103</v>
      </c>
      <c r="F195" s="111">
        <v>2.2999999999999998</v>
      </c>
      <c r="G195" s="109" t="s">
        <v>49</v>
      </c>
      <c r="H195" s="33"/>
      <c r="I195" s="33"/>
      <c r="J195" s="33">
        <v>16465.060000000001</v>
      </c>
      <c r="K195" s="33">
        <v>16465.060000000001</v>
      </c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195" s="33">
        <f>Programacion[[#This Row],[ENERO]]+Programacion[[#This Row],[FEBRERO]]+Programacion[[#This Row],[MARZO]]</f>
        <v>16465.060000000001</v>
      </c>
      <c r="AH195" s="33">
        <f>Programacion[[#This Row],[DEVENGADO ENERO]]+Programacion[[#This Row],[DEVENGADO FEBRERO]]+Programacion[[#This Row],[DEVENGADO MARZO]]</f>
        <v>16465.060000000001</v>
      </c>
      <c r="AI195" s="33">
        <f>Programacion[[#This Row],[ABRIL]]+Programacion[[#This Row],[MAYO]]+Programacion[[#This Row],[JUNIO]]</f>
        <v>0</v>
      </c>
      <c r="AJ195" s="33">
        <f>Programacion[[#This Row],[DEVENGADO ABRIL]]+Programacion[[#This Row],[DEVENGADO MAYO]]+Programacion[[#This Row],[DEVENGADO JUNIO]]</f>
        <v>0</v>
      </c>
      <c r="AK195" s="33">
        <f>Programacion[[#This Row],[JULIO]]+Programacion[[#This Row],[AGOSTO]]+Programacion[[#This Row],[SEPTIEMBRE]]</f>
        <v>0</v>
      </c>
      <c r="AL195" s="33">
        <f>Programacion[[#This Row],[DEVENGADO JULIO]]+Programacion[[#This Row],[DEVENGADO AGOSTO]]+Programacion[[#This Row],[DEVENGADO SEPTIEMBRE]]</f>
        <v>0</v>
      </c>
      <c r="AM195" s="33">
        <f>Programacion[[#This Row],[OCTUBRE]]+Programacion[[#This Row],[NOVIEMBRE]]+Programacion[[#This Row],[DICIEMBRE]]</f>
        <v>0</v>
      </c>
      <c r="AN195" s="21">
        <f>Programacion[[#This Row],[DEVENGADO OCTUBRE]]+Programacion[[#This Row],[DEVENGADO NOVIEMBRE]]+Programacion[[#This Row],[DEVENGADO DICIEMBRE]]</f>
        <v>0</v>
      </c>
      <c r="AO195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1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1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195" s="123"/>
    </row>
    <row r="196" spans="1:46" x14ac:dyDescent="0.3">
      <c r="A196" s="107" t="s">
        <v>227</v>
      </c>
      <c r="B196" s="108" t="s">
        <v>87</v>
      </c>
      <c r="C196" s="109" t="s">
        <v>47</v>
      </c>
      <c r="D196" s="109" t="s">
        <v>162</v>
      </c>
      <c r="E196" s="110">
        <v>103</v>
      </c>
      <c r="F196" s="111">
        <v>2.2999999999999998</v>
      </c>
      <c r="G196" s="109" t="s">
        <v>51</v>
      </c>
      <c r="H196" s="33"/>
      <c r="I196" s="33"/>
      <c r="J196" s="33">
        <v>716.5</v>
      </c>
      <c r="K196" s="33">
        <v>716.5</v>
      </c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196" s="33">
        <f>Programacion[[#This Row],[ENERO]]+Programacion[[#This Row],[FEBRERO]]+Programacion[[#This Row],[MARZO]]</f>
        <v>716.5</v>
      </c>
      <c r="AH196" s="33">
        <f>Programacion[[#This Row],[DEVENGADO ENERO]]+Programacion[[#This Row],[DEVENGADO FEBRERO]]+Programacion[[#This Row],[DEVENGADO MARZO]]</f>
        <v>716.5</v>
      </c>
      <c r="AI196" s="33">
        <f>Programacion[[#This Row],[ABRIL]]+Programacion[[#This Row],[MAYO]]+Programacion[[#This Row],[JUNIO]]</f>
        <v>0</v>
      </c>
      <c r="AJ196" s="33">
        <f>Programacion[[#This Row],[DEVENGADO ABRIL]]+Programacion[[#This Row],[DEVENGADO MAYO]]+Programacion[[#This Row],[DEVENGADO JUNIO]]</f>
        <v>0</v>
      </c>
      <c r="AK196" s="33">
        <f>Programacion[[#This Row],[JULIO]]+Programacion[[#This Row],[AGOSTO]]+Programacion[[#This Row],[SEPTIEMBRE]]</f>
        <v>0</v>
      </c>
      <c r="AL196" s="33">
        <f>Programacion[[#This Row],[DEVENGADO JULIO]]+Programacion[[#This Row],[DEVENGADO AGOSTO]]+Programacion[[#This Row],[DEVENGADO SEPTIEMBRE]]</f>
        <v>0</v>
      </c>
      <c r="AM196" s="33">
        <f>Programacion[[#This Row],[OCTUBRE]]+Programacion[[#This Row],[NOVIEMBRE]]+Programacion[[#This Row],[DICIEMBRE]]</f>
        <v>0</v>
      </c>
      <c r="AN196" s="21">
        <f>Programacion[[#This Row],[DEVENGADO OCTUBRE]]+Programacion[[#This Row],[DEVENGADO NOVIEMBRE]]+Programacion[[#This Row],[DEVENGADO DICIEMBRE]]</f>
        <v>0</v>
      </c>
      <c r="AO196" s="21">
        <f>Programacion[[#This Row],[ENERO]]+Programacion[[#This Row],[FEBRERO]]+Programacion[[#This Row],[MARZO]]+Programacion[[#This Row],[ABRIL]]+Programacion[[#This Row],[MAYO]]+Programacion[[#This Row],[JUNIO]]</f>
        <v>716.5</v>
      </c>
      <c r="AP1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1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196" s="123"/>
    </row>
    <row r="197" spans="1:46" x14ac:dyDescent="0.3">
      <c r="A197" s="107" t="s">
        <v>227</v>
      </c>
      <c r="B197" s="108" t="s">
        <v>232</v>
      </c>
      <c r="C197" s="109" t="s">
        <v>58</v>
      </c>
      <c r="D197" s="109" t="s">
        <v>162</v>
      </c>
      <c r="E197" s="110">
        <v>103</v>
      </c>
      <c r="F197" s="111">
        <v>2.2999999999999998</v>
      </c>
      <c r="G197" s="109" t="s">
        <v>59</v>
      </c>
      <c r="H197" s="33"/>
      <c r="I197" s="33"/>
      <c r="J197" s="33"/>
      <c r="K197" s="33"/>
      <c r="L197" s="33">
        <v>22572</v>
      </c>
      <c r="M197" s="33">
        <v>22572</v>
      </c>
      <c r="N197" s="33">
        <v>11628</v>
      </c>
      <c r="O197" s="33">
        <v>11628</v>
      </c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197" s="33">
        <f>Programacion[[#This Row],[ENERO]]+Programacion[[#This Row],[FEBRERO]]+Programacion[[#This Row],[MARZO]]</f>
        <v>22572</v>
      </c>
      <c r="AH197" s="33">
        <f>Programacion[[#This Row],[DEVENGADO ENERO]]+Programacion[[#This Row],[DEVENGADO FEBRERO]]+Programacion[[#This Row],[DEVENGADO MARZO]]</f>
        <v>22572</v>
      </c>
      <c r="AI197" s="33">
        <f>Programacion[[#This Row],[ABRIL]]+Programacion[[#This Row],[MAYO]]+Programacion[[#This Row],[JUNIO]]</f>
        <v>11628</v>
      </c>
      <c r="AJ197" s="33">
        <f>Programacion[[#This Row],[DEVENGADO ABRIL]]+Programacion[[#This Row],[DEVENGADO MAYO]]+Programacion[[#This Row],[DEVENGADO JUNIO]]</f>
        <v>11628</v>
      </c>
      <c r="AK197" s="33">
        <f>Programacion[[#This Row],[JULIO]]+Programacion[[#This Row],[AGOSTO]]+Programacion[[#This Row],[SEPTIEMBRE]]</f>
        <v>0</v>
      </c>
      <c r="AL197" s="33">
        <f>Programacion[[#This Row],[DEVENGADO JULIO]]+Programacion[[#This Row],[DEVENGADO AGOSTO]]+Programacion[[#This Row],[DEVENGADO SEPTIEMBRE]]</f>
        <v>0</v>
      </c>
      <c r="AM197" s="33">
        <f>Programacion[[#This Row],[OCTUBRE]]+Programacion[[#This Row],[NOVIEMBRE]]+Programacion[[#This Row],[DICIEMBRE]]</f>
        <v>0</v>
      </c>
      <c r="AN197" s="21">
        <f>Programacion[[#This Row],[DEVENGADO OCTUBRE]]+Programacion[[#This Row],[DEVENGADO NOVIEMBRE]]+Programacion[[#This Row],[DEVENGADO DICIEMBRE]]</f>
        <v>0</v>
      </c>
      <c r="AO197" s="21">
        <f>Programacion[[#This Row],[ENERO]]+Programacion[[#This Row],[FEBRERO]]+Programacion[[#This Row],[MARZO]]+Programacion[[#This Row],[ABRIL]]+Programacion[[#This Row],[MAYO]]+Programacion[[#This Row],[JUNIO]]</f>
        <v>34200</v>
      </c>
      <c r="AP1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19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197" s="123"/>
    </row>
    <row r="198" spans="1:46" x14ac:dyDescent="0.3">
      <c r="A198" s="107" t="s">
        <v>227</v>
      </c>
      <c r="B198" s="124" t="s">
        <v>88</v>
      </c>
      <c r="C198" s="109" t="s">
        <v>47</v>
      </c>
      <c r="D198" s="109" t="s">
        <v>162</v>
      </c>
      <c r="E198" s="110">
        <v>103</v>
      </c>
      <c r="F198" s="111">
        <v>2.2999999999999998</v>
      </c>
      <c r="G198" s="109" t="s">
        <v>89</v>
      </c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>
        <v>250</v>
      </c>
      <c r="U198" s="33">
        <v>250</v>
      </c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198" s="33">
        <f>Programacion[[#This Row],[ENERO]]+Programacion[[#This Row],[FEBRERO]]+Programacion[[#This Row],[MARZO]]</f>
        <v>0</v>
      </c>
      <c r="AH198" s="33">
        <f>Programacion[[#This Row],[DEVENGADO ENERO]]+Programacion[[#This Row],[DEVENGADO FEBRERO]]+Programacion[[#This Row],[DEVENGADO MARZO]]</f>
        <v>0</v>
      </c>
      <c r="AI198" s="33">
        <f>Programacion[[#This Row],[ABRIL]]+Programacion[[#This Row],[MAYO]]+Programacion[[#This Row],[JUNIO]]</f>
        <v>0</v>
      </c>
      <c r="AJ198" s="33">
        <f>Programacion[[#This Row],[DEVENGADO ABRIL]]+Programacion[[#This Row],[DEVENGADO MAYO]]+Programacion[[#This Row],[DEVENGADO JUNIO]]</f>
        <v>0</v>
      </c>
      <c r="AK198" s="33">
        <f>Programacion[[#This Row],[JULIO]]+Programacion[[#This Row],[AGOSTO]]+Programacion[[#This Row],[SEPTIEMBRE]]</f>
        <v>250</v>
      </c>
      <c r="AL198" s="33">
        <f>Programacion[[#This Row],[DEVENGADO JULIO]]+Programacion[[#This Row],[DEVENGADO AGOSTO]]+Programacion[[#This Row],[DEVENGADO SEPTIEMBRE]]</f>
        <v>250</v>
      </c>
      <c r="AM198" s="33">
        <f>Programacion[[#This Row],[OCTUBRE]]+Programacion[[#This Row],[NOVIEMBRE]]+Programacion[[#This Row],[DICIEMBRE]]</f>
        <v>0</v>
      </c>
      <c r="AN198" s="21">
        <f>Programacion[[#This Row],[DEVENGADO OCTUBRE]]+Programacion[[#This Row],[DEVENGADO NOVIEMBRE]]+Programacion[[#This Row],[DEVENGADO DICIEMBRE]]</f>
        <v>0</v>
      </c>
      <c r="AO198" s="21">
        <f>Programacion[[#This Row],[ENERO]]+Programacion[[#This Row],[FEBRERO]]+Programacion[[#This Row],[MARZO]]+Programacion[[#This Row],[ABRIL]]+Programacion[[#This Row],[MAYO]]+Programacion[[#This Row],[JUNIO]]</f>
        <v>0</v>
      </c>
      <c r="AP19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8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19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19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198" s="123"/>
    </row>
    <row r="199" spans="1:46" x14ac:dyDescent="0.3">
      <c r="A199" s="107" t="s">
        <v>227</v>
      </c>
      <c r="B199" s="108" t="s">
        <v>87</v>
      </c>
      <c r="C199" s="109" t="s">
        <v>47</v>
      </c>
      <c r="D199" s="109" t="s">
        <v>162</v>
      </c>
      <c r="E199" s="110">
        <v>103</v>
      </c>
      <c r="F199" s="111">
        <v>2.2999999999999998</v>
      </c>
      <c r="G199" s="109" t="s">
        <v>51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>
        <v>900</v>
      </c>
      <c r="U199" s="33">
        <v>675</v>
      </c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99" s="33">
        <f>Programacion[[#This Row],[ENERO]]+Programacion[[#This Row],[FEBRERO]]+Programacion[[#This Row],[MARZO]]</f>
        <v>0</v>
      </c>
      <c r="AH199" s="33">
        <f>Programacion[[#This Row],[DEVENGADO ENERO]]+Programacion[[#This Row],[DEVENGADO FEBRERO]]+Programacion[[#This Row],[DEVENGADO MARZO]]</f>
        <v>0</v>
      </c>
      <c r="AI199" s="33">
        <f>Programacion[[#This Row],[ABRIL]]+Programacion[[#This Row],[MAYO]]+Programacion[[#This Row],[JUNIO]]</f>
        <v>0</v>
      </c>
      <c r="AJ199" s="33">
        <f>Programacion[[#This Row],[DEVENGADO ABRIL]]+Programacion[[#This Row],[DEVENGADO MAYO]]+Programacion[[#This Row],[DEVENGADO JUNIO]]</f>
        <v>0</v>
      </c>
      <c r="AK199" s="33">
        <f>Programacion[[#This Row],[JULIO]]+Programacion[[#This Row],[AGOSTO]]+Programacion[[#This Row],[SEPTIEMBRE]]</f>
        <v>900</v>
      </c>
      <c r="AL199" s="33">
        <f>Programacion[[#This Row],[DEVENGADO JULIO]]+Programacion[[#This Row],[DEVENGADO AGOSTO]]+Programacion[[#This Row],[DEVENGADO SEPTIEMBRE]]</f>
        <v>675</v>
      </c>
      <c r="AM199" s="33">
        <f>Programacion[[#This Row],[OCTUBRE]]+Programacion[[#This Row],[NOVIEMBRE]]+Programacion[[#This Row],[DICIEMBRE]]</f>
        <v>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199" s="123"/>
    </row>
    <row r="200" spans="1:46" x14ac:dyDescent="0.3">
      <c r="A200" s="107" t="s">
        <v>227</v>
      </c>
      <c r="B200" s="108" t="s">
        <v>255</v>
      </c>
      <c r="C200" s="87" t="s">
        <v>208</v>
      </c>
      <c r="D200" s="109" t="s">
        <v>162</v>
      </c>
      <c r="E200" s="110">
        <v>102</v>
      </c>
      <c r="F200" s="111">
        <v>2.2999999999999998</v>
      </c>
      <c r="G200" s="109" t="s">
        <v>180</v>
      </c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>
        <v>6700</v>
      </c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6700</v>
      </c>
      <c r="AG200" s="33">
        <f>Programacion[[#This Row],[ENERO]]+Programacion[[#This Row],[FEBRERO]]+Programacion[[#This Row],[MARZO]]</f>
        <v>0</v>
      </c>
      <c r="AH200" s="33">
        <f>Programacion[[#This Row],[DEVENGADO ENERO]]+Programacion[[#This Row],[DEVENGADO FEBRERO]]+Programacion[[#This Row],[DEVENGADO MARZO]]</f>
        <v>0</v>
      </c>
      <c r="AI200" s="33">
        <f>Programacion[[#This Row],[ABRIL]]+Programacion[[#This Row],[MAYO]]+Programacion[[#This Row],[JUNIO]]</f>
        <v>0</v>
      </c>
      <c r="AJ200" s="33">
        <f>Programacion[[#This Row],[DEVENGADO ABRIL]]+Programacion[[#This Row],[DEVENGADO MAYO]]+Programacion[[#This Row],[DEVENGADO JUNIO]]</f>
        <v>0</v>
      </c>
      <c r="AK200" s="33">
        <f>Programacion[[#This Row],[JULIO]]+Programacion[[#This Row],[AGOSTO]]+Programacion[[#This Row],[SEPTIEMBRE]]</f>
        <v>6700</v>
      </c>
      <c r="AL200" s="33">
        <f>Programacion[[#This Row],[DEVENGADO JULIO]]+Programacion[[#This Row],[DEVENGADO AGOSTO]]+Programacion[[#This Row],[DEVENGADO SEPTIEMBRE]]</f>
        <v>0</v>
      </c>
      <c r="AM200" s="33">
        <f>Programacion[[#This Row],[OCTUBRE]]+Programacion[[#This Row],[NOVIEMBRE]]+Programacion[[#This Row],[DICIEMBRE]]</f>
        <v>0</v>
      </c>
      <c r="AN200" s="21">
        <f>Programacion[[#This Row],[DEVENGADO OCTUBRE]]+Programacion[[#This Row],[DEVENGADO NOVIEMBRE]]+Programacion[[#This Row],[DEVENGADO DICIEMBRE]]</f>
        <v>0</v>
      </c>
      <c r="AO200" s="21">
        <f>Programacion[[#This Row],[ENERO]]+Programacion[[#This Row],[FEBRERO]]+Programacion[[#This Row],[MARZO]]+Programacion[[#This Row],[ABRIL]]+Programacion[[#This Row],[MAYO]]+Programacion[[#This Row],[JUNIO]]</f>
        <v>0</v>
      </c>
      <c r="AP2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0" s="21">
        <f>Programacion[[#This Row],[JULIO]]+Programacion[[#This Row],[AGOSTO]]+Programacion[[#This Row],[SEPTIEMBRE]]+Programacion[[#This Row],[OCTUBRE]]+Programacion[[#This Row],[NOVIEMBRE]]+Programacion[[#This Row],[DICIEMBRE]]</f>
        <v>6700</v>
      </c>
      <c r="AR2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0" s="123"/>
    </row>
    <row r="201" spans="1:46" x14ac:dyDescent="0.3">
      <c r="A201" s="107" t="s">
        <v>227</v>
      </c>
      <c r="B201" s="124" t="s">
        <v>256</v>
      </c>
      <c r="C201" s="52" t="s">
        <v>67</v>
      </c>
      <c r="D201" s="109" t="s">
        <v>162</v>
      </c>
      <c r="E201" s="110">
        <v>103</v>
      </c>
      <c r="F201" s="111">
        <v>2.2999999999999998</v>
      </c>
      <c r="G201" s="109" t="s">
        <v>257</v>
      </c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>
        <v>2700</v>
      </c>
      <c r="U201" s="33">
        <v>2700</v>
      </c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01" s="33">
        <f>Programacion[[#This Row],[ENERO]]+Programacion[[#This Row],[FEBRERO]]+Programacion[[#This Row],[MARZO]]</f>
        <v>0</v>
      </c>
      <c r="AH201" s="33">
        <f>Programacion[[#This Row],[DEVENGADO ENERO]]+Programacion[[#This Row],[DEVENGADO FEBRERO]]+Programacion[[#This Row],[DEVENGADO MARZO]]</f>
        <v>0</v>
      </c>
      <c r="AI201" s="33">
        <f>Programacion[[#This Row],[ABRIL]]+Programacion[[#This Row],[MAYO]]+Programacion[[#This Row],[JUNIO]]</f>
        <v>0</v>
      </c>
      <c r="AJ201" s="33">
        <f>Programacion[[#This Row],[DEVENGADO ABRIL]]+Programacion[[#This Row],[DEVENGADO MAYO]]+Programacion[[#This Row],[DEVENGADO JUNIO]]</f>
        <v>0</v>
      </c>
      <c r="AK201" s="33">
        <f>Programacion[[#This Row],[JULIO]]+Programacion[[#This Row],[AGOSTO]]+Programacion[[#This Row],[SEPTIEMBRE]]</f>
        <v>2700</v>
      </c>
      <c r="AL201" s="33">
        <f>Programacion[[#This Row],[DEVENGADO JULIO]]+Programacion[[#This Row],[DEVENGADO AGOSTO]]+Programacion[[#This Row],[DEVENGADO SEPTIEMBRE]]</f>
        <v>2700</v>
      </c>
      <c r="AM201" s="33">
        <f>Programacion[[#This Row],[OCTUBRE]]+Programacion[[#This Row],[NOVIEMBRE]]+Programacion[[#This Row],[DICIEMBRE]]</f>
        <v>0</v>
      </c>
      <c r="AN201" s="21">
        <f>Programacion[[#This Row],[DEVENGADO OCTUBRE]]+Programacion[[#This Row],[DEVENGADO NOVIEMBRE]]+Programacion[[#This Row],[DEVENGADO DICIEMBRE]]</f>
        <v>0</v>
      </c>
      <c r="AO201" s="21">
        <f>Programacion[[#This Row],[ENERO]]+Programacion[[#This Row],[FEBRERO]]+Programacion[[#This Row],[MARZO]]+Programacion[[#This Row],[ABRIL]]+Programacion[[#This Row],[MAYO]]+Programacion[[#This Row],[JUNIO]]</f>
        <v>0</v>
      </c>
      <c r="AP20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0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0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01" s="123"/>
    </row>
    <row r="202" spans="1:46" x14ac:dyDescent="0.3">
      <c r="A202" s="114" t="s">
        <v>227</v>
      </c>
      <c r="B202" s="115" t="s">
        <v>228</v>
      </c>
      <c r="C202" s="109" t="s">
        <v>58</v>
      </c>
      <c r="D202" s="116" t="s">
        <v>162</v>
      </c>
      <c r="E202" s="117">
        <v>103</v>
      </c>
      <c r="F202" s="118">
        <v>2.2999999999999998</v>
      </c>
      <c r="G202" s="109" t="s">
        <v>201</v>
      </c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>
        <v>11508</v>
      </c>
      <c r="U202" s="119">
        <v>11508</v>
      </c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02" s="33">
        <f>Programacion[[#This Row],[ENERO]]+Programacion[[#This Row],[FEBRERO]]+Programacion[[#This Row],[MARZO]]</f>
        <v>0</v>
      </c>
      <c r="AH202" s="33">
        <f>Programacion[[#This Row],[DEVENGADO ENERO]]+Programacion[[#This Row],[DEVENGADO FEBRERO]]+Programacion[[#This Row],[DEVENGADO MARZO]]</f>
        <v>0</v>
      </c>
      <c r="AI202" s="33">
        <f>Programacion[[#This Row],[ABRIL]]+Programacion[[#This Row],[MAYO]]+Programacion[[#This Row],[JUNIO]]</f>
        <v>0</v>
      </c>
      <c r="AJ202" s="33">
        <f>Programacion[[#This Row],[DEVENGADO ABRIL]]+Programacion[[#This Row],[DEVENGADO MAYO]]+Programacion[[#This Row],[DEVENGADO JUNIO]]</f>
        <v>0</v>
      </c>
      <c r="AK202" s="33">
        <f>Programacion[[#This Row],[JULIO]]+Programacion[[#This Row],[AGOSTO]]+Programacion[[#This Row],[SEPTIEMBRE]]</f>
        <v>11508</v>
      </c>
      <c r="AL202" s="33">
        <f>Programacion[[#This Row],[DEVENGADO JULIO]]+Programacion[[#This Row],[DEVENGADO AGOSTO]]+Programacion[[#This Row],[DEVENGADO SEPTIEMBRE]]</f>
        <v>11508</v>
      </c>
      <c r="AM202" s="33">
        <f>Programacion[[#This Row],[OCTUBRE]]+Programacion[[#This Row],[NOVIEMBRE]]+Programacion[[#This Row],[DICIEMBRE]]</f>
        <v>0</v>
      </c>
      <c r="AN202" s="21">
        <f>Programacion[[#This Row],[DEVENGADO OCTUBRE]]+Programacion[[#This Row],[DEVENGADO NOVIEMBRE]]+Programacion[[#This Row],[DEVENGADO DICIEMBRE]]</f>
        <v>0</v>
      </c>
      <c r="AO202" s="21">
        <f>Programacion[[#This Row],[ENERO]]+Programacion[[#This Row],[FEBRERO]]+Programacion[[#This Row],[MARZO]]+Programacion[[#This Row],[ABRIL]]+Programacion[[#This Row],[MAYO]]+Programacion[[#This Row],[JUNIO]]</f>
        <v>0</v>
      </c>
      <c r="AP20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0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02" s="12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CALEB</cp:lastModifiedBy>
  <dcterms:created xsi:type="dcterms:W3CDTF">2026-05-26T23:16:08Z</dcterms:created>
  <dcterms:modified xsi:type="dcterms:W3CDTF">2026-07-30T03:19:48Z</dcterms:modified>
</cp:coreProperties>
</file>