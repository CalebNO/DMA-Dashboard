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ma01\Documents\"/>
    </mc:Choice>
  </mc:AlternateContent>
  <xr:revisionPtr revIDLastSave="0" documentId="13_ncr:1_{99130EFC-5F4C-418B-888A-1FA425F56D08}" xr6:coauthVersionLast="36" xr6:coauthVersionMax="36" xr10:uidLastSave="{00000000-0000-0000-0000-000000000000}"/>
  <bookViews>
    <workbookView xWindow="0" yWindow="0" windowWidth="28800" windowHeight="1290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S224" i="1" l="1"/>
  <c r="AR224" i="1"/>
  <c r="AQ224" i="1"/>
  <c r="AP224" i="1"/>
  <c r="AO224" i="1"/>
  <c r="AN224" i="1"/>
  <c r="AM224" i="1"/>
  <c r="AL224" i="1"/>
  <c r="AK224" i="1"/>
  <c r="AJ224" i="1"/>
  <c r="AI224" i="1"/>
  <c r="AH224" i="1"/>
  <c r="AG224" i="1"/>
  <c r="AF224" i="1"/>
  <c r="AS223" i="1"/>
  <c r="AR223" i="1"/>
  <c r="AQ223" i="1"/>
  <c r="AP223" i="1"/>
  <c r="AO223" i="1"/>
  <c r="AN223" i="1"/>
  <c r="AM223" i="1"/>
  <c r="AL223" i="1"/>
  <c r="AK223" i="1"/>
  <c r="AJ223" i="1"/>
  <c r="AI223" i="1"/>
  <c r="AH223" i="1"/>
  <c r="AG223" i="1"/>
  <c r="AF223" i="1"/>
  <c r="AS222" i="1"/>
  <c r="AR222" i="1"/>
  <c r="AQ222" i="1"/>
  <c r="AP222" i="1"/>
  <c r="AO222" i="1"/>
  <c r="AN222" i="1"/>
  <c r="AM222" i="1"/>
  <c r="AL222" i="1"/>
  <c r="AK222" i="1"/>
  <c r="AJ222" i="1"/>
  <c r="AI222" i="1"/>
  <c r="AH222" i="1"/>
  <c r="AG222" i="1"/>
  <c r="AF222" i="1"/>
  <c r="AS221" i="1"/>
  <c r="AR221" i="1"/>
  <c r="AQ221" i="1"/>
  <c r="AP221" i="1"/>
  <c r="AO221" i="1"/>
  <c r="AN221" i="1"/>
  <c r="AM221" i="1"/>
  <c r="AL221" i="1"/>
  <c r="AK221" i="1"/>
  <c r="AJ221" i="1"/>
  <c r="AI221" i="1"/>
  <c r="AH221" i="1"/>
  <c r="AG221" i="1"/>
  <c r="AF221" i="1"/>
  <c r="AS220" i="1"/>
  <c r="AR220" i="1"/>
  <c r="AQ220" i="1"/>
  <c r="AP220" i="1"/>
  <c r="AO220" i="1"/>
  <c r="AN220" i="1"/>
  <c r="AM220" i="1"/>
  <c r="AL220" i="1"/>
  <c r="AK220" i="1"/>
  <c r="AJ220" i="1"/>
  <c r="AI220" i="1"/>
  <c r="AH220" i="1"/>
  <c r="AG220" i="1"/>
  <c r="AF220" i="1"/>
  <c r="AS219" i="1"/>
  <c r="AR219" i="1"/>
  <c r="AQ219" i="1"/>
  <c r="AP219" i="1"/>
  <c r="AO219" i="1"/>
  <c r="AN219" i="1"/>
  <c r="AM219" i="1"/>
  <c r="AL219" i="1"/>
  <c r="AK219" i="1"/>
  <c r="AJ219" i="1"/>
  <c r="AI219" i="1"/>
  <c r="AH219" i="1"/>
  <c r="AG219" i="1"/>
  <c r="AF219" i="1"/>
  <c r="AS218" i="1"/>
  <c r="AR218" i="1"/>
  <c r="AQ218" i="1"/>
  <c r="AP218" i="1"/>
  <c r="AO218" i="1"/>
  <c r="AN218" i="1"/>
  <c r="AM218" i="1"/>
  <c r="AL218" i="1"/>
  <c r="AK218" i="1"/>
  <c r="AJ218" i="1"/>
  <c r="AI218" i="1"/>
  <c r="AH218" i="1"/>
  <c r="AG218" i="1"/>
  <c r="AF218" i="1"/>
  <c r="AS217" i="1"/>
  <c r="AR217" i="1"/>
  <c r="AQ217" i="1"/>
  <c r="AP217" i="1"/>
  <c r="AO217" i="1"/>
  <c r="AN217" i="1"/>
  <c r="AM217" i="1"/>
  <c r="AL217" i="1"/>
  <c r="AK217" i="1"/>
  <c r="AJ217" i="1"/>
  <c r="AI217" i="1"/>
  <c r="AH217" i="1"/>
  <c r="AG217" i="1"/>
  <c r="AF217" i="1"/>
  <c r="AS216" i="1"/>
  <c r="AR216" i="1"/>
  <c r="AQ216" i="1"/>
  <c r="AP216" i="1"/>
  <c r="AO216" i="1"/>
  <c r="AN216" i="1"/>
  <c r="AM216" i="1"/>
  <c r="AL216" i="1"/>
  <c r="AK216" i="1"/>
  <c r="AJ216" i="1"/>
  <c r="AI216" i="1"/>
  <c r="AH216" i="1"/>
  <c r="AG216" i="1"/>
  <c r="AF216" i="1"/>
  <c r="AS215" i="1"/>
  <c r="AR215" i="1"/>
  <c r="AQ215" i="1"/>
  <c r="AP215" i="1"/>
  <c r="AO215" i="1"/>
  <c r="AN215" i="1"/>
  <c r="AM215" i="1"/>
  <c r="AL215" i="1"/>
  <c r="AK215" i="1"/>
  <c r="AJ215" i="1"/>
  <c r="AI215" i="1"/>
  <c r="AH215" i="1"/>
  <c r="AG215" i="1"/>
  <c r="AF215" i="1"/>
  <c r="AS214" i="1"/>
  <c r="AR214" i="1"/>
  <c r="AQ214" i="1"/>
  <c r="AP214" i="1"/>
  <c r="AO214" i="1"/>
  <c r="AN214" i="1"/>
  <c r="AM214" i="1"/>
  <c r="AL214" i="1"/>
  <c r="AK214" i="1"/>
  <c r="AJ214" i="1"/>
  <c r="AI214" i="1"/>
  <c r="AH214" i="1"/>
  <c r="AG214" i="1"/>
  <c r="AF214" i="1"/>
  <c r="AS213" i="1"/>
  <c r="AR213" i="1"/>
  <c r="AQ213" i="1"/>
  <c r="AP213" i="1"/>
  <c r="AO213" i="1"/>
  <c r="AN213" i="1"/>
  <c r="AM213" i="1"/>
  <c r="AL213" i="1"/>
  <c r="AK213" i="1"/>
  <c r="AJ213" i="1"/>
  <c r="AI213" i="1"/>
  <c r="AH213" i="1"/>
  <c r="AG213" i="1"/>
  <c r="AF213" i="1"/>
  <c r="AS212" i="1"/>
  <c r="AR212" i="1"/>
  <c r="AQ212" i="1"/>
  <c r="AP212" i="1"/>
  <c r="AO212" i="1"/>
  <c r="AN212" i="1"/>
  <c r="AM212" i="1"/>
  <c r="AL212" i="1"/>
  <c r="AK212" i="1"/>
  <c r="AJ212" i="1"/>
  <c r="AI212" i="1"/>
  <c r="AH212" i="1"/>
  <c r="AG212" i="1"/>
  <c r="AF212" i="1"/>
  <c r="AS211" i="1"/>
  <c r="AR211" i="1"/>
  <c r="AQ211" i="1"/>
  <c r="AP211" i="1"/>
  <c r="AO211" i="1"/>
  <c r="AN211" i="1"/>
  <c r="AM211" i="1"/>
  <c r="AL211" i="1"/>
  <c r="AK211" i="1"/>
  <c r="AJ211" i="1"/>
  <c r="AI211" i="1"/>
  <c r="AH211" i="1"/>
  <c r="AG211" i="1"/>
  <c r="AF211" i="1"/>
  <c r="AS210" i="1"/>
  <c r="AR210" i="1"/>
  <c r="AQ210" i="1"/>
  <c r="AP210" i="1"/>
  <c r="AO210" i="1"/>
  <c r="AN210" i="1"/>
  <c r="AM210" i="1"/>
  <c r="AL210" i="1"/>
  <c r="AK210" i="1"/>
  <c r="AJ210" i="1"/>
  <c r="AI210" i="1"/>
  <c r="AH210" i="1"/>
  <c r="AG210" i="1"/>
  <c r="AF210" i="1"/>
  <c r="AS209" i="1"/>
  <c r="AR209" i="1"/>
  <c r="AQ209" i="1"/>
  <c r="AP209" i="1"/>
  <c r="AO209" i="1"/>
  <c r="AN209" i="1"/>
  <c r="AM209" i="1"/>
  <c r="AL209" i="1"/>
  <c r="AK209" i="1"/>
  <c r="AJ209" i="1"/>
  <c r="AI209" i="1"/>
  <c r="AH209" i="1"/>
  <c r="AG209" i="1"/>
  <c r="AF209" i="1"/>
  <c r="AS208" i="1"/>
  <c r="AR208" i="1"/>
  <c r="AQ208" i="1"/>
  <c r="AP208" i="1"/>
  <c r="AO208" i="1"/>
  <c r="AN208" i="1"/>
  <c r="AM208" i="1"/>
  <c r="AL208" i="1"/>
  <c r="AK208" i="1"/>
  <c r="AJ208" i="1"/>
  <c r="AI208" i="1"/>
  <c r="AH208" i="1"/>
  <c r="AG208" i="1"/>
  <c r="AF208" i="1"/>
  <c r="AS207" i="1"/>
  <c r="AR207" i="1"/>
  <c r="AQ207" i="1"/>
  <c r="AP207" i="1"/>
  <c r="AO207" i="1"/>
  <c r="AN207" i="1"/>
  <c r="AM207" i="1"/>
  <c r="AL207" i="1"/>
  <c r="AK207" i="1"/>
  <c r="AJ207" i="1"/>
  <c r="AI207" i="1"/>
  <c r="AH207" i="1"/>
  <c r="AG207" i="1"/>
  <c r="AF207" i="1"/>
  <c r="AS206" i="1"/>
  <c r="AR206" i="1"/>
  <c r="AQ206" i="1"/>
  <c r="AP206" i="1"/>
  <c r="AO206" i="1"/>
  <c r="AN206" i="1"/>
  <c r="AM206" i="1"/>
  <c r="AL206" i="1"/>
  <c r="AK206" i="1"/>
  <c r="AJ206" i="1"/>
  <c r="AI206" i="1"/>
  <c r="AH206" i="1"/>
  <c r="AG206" i="1"/>
  <c r="AF206" i="1"/>
  <c r="AS205" i="1"/>
  <c r="AR205" i="1"/>
  <c r="AQ205" i="1"/>
  <c r="AP205" i="1"/>
  <c r="AO205" i="1"/>
  <c r="AN205" i="1"/>
  <c r="AM205" i="1"/>
  <c r="AL205" i="1"/>
  <c r="AK205" i="1"/>
  <c r="AJ205" i="1"/>
  <c r="AI205" i="1"/>
  <c r="AH205" i="1"/>
  <c r="AG205" i="1"/>
  <c r="AF205" i="1"/>
  <c r="AS204" i="1"/>
  <c r="AR204" i="1"/>
  <c r="AQ204" i="1"/>
  <c r="AP204" i="1"/>
  <c r="AO204" i="1"/>
  <c r="AN204" i="1"/>
  <c r="AM204" i="1"/>
  <c r="AL204" i="1"/>
  <c r="AK204" i="1"/>
  <c r="AJ204" i="1"/>
  <c r="AI204" i="1"/>
  <c r="AH204" i="1"/>
  <c r="AG204" i="1"/>
  <c r="AF204" i="1"/>
  <c r="AS203" i="1"/>
  <c r="AR203" i="1"/>
  <c r="AQ203" i="1"/>
  <c r="AP203" i="1"/>
  <c r="AO203" i="1"/>
  <c r="AN203" i="1"/>
  <c r="AM203" i="1"/>
  <c r="AL203" i="1"/>
  <c r="AK203" i="1"/>
  <c r="AJ203" i="1"/>
  <c r="AI203" i="1"/>
  <c r="AH203" i="1"/>
  <c r="AG203" i="1"/>
  <c r="AF203" i="1"/>
  <c r="AS202" i="1"/>
  <c r="AR202" i="1"/>
  <c r="AQ202" i="1"/>
  <c r="AP202" i="1"/>
  <c r="AO202" i="1"/>
  <c r="AN202" i="1"/>
  <c r="AM202" i="1"/>
  <c r="AL202" i="1"/>
  <c r="AK202" i="1"/>
  <c r="AJ202" i="1"/>
  <c r="AI202" i="1"/>
  <c r="AH202" i="1"/>
  <c r="AG202" i="1"/>
  <c r="AF202" i="1"/>
  <c r="AS201" i="1"/>
  <c r="AR201" i="1"/>
  <c r="AQ201" i="1"/>
  <c r="AP201" i="1"/>
  <c r="AO201" i="1"/>
  <c r="AN201" i="1"/>
  <c r="AM201" i="1"/>
  <c r="AL201" i="1"/>
  <c r="AK201" i="1"/>
  <c r="AJ201" i="1"/>
  <c r="AI201" i="1"/>
  <c r="AH201" i="1"/>
  <c r="AG201" i="1"/>
  <c r="AF201" i="1"/>
  <c r="AS200" i="1"/>
  <c r="AR200" i="1"/>
  <c r="AQ200" i="1"/>
  <c r="AP200" i="1"/>
  <c r="AO200" i="1"/>
  <c r="AN200" i="1"/>
  <c r="AM200" i="1"/>
  <c r="AL200" i="1"/>
  <c r="AK200" i="1"/>
  <c r="AJ200" i="1"/>
  <c r="AI200" i="1"/>
  <c r="AH200" i="1"/>
  <c r="AG200" i="1"/>
  <c r="AF200" i="1"/>
  <c r="AS199" i="1"/>
  <c r="AR199" i="1"/>
  <c r="AQ199" i="1"/>
  <c r="AP199" i="1"/>
  <c r="AO199" i="1"/>
  <c r="AN199" i="1"/>
  <c r="AM199" i="1"/>
  <c r="AL199" i="1"/>
  <c r="AK199" i="1"/>
  <c r="AJ199" i="1"/>
  <c r="AI199" i="1"/>
  <c r="AH199" i="1"/>
  <c r="AG199" i="1"/>
  <c r="AF199" i="1"/>
  <c r="AS198" i="1"/>
  <c r="AR198" i="1"/>
  <c r="AQ198" i="1"/>
  <c r="AP198" i="1"/>
  <c r="AO198" i="1"/>
  <c r="AN198" i="1"/>
  <c r="AM198" i="1"/>
  <c r="AL198" i="1"/>
  <c r="AK198" i="1"/>
  <c r="AJ198" i="1"/>
  <c r="AI198" i="1"/>
  <c r="AH198" i="1"/>
  <c r="AG198" i="1"/>
  <c r="AF198" i="1"/>
  <c r="AS197" i="1"/>
  <c r="AR197" i="1"/>
  <c r="AQ197" i="1"/>
  <c r="AP197" i="1"/>
  <c r="AO197" i="1"/>
  <c r="AN197" i="1"/>
  <c r="AM197" i="1"/>
  <c r="AL197" i="1"/>
  <c r="AK197" i="1"/>
  <c r="AJ197" i="1"/>
  <c r="AI197" i="1"/>
  <c r="AH197" i="1"/>
  <c r="AG197" i="1"/>
  <c r="AF197" i="1"/>
  <c r="AS196" i="1"/>
  <c r="AR196" i="1"/>
  <c r="AQ196" i="1"/>
  <c r="AP196" i="1"/>
  <c r="AO196" i="1"/>
  <c r="AN196" i="1"/>
  <c r="AM196" i="1"/>
  <c r="AL196" i="1"/>
  <c r="AK196" i="1"/>
  <c r="AJ196" i="1"/>
  <c r="AI196" i="1"/>
  <c r="AH196" i="1"/>
  <c r="AG196" i="1"/>
  <c r="AF196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S194" i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S193" i="1"/>
  <c r="AR193" i="1"/>
  <c r="AQ193" i="1"/>
  <c r="AP193" i="1"/>
  <c r="AO193" i="1"/>
  <c r="AN193" i="1"/>
  <c r="AM193" i="1"/>
  <c r="AL193" i="1"/>
  <c r="AK193" i="1"/>
  <c r="AJ193" i="1"/>
  <c r="AI193" i="1"/>
  <c r="AH193" i="1"/>
  <c r="AG193" i="1"/>
  <c r="AF193" i="1"/>
  <c r="AS192" i="1"/>
  <c r="AR192" i="1"/>
  <c r="AQ192" i="1"/>
  <c r="AP192" i="1"/>
  <c r="AO192" i="1"/>
  <c r="AN192" i="1"/>
  <c r="AM192" i="1"/>
  <c r="AL192" i="1"/>
  <c r="AK192" i="1"/>
  <c r="AJ192" i="1"/>
  <c r="AI192" i="1"/>
  <c r="AH192" i="1"/>
  <c r="AG192" i="1"/>
  <c r="AF192" i="1"/>
  <c r="AS191" i="1"/>
  <c r="AR191" i="1"/>
  <c r="AQ191" i="1"/>
  <c r="AP191" i="1"/>
  <c r="AO191" i="1"/>
  <c r="AN191" i="1"/>
  <c r="AM191" i="1"/>
  <c r="AL191" i="1"/>
  <c r="AK191" i="1"/>
  <c r="AJ191" i="1"/>
  <c r="AI191" i="1"/>
  <c r="AH191" i="1"/>
  <c r="AG191" i="1"/>
  <c r="AF191" i="1"/>
  <c r="AS190" i="1"/>
  <c r="AR190" i="1"/>
  <c r="AQ190" i="1"/>
  <c r="AP190" i="1"/>
  <c r="AO190" i="1"/>
  <c r="AN190" i="1"/>
  <c r="AM190" i="1"/>
  <c r="AL190" i="1"/>
  <c r="AK190" i="1"/>
  <c r="AJ190" i="1"/>
  <c r="AI190" i="1"/>
  <c r="AH190" i="1"/>
  <c r="AG190" i="1"/>
  <c r="AF190" i="1"/>
  <c r="AS189" i="1"/>
  <c r="AR189" i="1"/>
  <c r="AQ189" i="1"/>
  <c r="AP189" i="1"/>
  <c r="AO189" i="1"/>
  <c r="AN189" i="1"/>
  <c r="AM189" i="1"/>
  <c r="AL189" i="1"/>
  <c r="AK189" i="1"/>
  <c r="AJ189" i="1"/>
  <c r="AI189" i="1"/>
  <c r="AH189" i="1"/>
  <c r="AG189" i="1"/>
  <c r="AF189" i="1"/>
  <c r="AS188" i="1"/>
  <c r="AR188" i="1"/>
  <c r="AQ188" i="1"/>
  <c r="AP188" i="1"/>
  <c r="AO188" i="1"/>
  <c r="AN188" i="1"/>
  <c r="AM188" i="1"/>
  <c r="AL188" i="1"/>
  <c r="AK188" i="1"/>
  <c r="AJ188" i="1"/>
  <c r="AI188" i="1"/>
  <c r="AH188" i="1"/>
  <c r="AG188" i="1"/>
  <c r="AF188" i="1"/>
  <c r="AS187" i="1"/>
  <c r="AR187" i="1"/>
  <c r="AQ187" i="1"/>
  <c r="AP187" i="1"/>
  <c r="AO187" i="1"/>
  <c r="AN187" i="1"/>
  <c r="AM187" i="1"/>
  <c r="AL187" i="1"/>
  <c r="AK187" i="1"/>
  <c r="AJ187" i="1"/>
  <c r="AI187" i="1"/>
  <c r="AH187" i="1"/>
  <c r="AG187" i="1"/>
  <c r="AF187" i="1"/>
  <c r="AS186" i="1"/>
  <c r="AR186" i="1"/>
  <c r="AQ186" i="1"/>
  <c r="AP186" i="1"/>
  <c r="AO186" i="1"/>
  <c r="AN186" i="1"/>
  <c r="AM186" i="1"/>
  <c r="AL186" i="1"/>
  <c r="AK186" i="1"/>
  <c r="AJ186" i="1"/>
  <c r="AI186" i="1"/>
  <c r="AH186" i="1"/>
  <c r="AG186" i="1"/>
  <c r="AF186" i="1"/>
  <c r="AS185" i="1"/>
  <c r="AR185" i="1"/>
  <c r="AQ185" i="1"/>
  <c r="AP185" i="1"/>
  <c r="AO185" i="1"/>
  <c r="AN185" i="1"/>
  <c r="AM185" i="1"/>
  <c r="AL185" i="1"/>
  <c r="AK185" i="1"/>
  <c r="AJ185" i="1"/>
  <c r="AI185" i="1"/>
  <c r="AH185" i="1"/>
  <c r="AG185" i="1"/>
  <c r="AF185" i="1"/>
  <c r="AS184" i="1"/>
  <c r="AR184" i="1"/>
  <c r="AQ184" i="1"/>
  <c r="AP184" i="1"/>
  <c r="AO184" i="1"/>
  <c r="AN184" i="1"/>
  <c r="AM184" i="1"/>
  <c r="AL184" i="1"/>
  <c r="AK184" i="1"/>
  <c r="AJ184" i="1"/>
  <c r="AI184" i="1"/>
  <c r="AH184" i="1"/>
  <c r="AG184" i="1"/>
  <c r="AF184" i="1"/>
  <c r="AS183" i="1"/>
  <c r="AR183" i="1"/>
  <c r="AQ183" i="1"/>
  <c r="AP183" i="1"/>
  <c r="AO183" i="1"/>
  <c r="AN183" i="1"/>
  <c r="AM183" i="1"/>
  <c r="AL183" i="1"/>
  <c r="AK183" i="1"/>
  <c r="AJ183" i="1"/>
  <c r="AI183" i="1"/>
  <c r="AH183" i="1"/>
  <c r="AG183" i="1"/>
  <c r="AF183" i="1"/>
  <c r="AS182" i="1"/>
  <c r="AR182" i="1"/>
  <c r="AQ182" i="1"/>
  <c r="AP182" i="1"/>
  <c r="AO182" i="1"/>
  <c r="AN182" i="1"/>
  <c r="AM182" i="1"/>
  <c r="AL182" i="1"/>
  <c r="AK182" i="1"/>
  <c r="AJ182" i="1"/>
  <c r="AI182" i="1"/>
  <c r="AH182" i="1"/>
  <c r="AG182" i="1"/>
  <c r="AF182" i="1"/>
  <c r="AS181" i="1"/>
  <c r="AR181" i="1"/>
  <c r="AQ181" i="1"/>
  <c r="AP181" i="1"/>
  <c r="AO181" i="1"/>
  <c r="AN181" i="1"/>
  <c r="AM181" i="1"/>
  <c r="AL181" i="1"/>
  <c r="AK181" i="1"/>
  <c r="AJ181" i="1"/>
  <c r="AI181" i="1"/>
  <c r="AH181" i="1"/>
  <c r="AG181" i="1"/>
  <c r="AF181" i="1"/>
  <c r="AS180" i="1"/>
  <c r="AR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S179" i="1"/>
  <c r="AR179" i="1"/>
  <c r="AQ179" i="1"/>
  <c r="AP179" i="1"/>
  <c r="AO179" i="1"/>
  <c r="AN179" i="1"/>
  <c r="AM179" i="1"/>
  <c r="AL179" i="1"/>
  <c r="AK179" i="1"/>
  <c r="AJ179" i="1"/>
  <c r="AI179" i="1"/>
  <c r="AH179" i="1"/>
  <c r="AG179" i="1"/>
  <c r="AF179" i="1"/>
  <c r="AS178" i="1"/>
  <c r="AR178" i="1"/>
  <c r="AQ178" i="1"/>
  <c r="AP178" i="1"/>
  <c r="AO178" i="1"/>
  <c r="AN178" i="1"/>
  <c r="AM178" i="1"/>
  <c r="AL178" i="1"/>
  <c r="AK178" i="1"/>
  <c r="AJ178" i="1"/>
  <c r="AI178" i="1"/>
  <c r="AH178" i="1"/>
  <c r="AG178" i="1"/>
  <c r="AF178" i="1"/>
  <c r="AS177" i="1"/>
  <c r="AR177" i="1"/>
  <c r="AQ177" i="1"/>
  <c r="AP177" i="1"/>
  <c r="AO177" i="1"/>
  <c r="AN177" i="1"/>
  <c r="AM177" i="1"/>
  <c r="AL177" i="1"/>
  <c r="AK177" i="1"/>
  <c r="AJ177" i="1"/>
  <c r="AI177" i="1"/>
  <c r="AH177" i="1"/>
  <c r="AG177" i="1"/>
  <c r="AF177" i="1"/>
  <c r="AS176" i="1"/>
  <c r="AR176" i="1"/>
  <c r="AQ176" i="1"/>
  <c r="AP176" i="1"/>
  <c r="AO176" i="1"/>
  <c r="AN176" i="1"/>
  <c r="AM176" i="1"/>
  <c r="AL176" i="1"/>
  <c r="AK176" i="1"/>
  <c r="AJ176" i="1"/>
  <c r="AI176" i="1"/>
  <c r="AH176" i="1"/>
  <c r="AG176" i="1"/>
  <c r="AF176" i="1"/>
  <c r="AS175" i="1"/>
  <c r="AR175" i="1"/>
  <c r="AQ175" i="1"/>
  <c r="AP175" i="1"/>
  <c r="AO175" i="1"/>
  <c r="AN175" i="1"/>
  <c r="AM175" i="1"/>
  <c r="AL175" i="1"/>
  <c r="AK175" i="1"/>
  <c r="AJ175" i="1"/>
  <c r="AI175" i="1"/>
  <c r="AH175" i="1"/>
  <c r="AG175" i="1"/>
  <c r="AF175" i="1"/>
  <c r="AS174" i="1"/>
  <c r="AR174" i="1"/>
  <c r="AQ174" i="1"/>
  <c r="AP174" i="1"/>
  <c r="AO174" i="1"/>
  <c r="AN174" i="1"/>
  <c r="AM174" i="1"/>
  <c r="AL174" i="1"/>
  <c r="AK174" i="1"/>
  <c r="AJ174" i="1"/>
  <c r="AI174" i="1"/>
  <c r="AH174" i="1"/>
  <c r="AG174" i="1"/>
  <c r="AF174" i="1"/>
  <c r="AS173" i="1"/>
  <c r="AR173" i="1"/>
  <c r="AQ173" i="1"/>
  <c r="AP173" i="1"/>
  <c r="AO173" i="1"/>
  <c r="AN173" i="1"/>
  <c r="AM173" i="1"/>
  <c r="AL173" i="1"/>
  <c r="AK173" i="1"/>
  <c r="AJ173" i="1"/>
  <c r="AI173" i="1"/>
  <c r="AH173" i="1"/>
  <c r="AG173" i="1"/>
  <c r="AF173" i="1"/>
  <c r="AS172" i="1"/>
  <c r="AR172" i="1"/>
  <c r="AQ172" i="1"/>
  <c r="AP172" i="1"/>
  <c r="AO172" i="1"/>
  <c r="AN172" i="1"/>
  <c r="AM172" i="1"/>
  <c r="AL172" i="1"/>
  <c r="AK172" i="1"/>
  <c r="AJ172" i="1"/>
  <c r="AI172" i="1"/>
  <c r="AH172" i="1"/>
  <c r="AG172" i="1"/>
  <c r="AF172" i="1"/>
  <c r="AS171" i="1"/>
  <c r="AR171" i="1"/>
  <c r="AQ171" i="1"/>
  <c r="AP171" i="1"/>
  <c r="AO171" i="1"/>
  <c r="AN171" i="1"/>
  <c r="AM171" i="1"/>
  <c r="AL171" i="1"/>
  <c r="AK171" i="1"/>
  <c r="AJ171" i="1"/>
  <c r="AI171" i="1"/>
  <c r="AH171" i="1"/>
  <c r="AG171" i="1"/>
  <c r="AF171" i="1"/>
  <c r="AS170" i="1"/>
  <c r="AR170" i="1"/>
  <c r="AQ170" i="1"/>
  <c r="AP170" i="1"/>
  <c r="AO170" i="1"/>
  <c r="AN170" i="1"/>
  <c r="AM170" i="1"/>
  <c r="AL170" i="1"/>
  <c r="AK170" i="1"/>
  <c r="AJ170" i="1"/>
  <c r="AI170" i="1"/>
  <c r="AH170" i="1"/>
  <c r="AG170" i="1"/>
  <c r="AF170" i="1"/>
  <c r="AS169" i="1"/>
  <c r="AR169" i="1"/>
  <c r="AQ169" i="1"/>
  <c r="AP169" i="1"/>
  <c r="AO169" i="1"/>
  <c r="AN169" i="1"/>
  <c r="AM169" i="1"/>
  <c r="AL169" i="1"/>
  <c r="AK169" i="1"/>
  <c r="AJ169" i="1"/>
  <c r="AI169" i="1"/>
  <c r="AH169" i="1"/>
  <c r="AG169" i="1"/>
  <c r="AF169" i="1"/>
  <c r="AS168" i="1"/>
  <c r="AR168" i="1"/>
  <c r="AQ168" i="1"/>
  <c r="AP168" i="1"/>
  <c r="AO168" i="1"/>
  <c r="AN168" i="1"/>
  <c r="AM168" i="1"/>
  <c r="AL168" i="1"/>
  <c r="AK168" i="1"/>
  <c r="AJ168" i="1"/>
  <c r="AI168" i="1"/>
  <c r="AH168" i="1"/>
  <c r="AG168" i="1"/>
  <c r="AF168" i="1"/>
  <c r="AS167" i="1"/>
  <c r="AR167" i="1"/>
  <c r="AQ167" i="1"/>
  <c r="AP167" i="1"/>
  <c r="AO167" i="1"/>
  <c r="AN167" i="1"/>
  <c r="AM167" i="1"/>
  <c r="AL167" i="1"/>
  <c r="AK167" i="1"/>
  <c r="AJ167" i="1"/>
  <c r="AI167" i="1"/>
  <c r="AH167" i="1"/>
  <c r="AG167" i="1"/>
  <c r="AF167" i="1"/>
  <c r="AS166" i="1"/>
  <c r="AR166" i="1"/>
  <c r="AQ166" i="1"/>
  <c r="AP166" i="1"/>
  <c r="AO166" i="1"/>
  <c r="AN166" i="1"/>
  <c r="AM166" i="1"/>
  <c r="AL166" i="1"/>
  <c r="AK166" i="1"/>
  <c r="AJ166" i="1"/>
  <c r="AI166" i="1"/>
  <c r="AH166" i="1"/>
  <c r="AG166" i="1"/>
  <c r="AF166" i="1"/>
  <c r="AS165" i="1"/>
  <c r="AR165" i="1"/>
  <c r="AQ165" i="1"/>
  <c r="AP165" i="1"/>
  <c r="AO165" i="1"/>
  <c r="AN165" i="1"/>
  <c r="AM165" i="1"/>
  <c r="AL165" i="1"/>
  <c r="AK165" i="1"/>
  <c r="AJ165" i="1"/>
  <c r="AI165" i="1"/>
  <c r="AH165" i="1"/>
  <c r="AG165" i="1"/>
  <c r="AF165" i="1"/>
  <c r="AS164" i="1"/>
  <c r="AR164" i="1"/>
  <c r="AQ164" i="1"/>
  <c r="AP164" i="1"/>
  <c r="AO164" i="1"/>
  <c r="AN164" i="1"/>
  <c r="AM164" i="1"/>
  <c r="AL164" i="1"/>
  <c r="AK164" i="1"/>
  <c r="AJ164" i="1"/>
  <c r="AI164" i="1"/>
  <c r="AH164" i="1"/>
  <c r="AG164" i="1"/>
  <c r="AF164" i="1"/>
  <c r="AS163" i="1"/>
  <c r="AR163" i="1"/>
  <c r="AQ163" i="1"/>
  <c r="AP163" i="1"/>
  <c r="AO163" i="1"/>
  <c r="AN163" i="1"/>
  <c r="AM163" i="1"/>
  <c r="AL163" i="1"/>
  <c r="AK163" i="1"/>
  <c r="AJ163" i="1"/>
  <c r="AI163" i="1"/>
  <c r="AH163" i="1"/>
  <c r="AG163" i="1"/>
  <c r="AF163" i="1"/>
  <c r="AS162" i="1"/>
  <c r="AR162" i="1"/>
  <c r="AQ162" i="1"/>
  <c r="AP162" i="1"/>
  <c r="AO162" i="1"/>
  <c r="AN162" i="1"/>
  <c r="AM162" i="1"/>
  <c r="AL162" i="1"/>
  <c r="AK162" i="1"/>
  <c r="AJ162" i="1"/>
  <c r="AI162" i="1"/>
  <c r="AH162" i="1"/>
  <c r="AG162" i="1"/>
  <c r="AF162" i="1"/>
  <c r="AS161" i="1"/>
  <c r="AR161" i="1"/>
  <c r="AQ161" i="1"/>
  <c r="AP161" i="1"/>
  <c r="AO161" i="1"/>
  <c r="AN161" i="1"/>
  <c r="AM161" i="1"/>
  <c r="AL161" i="1"/>
  <c r="AK161" i="1"/>
  <c r="AJ161" i="1"/>
  <c r="AI161" i="1"/>
  <c r="AH161" i="1"/>
  <c r="AG161" i="1"/>
  <c r="AF161" i="1"/>
  <c r="AS160" i="1"/>
  <c r="AR160" i="1"/>
  <c r="AQ160" i="1"/>
  <c r="AP160" i="1"/>
  <c r="AO160" i="1"/>
  <c r="AN160" i="1"/>
  <c r="AM160" i="1"/>
  <c r="AL160" i="1"/>
  <c r="AK160" i="1"/>
  <c r="AJ160" i="1"/>
  <c r="AI160" i="1"/>
  <c r="AH160" i="1"/>
  <c r="AG160" i="1"/>
  <c r="AF160" i="1"/>
  <c r="AS159" i="1"/>
  <c r="AR159" i="1"/>
  <c r="AQ159" i="1"/>
  <c r="AP159" i="1"/>
  <c r="AO159" i="1"/>
  <c r="AN159" i="1"/>
  <c r="AM159" i="1"/>
  <c r="AL159" i="1"/>
  <c r="AK159" i="1"/>
  <c r="AJ159" i="1"/>
  <c r="AI159" i="1"/>
  <c r="AH159" i="1"/>
  <c r="AG159" i="1"/>
  <c r="AF159" i="1"/>
  <c r="AS158" i="1"/>
  <c r="AR158" i="1"/>
  <c r="AQ158" i="1"/>
  <c r="AP158" i="1"/>
  <c r="AO158" i="1"/>
  <c r="AN158" i="1"/>
  <c r="AM158" i="1"/>
  <c r="AL158" i="1"/>
  <c r="AK158" i="1"/>
  <c r="AJ158" i="1"/>
  <c r="AI158" i="1"/>
  <c r="AH158" i="1"/>
  <c r="AG158" i="1"/>
  <c r="AF158" i="1"/>
  <c r="AS157" i="1"/>
  <c r="AR157" i="1"/>
  <c r="AQ157" i="1"/>
  <c r="AP157" i="1"/>
  <c r="AO157" i="1"/>
  <c r="AN157" i="1"/>
  <c r="AM157" i="1"/>
  <c r="AL157" i="1"/>
  <c r="AK157" i="1"/>
  <c r="AJ157" i="1"/>
  <c r="AI157" i="1"/>
  <c r="AH157" i="1"/>
  <c r="AG157" i="1"/>
  <c r="AF157" i="1"/>
  <c r="AS156" i="1"/>
  <c r="AR156" i="1"/>
  <c r="AQ156" i="1"/>
  <c r="AP156" i="1"/>
  <c r="AO156" i="1"/>
  <c r="AN156" i="1"/>
  <c r="AM156" i="1"/>
  <c r="AL156" i="1"/>
  <c r="AK156" i="1"/>
  <c r="AJ156" i="1"/>
  <c r="AI156" i="1"/>
  <c r="AH156" i="1"/>
  <c r="AG156" i="1"/>
  <c r="AF156" i="1"/>
  <c r="AS155" i="1"/>
  <c r="AR155" i="1"/>
  <c r="AQ155" i="1"/>
  <c r="AP155" i="1"/>
  <c r="AO155" i="1"/>
  <c r="AN155" i="1"/>
  <c r="AM155" i="1"/>
  <c r="AL155" i="1"/>
  <c r="AK155" i="1"/>
  <c r="AJ155" i="1"/>
  <c r="AI155" i="1"/>
  <c r="AH155" i="1"/>
  <c r="AG155" i="1"/>
  <c r="AF155" i="1"/>
  <c r="AS154" i="1"/>
  <c r="AR154" i="1"/>
  <c r="AQ154" i="1"/>
  <c r="AP154" i="1"/>
  <c r="AO154" i="1"/>
  <c r="AN154" i="1"/>
  <c r="AM154" i="1"/>
  <c r="AL154" i="1"/>
  <c r="AK154" i="1"/>
  <c r="AJ154" i="1"/>
  <c r="AI154" i="1"/>
  <c r="AH154" i="1"/>
  <c r="AG154" i="1"/>
  <c r="AF154" i="1"/>
  <c r="AS153" i="1"/>
  <c r="AR153" i="1"/>
  <c r="AQ153" i="1"/>
  <c r="AP153" i="1"/>
  <c r="AO153" i="1"/>
  <c r="AN153" i="1"/>
  <c r="AM153" i="1"/>
  <c r="AL153" i="1"/>
  <c r="AK153" i="1"/>
  <c r="AJ153" i="1"/>
  <c r="AI153" i="1"/>
  <c r="AH153" i="1"/>
  <c r="AG153" i="1"/>
  <c r="AF153" i="1"/>
  <c r="AS152" i="1"/>
  <c r="AR152" i="1"/>
  <c r="AQ152" i="1"/>
  <c r="AP152" i="1"/>
  <c r="AO152" i="1"/>
  <c r="AN152" i="1"/>
  <c r="AM152" i="1"/>
  <c r="AL152" i="1"/>
  <c r="AK152" i="1"/>
  <c r="AJ152" i="1"/>
  <c r="AI152" i="1"/>
  <c r="AH152" i="1"/>
  <c r="AG152" i="1"/>
  <c r="AF152" i="1"/>
  <c r="AS151" i="1"/>
  <c r="AR151" i="1"/>
  <c r="AQ151" i="1"/>
  <c r="AP151" i="1"/>
  <c r="AO151" i="1"/>
  <c r="AN151" i="1"/>
  <c r="AM151" i="1"/>
  <c r="AL151" i="1"/>
  <c r="AK151" i="1"/>
  <c r="AJ151" i="1"/>
  <c r="AI151" i="1"/>
  <c r="AH151" i="1"/>
  <c r="AG151" i="1"/>
  <c r="AF151" i="1"/>
  <c r="AS150" i="1"/>
  <c r="AR150" i="1"/>
  <c r="AQ150" i="1"/>
  <c r="AP150" i="1"/>
  <c r="AO150" i="1"/>
  <c r="AN150" i="1"/>
  <c r="AM150" i="1"/>
  <c r="AL150" i="1"/>
  <c r="AK150" i="1"/>
  <c r="AJ150" i="1"/>
  <c r="AI150" i="1"/>
  <c r="AH150" i="1"/>
  <c r="AG150" i="1"/>
  <c r="AF150" i="1"/>
  <c r="AS149" i="1"/>
  <c r="AR149" i="1"/>
  <c r="AQ149" i="1"/>
  <c r="AP149" i="1"/>
  <c r="AO149" i="1"/>
  <c r="AN149" i="1"/>
  <c r="AM149" i="1"/>
  <c r="AL149" i="1"/>
  <c r="AK149" i="1"/>
  <c r="AJ149" i="1"/>
  <c r="AI149" i="1"/>
  <c r="AH149" i="1"/>
  <c r="AG149" i="1"/>
  <c r="AF149" i="1"/>
  <c r="AS148" i="1"/>
  <c r="AR148" i="1"/>
  <c r="AQ148" i="1"/>
  <c r="AP148" i="1"/>
  <c r="AO148" i="1"/>
  <c r="AN148" i="1"/>
  <c r="AM148" i="1"/>
  <c r="AL148" i="1"/>
  <c r="AK148" i="1"/>
  <c r="AJ148" i="1"/>
  <c r="AI148" i="1"/>
  <c r="AH148" i="1"/>
  <c r="AG148" i="1"/>
  <c r="AF148" i="1"/>
  <c r="AS147" i="1"/>
  <c r="AR147" i="1"/>
  <c r="AQ147" i="1"/>
  <c r="AP147" i="1"/>
  <c r="AO147" i="1"/>
  <c r="AN147" i="1"/>
  <c r="AM147" i="1"/>
  <c r="AL147" i="1"/>
  <c r="AK147" i="1"/>
  <c r="AJ147" i="1"/>
  <c r="AI147" i="1"/>
  <c r="AH147" i="1"/>
  <c r="AG147" i="1"/>
  <c r="AF147" i="1"/>
  <c r="AS146" i="1"/>
  <c r="AR146" i="1"/>
  <c r="AQ146" i="1"/>
  <c r="AP146" i="1"/>
  <c r="AO146" i="1"/>
  <c r="AN146" i="1"/>
  <c r="AM146" i="1"/>
  <c r="AL146" i="1"/>
  <c r="AK146" i="1"/>
  <c r="AJ146" i="1"/>
  <c r="AI146" i="1"/>
  <c r="AH146" i="1"/>
  <c r="AG146" i="1"/>
  <c r="AF146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AS144" i="1"/>
  <c r="AR144" i="1"/>
  <c r="AQ144" i="1"/>
  <c r="AP144" i="1"/>
  <c r="AO144" i="1"/>
  <c r="AN144" i="1"/>
  <c r="AM144" i="1"/>
  <c r="AL144" i="1"/>
  <c r="AK144" i="1"/>
  <c r="AJ144" i="1"/>
  <c r="AI144" i="1"/>
  <c r="AH144" i="1"/>
  <c r="AG144" i="1"/>
  <c r="AF144" i="1"/>
  <c r="AS143" i="1"/>
  <c r="AR143" i="1"/>
  <c r="AQ143" i="1"/>
  <c r="AP143" i="1"/>
  <c r="AO143" i="1"/>
  <c r="AN143" i="1"/>
  <c r="AM143" i="1"/>
  <c r="AL143" i="1"/>
  <c r="AK143" i="1"/>
  <c r="AJ143" i="1"/>
  <c r="AI143" i="1"/>
  <c r="AH143" i="1"/>
  <c r="AG143" i="1"/>
  <c r="AF143" i="1"/>
  <c r="AS142" i="1"/>
  <c r="AR142" i="1"/>
  <c r="AQ142" i="1"/>
  <c r="AP142" i="1"/>
  <c r="AO142" i="1"/>
  <c r="AN142" i="1"/>
  <c r="AM142" i="1"/>
  <c r="AL142" i="1"/>
  <c r="AK142" i="1"/>
  <c r="AJ142" i="1"/>
  <c r="AI142" i="1"/>
  <c r="AH142" i="1"/>
  <c r="AG142" i="1"/>
  <c r="AF142" i="1"/>
  <c r="AS141" i="1"/>
  <c r="AR141" i="1"/>
  <c r="AQ141" i="1"/>
  <c r="AP141" i="1"/>
  <c r="AO141" i="1"/>
  <c r="AN141" i="1"/>
  <c r="AM141" i="1"/>
  <c r="AL141" i="1"/>
  <c r="AK141" i="1"/>
  <c r="AJ141" i="1"/>
  <c r="AI141" i="1"/>
  <c r="AH141" i="1"/>
  <c r="AG141" i="1"/>
  <c r="AF141" i="1"/>
  <c r="AS140" i="1"/>
  <c r="AR140" i="1"/>
  <c r="AQ140" i="1"/>
  <c r="AP140" i="1"/>
  <c r="AO140" i="1"/>
  <c r="AN140" i="1"/>
  <c r="AM140" i="1"/>
  <c r="AL140" i="1"/>
  <c r="AK140" i="1"/>
  <c r="AJ140" i="1"/>
  <c r="AI140" i="1"/>
  <c r="AH140" i="1"/>
  <c r="AG140" i="1"/>
  <c r="AF140" i="1"/>
  <c r="AS139" i="1"/>
  <c r="AR139" i="1"/>
  <c r="AQ139" i="1"/>
  <c r="AP139" i="1"/>
  <c r="AO139" i="1"/>
  <c r="AN139" i="1"/>
  <c r="AM139" i="1"/>
  <c r="AL139" i="1"/>
  <c r="AK139" i="1"/>
  <c r="AJ139" i="1"/>
  <c r="AI139" i="1"/>
  <c r="AH139" i="1"/>
  <c r="AG139" i="1"/>
  <c r="AF139" i="1"/>
  <c r="AS138" i="1"/>
  <c r="AR138" i="1"/>
  <c r="AQ138" i="1"/>
  <c r="AP138" i="1"/>
  <c r="AO138" i="1"/>
  <c r="AN138" i="1"/>
  <c r="AM138" i="1"/>
  <c r="AL138" i="1"/>
  <c r="AK138" i="1"/>
  <c r="AJ138" i="1"/>
  <c r="AI138" i="1"/>
  <c r="AH138" i="1"/>
  <c r="AG138" i="1"/>
  <c r="AF138" i="1"/>
  <c r="AS137" i="1"/>
  <c r="AR137" i="1"/>
  <c r="AQ137" i="1"/>
  <c r="AP137" i="1"/>
  <c r="AO137" i="1"/>
  <c r="AN137" i="1"/>
  <c r="AM137" i="1"/>
  <c r="AL137" i="1"/>
  <c r="AK137" i="1"/>
  <c r="AJ137" i="1"/>
  <c r="AI137" i="1"/>
  <c r="AH137" i="1"/>
  <c r="AG137" i="1"/>
  <c r="AF137" i="1"/>
  <c r="AS136" i="1"/>
  <c r="AR136" i="1"/>
  <c r="AQ136" i="1"/>
  <c r="AP136" i="1"/>
  <c r="AO136" i="1"/>
  <c r="AN136" i="1"/>
  <c r="AM136" i="1"/>
  <c r="AL136" i="1"/>
  <c r="AK136" i="1"/>
  <c r="AJ136" i="1"/>
  <c r="AI136" i="1"/>
  <c r="AH136" i="1"/>
  <c r="AG136" i="1"/>
  <c r="AF136" i="1"/>
  <c r="AS135" i="1"/>
  <c r="AR135" i="1"/>
  <c r="AQ135" i="1"/>
  <c r="AP135" i="1"/>
  <c r="AO135" i="1"/>
  <c r="AN135" i="1"/>
  <c r="AM135" i="1"/>
  <c r="AL135" i="1"/>
  <c r="AK135" i="1"/>
  <c r="AJ135" i="1"/>
  <c r="AI135" i="1"/>
  <c r="AH135" i="1"/>
  <c r="AG135" i="1"/>
  <c r="AF135" i="1"/>
  <c r="AS134" i="1"/>
  <c r="AR134" i="1"/>
  <c r="AQ134" i="1"/>
  <c r="AP134" i="1"/>
  <c r="AO134" i="1"/>
  <c r="AN134" i="1"/>
  <c r="AM134" i="1"/>
  <c r="AL134" i="1"/>
  <c r="AK134" i="1"/>
  <c r="AJ134" i="1"/>
  <c r="AI134" i="1"/>
  <c r="AH134" i="1"/>
  <c r="AG134" i="1"/>
  <c r="AF134" i="1"/>
  <c r="AS133" i="1"/>
  <c r="AR133" i="1"/>
  <c r="AQ133" i="1"/>
  <c r="AP133" i="1"/>
  <c r="AO133" i="1"/>
  <c r="AN133" i="1"/>
  <c r="AM133" i="1"/>
  <c r="AL133" i="1"/>
  <c r="AK133" i="1"/>
  <c r="AJ133" i="1"/>
  <c r="AI133" i="1"/>
  <c r="AH133" i="1"/>
  <c r="AG133" i="1"/>
  <c r="AF133" i="1"/>
  <c r="AS132" i="1"/>
  <c r="AR132" i="1"/>
  <c r="AQ132" i="1"/>
  <c r="AP132" i="1"/>
  <c r="AO132" i="1"/>
  <c r="AN132" i="1"/>
  <c r="AM132" i="1"/>
  <c r="AL132" i="1"/>
  <c r="AK132" i="1"/>
  <c r="AJ132" i="1"/>
  <c r="AI132" i="1"/>
  <c r="AH132" i="1"/>
  <c r="AG132" i="1"/>
  <c r="AF132" i="1"/>
  <c r="AS131" i="1"/>
  <c r="AR131" i="1"/>
  <c r="AQ131" i="1"/>
  <c r="AP131" i="1"/>
  <c r="AO131" i="1"/>
  <c r="AN131" i="1"/>
  <c r="AM131" i="1"/>
  <c r="AL131" i="1"/>
  <c r="AK131" i="1"/>
  <c r="AJ131" i="1"/>
  <c r="AI131" i="1"/>
  <c r="AH131" i="1"/>
  <c r="AG131" i="1"/>
  <c r="AF131" i="1"/>
  <c r="AS130" i="1"/>
  <c r="AR130" i="1"/>
  <c r="AQ130" i="1"/>
  <c r="AP130" i="1"/>
  <c r="AO130" i="1"/>
  <c r="AN130" i="1"/>
  <c r="AM130" i="1"/>
  <c r="AL130" i="1"/>
  <c r="AK130" i="1"/>
  <c r="AJ130" i="1"/>
  <c r="AI130" i="1"/>
  <c r="AH130" i="1"/>
  <c r="AG130" i="1"/>
  <c r="AF130" i="1"/>
  <c r="AS129" i="1"/>
  <c r="AR129" i="1"/>
  <c r="AQ129" i="1"/>
  <c r="AP129" i="1"/>
  <c r="AO129" i="1"/>
  <c r="AN129" i="1"/>
  <c r="AM129" i="1"/>
  <c r="AL129" i="1"/>
  <c r="AK129" i="1"/>
  <c r="AJ129" i="1"/>
  <c r="AI129" i="1"/>
  <c r="AH129" i="1"/>
  <c r="AG129" i="1"/>
  <c r="AF129" i="1"/>
  <c r="AS128" i="1"/>
  <c r="AR128" i="1"/>
  <c r="AQ128" i="1"/>
  <c r="AP128" i="1"/>
  <c r="AO128" i="1"/>
  <c r="AN128" i="1"/>
  <c r="AM128" i="1"/>
  <c r="AL128" i="1"/>
  <c r="AK128" i="1"/>
  <c r="AJ128" i="1"/>
  <c r="AI128" i="1"/>
  <c r="AH128" i="1"/>
  <c r="AG128" i="1"/>
  <c r="AF128" i="1"/>
  <c r="AS127" i="1"/>
  <c r="AR127" i="1"/>
  <c r="AQ127" i="1"/>
  <c r="AP127" i="1"/>
  <c r="AO127" i="1"/>
  <c r="AN127" i="1"/>
  <c r="AM127" i="1"/>
  <c r="AL127" i="1"/>
  <c r="AK127" i="1"/>
  <c r="AJ127" i="1"/>
  <c r="AI127" i="1"/>
  <c r="AH127" i="1"/>
  <c r="AG127" i="1"/>
  <c r="AF127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S125" i="1"/>
  <c r="AR125" i="1"/>
  <c r="AQ125" i="1"/>
  <c r="AP125" i="1"/>
  <c r="AO125" i="1"/>
  <c r="AN125" i="1"/>
  <c r="AM125" i="1"/>
  <c r="AL125" i="1"/>
  <c r="AK125" i="1"/>
  <c r="AJ125" i="1"/>
  <c r="AI125" i="1"/>
  <c r="AH125" i="1"/>
  <c r="AG125" i="1"/>
  <c r="AF125" i="1"/>
  <c r="AS124" i="1"/>
  <c r="AR124" i="1"/>
  <c r="AQ124" i="1"/>
  <c r="AP124" i="1"/>
  <c r="AO124" i="1"/>
  <c r="AN124" i="1"/>
  <c r="AM124" i="1"/>
  <c r="AL124" i="1"/>
  <c r="AK124" i="1"/>
  <c r="AJ124" i="1"/>
  <c r="AI124" i="1"/>
  <c r="AH124" i="1"/>
  <c r="AG124" i="1"/>
  <c r="AF124" i="1"/>
  <c r="AS123" i="1"/>
  <c r="AR123" i="1"/>
  <c r="AQ123" i="1"/>
  <c r="AP123" i="1"/>
  <c r="AO123" i="1"/>
  <c r="AN123" i="1"/>
  <c r="AM123" i="1"/>
  <c r="AL123" i="1"/>
  <c r="AK123" i="1"/>
  <c r="AJ123" i="1"/>
  <c r="AI123" i="1"/>
  <c r="AH123" i="1"/>
  <c r="AG123" i="1"/>
  <c r="AF123" i="1"/>
  <c r="AS122" i="1"/>
  <c r="AR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S121" i="1"/>
  <c r="AR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S120" i="1"/>
  <c r="AR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S119" i="1"/>
  <c r="AR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S118" i="1"/>
  <c r="AR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S117" i="1"/>
  <c r="AR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S116" i="1"/>
  <c r="AR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S115" i="1"/>
  <c r="AR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S114" i="1"/>
  <c r="AR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S113" i="1"/>
  <c r="AR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S111" i="1"/>
  <c r="AR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S110" i="1"/>
  <c r="AR110" i="1"/>
  <c r="AQ110" i="1"/>
  <c r="AP110" i="1"/>
  <c r="AO110" i="1"/>
  <c r="AN110" i="1"/>
  <c r="AM110" i="1"/>
  <c r="AL110" i="1"/>
  <c r="AK110" i="1"/>
  <c r="AJ110" i="1"/>
  <c r="AI110" i="1"/>
  <c r="AH110" i="1"/>
  <c r="AG110" i="1"/>
  <c r="AF110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S108" i="1"/>
  <c r="AR108" i="1"/>
  <c r="AQ108" i="1"/>
  <c r="AP108" i="1"/>
  <c r="AO108" i="1"/>
  <c r="AN108" i="1"/>
  <c r="AM108" i="1"/>
  <c r="AL108" i="1"/>
  <c r="AK108" i="1"/>
  <c r="AJ108" i="1"/>
  <c r="AI108" i="1"/>
  <c r="AH108" i="1"/>
  <c r="AG108" i="1"/>
  <c r="AF108" i="1"/>
  <c r="AS107" i="1"/>
  <c r="AR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S91" i="1"/>
  <c r="AR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S90" i="1"/>
  <c r="AR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S89" i="1"/>
  <c r="AR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S88" i="1"/>
  <c r="AR88" i="1"/>
  <c r="AQ88" i="1"/>
  <c r="AP88" i="1"/>
  <c r="AO88" i="1"/>
  <c r="AN88" i="1"/>
  <c r="AM88" i="1"/>
  <c r="AL88" i="1"/>
  <c r="AK88" i="1"/>
  <c r="AJ88" i="1"/>
  <c r="AI88" i="1"/>
  <c r="AH88" i="1"/>
  <c r="AG88" i="1"/>
  <c r="AF88" i="1"/>
  <c r="AS87" i="1"/>
  <c r="AR87" i="1"/>
  <c r="AQ87" i="1"/>
  <c r="AP87" i="1"/>
  <c r="AO87" i="1"/>
  <c r="AN87" i="1"/>
  <c r="AM87" i="1"/>
  <c r="AL87" i="1"/>
  <c r="AK87" i="1"/>
  <c r="AJ87" i="1"/>
  <c r="AI87" i="1"/>
  <c r="AH87" i="1"/>
  <c r="AG87" i="1"/>
  <c r="AF87" i="1"/>
  <c r="AS86" i="1"/>
  <c r="AR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S85" i="1"/>
  <c r="AR85" i="1"/>
  <c r="AQ85" i="1"/>
  <c r="AP85" i="1"/>
  <c r="AO85" i="1"/>
  <c r="AN85" i="1"/>
  <c r="AM85" i="1"/>
  <c r="AL85" i="1"/>
  <c r="AK85" i="1"/>
  <c r="AJ85" i="1"/>
  <c r="AI85" i="1"/>
  <c r="AH85" i="1"/>
  <c r="AG85" i="1"/>
  <c r="AF85" i="1"/>
  <c r="AS84" i="1"/>
  <c r="AR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S82" i="1"/>
  <c r="AR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S81" i="1"/>
  <c r="AR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S79" i="1"/>
  <c r="AR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S78" i="1"/>
  <c r="AR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S76" i="1"/>
  <c r="AR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S74" i="1"/>
  <c r="AR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S73" i="1"/>
  <c r="AR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S72" i="1"/>
  <c r="AR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S71" i="1"/>
  <c r="AR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S68" i="1"/>
  <c r="AR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S65" i="1"/>
  <c r="AR65" i="1"/>
  <c r="AQ65" i="1"/>
  <c r="AP65" i="1"/>
  <c r="AO65" i="1"/>
  <c r="AN65" i="1"/>
  <c r="AM65" i="1"/>
  <c r="AL65" i="1"/>
  <c r="AK65" i="1"/>
  <c r="AJ65" i="1"/>
  <c r="AI65" i="1"/>
  <c r="AH65" i="1"/>
  <c r="AG65" i="1"/>
  <c r="AF65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</calcChain>
</file>

<file path=xl/sharedStrings.xml><?xml version="1.0" encoding="utf-8"?>
<sst xmlns="http://schemas.openxmlformats.org/spreadsheetml/2006/main" count="1160" uniqueCount="291">
  <si>
    <t>CENTRO COSTO</t>
  </si>
  <si>
    <t>NOMBRE DEL SERVICIO/BIEN A REQUERIR</t>
  </si>
  <si>
    <t>RUBRO</t>
  </si>
  <si>
    <t>FUENTE DE FINANCIAMIENTO</t>
  </si>
  <si>
    <t>META</t>
  </si>
  <si>
    <t>GENÉRICA DE GASTO</t>
  </si>
  <si>
    <t>CLASIFICADOR</t>
  </si>
  <si>
    <t>ENERO</t>
  </si>
  <si>
    <t>DEVENGADO ENERO</t>
  </si>
  <si>
    <t>FEBRERO</t>
  </si>
  <si>
    <t>DEVENGADO FEBRERO</t>
  </si>
  <si>
    <t>MARZO</t>
  </si>
  <si>
    <t>DEVENGADO MARZO</t>
  </si>
  <si>
    <t>ABRIL</t>
  </si>
  <si>
    <t>DEVENGADO ABRIL</t>
  </si>
  <si>
    <t>MAYO</t>
  </si>
  <si>
    <t>DEVENGADO MAYO</t>
  </si>
  <si>
    <t>JUNIO</t>
  </si>
  <si>
    <t>DEVENGADO JUNIO</t>
  </si>
  <si>
    <t>JULIO</t>
  </si>
  <si>
    <t>DEVENGADO JULIO</t>
  </si>
  <si>
    <t>AGOSTO</t>
  </si>
  <si>
    <t>DEVENGADO AGOSTO</t>
  </si>
  <si>
    <t>SEPTIEMBRE</t>
  </si>
  <si>
    <t>DEVENGADO SEPTIEMBRE</t>
  </si>
  <si>
    <t>OCTUBRE</t>
  </si>
  <si>
    <t>DEVENGADO OCTUBRE</t>
  </si>
  <si>
    <t>NOVIEMBRE</t>
  </si>
  <si>
    <t>DEVENGADO NOVIEMBRE</t>
  </si>
  <si>
    <t>DICIEMBRE</t>
  </si>
  <si>
    <t>DEVENGADO DICIEMBRE</t>
  </si>
  <si>
    <t>TOTAL PROGRAMADO</t>
  </si>
  <si>
    <t>PRIMER TRIMESTRE</t>
  </si>
  <si>
    <t>DEVENGADO PRIMER TRIMESTRE</t>
  </si>
  <si>
    <t>SEGUNDO TRIMESTRE</t>
  </si>
  <si>
    <t>DEVENGADO SEGUNDO TRIMESTRE</t>
  </si>
  <si>
    <t>TERCER TRIMESTRE</t>
  </si>
  <si>
    <t>DEVENGADO TERCER TRIMESTRE</t>
  </si>
  <si>
    <t>CUARTO TRIMESTRE</t>
  </si>
  <si>
    <t>DEVENGADO CUARTO TRIMESTRE</t>
  </si>
  <si>
    <t>PRIMER SEMESTER</t>
  </si>
  <si>
    <t>DEVENGADO PRIMER SEMESTRE</t>
  </si>
  <si>
    <t>SEGUNDO SEMESTRE</t>
  </si>
  <si>
    <t>DEVENGADO SEGUNDO SEMESTRE</t>
  </si>
  <si>
    <t>TOTAL DEVENGADO</t>
  </si>
  <si>
    <t>DMA</t>
  </si>
  <si>
    <t>TRASLADO PERSONAL - PASAJES
AEREOS NACIONAL</t>
  </si>
  <si>
    <t>COMISION</t>
  </si>
  <si>
    <t>R.O.</t>
  </si>
  <si>
    <t>23.21.21</t>
  </si>
  <si>
    <t>VIATICOS Y ASIGNACIONES POR COMISION DE SERVICIO</t>
  </si>
  <si>
    <t>23.21.22</t>
  </si>
  <si>
    <t>TRASLADO PERSONAL - PASAJES
AEREOS NACIONAL(PIURA) - 2 DIAS/2 PERSONA</t>
  </si>
  <si>
    <t>TRASLADO PERSONAL - PASAJES
AEREOS NACIONAL (CUZCO) - 2 DIAS/3 PERSONAS</t>
  </si>
  <si>
    <t>TRASLADO PERSONAL - PASAJES
AEREOS NACIONAL(PUNO) - 2 DIAS/2 PERSONA</t>
  </si>
  <si>
    <t>SERVICIO DE ASISTENCIA TECNICA EN ACCIONES Y/O ACTIVIDADES EN COMUNICACIONES</t>
  </si>
  <si>
    <t>LOCACION</t>
  </si>
  <si>
    <t>23.27.14 98</t>
  </si>
  <si>
    <t>SERVICIO DE ANALISIS Y SEGUIMIENTO ADMINISTRATIVO</t>
  </si>
  <si>
    <t>SERVICIO DE GESTION ADMINISTRATIVA</t>
  </si>
  <si>
    <t>SERVICIO DE SISTEMATIZACION Y ANALISIS DE INFORMACION</t>
  </si>
  <si>
    <t>SERVICIO DE RECOPILACION Y SISTEMATIZACION DE INFORMACION</t>
  </si>
  <si>
    <t xml:space="preserve">SERVICIO DE ASISTENCIA TÉCNICA EN GESTION DE PROCESOS ADMINISTRATIVOS </t>
  </si>
  <si>
    <t>SERVICIO DE ASISTENCIA TÉCNICA ADMINISTRATIVA</t>
  </si>
  <si>
    <t>SERVICIO DE EVALUACION/REFORZAMIENTO INFRAESTRUCTURAL (TECHO Y COLUMNAS)</t>
  </si>
  <si>
    <t>SERVICIO</t>
  </si>
  <si>
    <t>23.24.71</t>
  </si>
  <si>
    <t>SERVICIO DE EVALUACION DE INFRAESTRUCTURA</t>
  </si>
  <si>
    <t>23.24.21</t>
  </si>
  <si>
    <t>SERVICIO DE REMODELACION DE AMBIENTES</t>
  </si>
  <si>
    <t>SERVICIO ASISTENCIA TECNICA EN METEOROLOGIA PARA CRF</t>
  </si>
  <si>
    <t>23.29.11</t>
  </si>
  <si>
    <t>SERVICIO TECNICO PARA INFORMES O INDICADORES PARA ENANDES</t>
  </si>
  <si>
    <t>PREPARACION DE REFRIGERIOS (ENFEN)</t>
  </si>
  <si>
    <t>ALIMENTACION</t>
  </si>
  <si>
    <t>23.27.11 5</t>
  </si>
  <si>
    <t>PREPARACION DE REFRIGERIOS (ENCOF)</t>
  </si>
  <si>
    <t>PREPARACION DE REFRIGERIOS (MARCO NACIONAL)</t>
  </si>
  <si>
    <t>PREPARACION DE REFRIGERIOS (MESA DE TRABAJO PUNO)</t>
  </si>
  <si>
    <t>PREPARACION DE REFRIGERIOS (CIERRE DE PROYECTO ENANDES)</t>
  </si>
  <si>
    <t>PREPARACION DE REFRIGERIOS (talleres DMA)</t>
  </si>
  <si>
    <t>BIEN</t>
  </si>
  <si>
    <t>SEA</t>
  </si>
  <si>
    <t>SERVICIO DE MANTENIMIENTO DE ESTRUCTURA CERCO PERIMETRICO MARCAPOMACOCHA</t>
  </si>
  <si>
    <t>VIATICOS</t>
  </si>
  <si>
    <t>COMBUSTIBLE</t>
  </si>
  <si>
    <t>23.13.11</t>
  </si>
  <si>
    <t>23.21.299</t>
  </si>
  <si>
    <t>PANELES SOLARES</t>
  </si>
  <si>
    <t>26.32.94</t>
  </si>
  <si>
    <t>MANTENIMIENTO PREVENTIVO DE POZO A TIERRA</t>
  </si>
  <si>
    <t>MANTENIMIENTO PREVENTIVO DE PANEL SOLAR</t>
  </si>
  <si>
    <t>MANTENIMIENTO PREVENTIVO DE ACUMULADOR DE ENERGIA - UPS</t>
  </si>
  <si>
    <t>SERVICIO DE MANTENIMIENTO CORRECTIVO DE EQUIPOS DE MEDICION DE CALIDAD AMBIENTAL</t>
  </si>
  <si>
    <t>SERVICIO DE CALIBRACION DE EQUIPOS DE MEDICION DE CALIDAD DE AGUA</t>
  </si>
  <si>
    <t>SERVICIO DE MANTENIMIENTO PREVENTIVO DE EQUIPOS DE MEDICION PARA CONTAMINACION AMBIENTAL</t>
  </si>
  <si>
    <t>SERVICIO DE INTERNET (PREVISION)</t>
  </si>
  <si>
    <t>INTERNET</t>
  </si>
  <si>
    <t>23.22.23</t>
  </si>
  <si>
    <t>SERVICIO DE INTERNET</t>
  </si>
  <si>
    <t>EQUIPO DE MEDICION PARA CONTAMINACION AMBIENTAL - MONITOR CONTINUO DE PARTÍCULAS</t>
  </si>
  <si>
    <t>26.32.95</t>
  </si>
  <si>
    <t>SERVICIOS ESPECIALIZADOS EN ANALISIS AMBIENTAL 1</t>
  </si>
  <si>
    <t>SERVICIOS ESPECIALIZADOS EN ANALISIS AMBIENTAL</t>
  </si>
  <si>
    <t>SERVICIOS ESPECIALIZADOS EN ANALISIS AMBIENTAL 2</t>
  </si>
  <si>
    <t>SERVICIO DE EVALUACION EN TEMAS AMBIENTALES</t>
  </si>
  <si>
    <t>SERVICIO ESPECIALISTA AMBIENTAL</t>
  </si>
  <si>
    <t>PRACTICANTE</t>
  </si>
  <si>
    <t>23.27.52</t>
  </si>
  <si>
    <t>LOCADOR POR PRACTICANTE</t>
  </si>
  <si>
    <t>SMN</t>
  </si>
  <si>
    <t>TRASLADO PERSONAL - PASAJES</t>
  </si>
  <si>
    <t>SERVICIO DE ASISTENCIA TECNICA EN METEOROLOGIA</t>
  </si>
  <si>
    <t>SERVICIO DE ANALISIS DE INFORMACION HIDROMETEOROLOGICA PARA CAMBIO CLIMATICO</t>
  </si>
  <si>
    <t>SERVICIO DE OPERACIONALIZACION DE SALIDAS DE MODELOS NUMERICOS DE LARGO PLAZO EN MODELAMIENTO CLIMATICO</t>
  </si>
  <si>
    <t>CURSO</t>
  </si>
  <si>
    <t>23.27.31</t>
  </si>
  <si>
    <t>COFFEE BREAK ENANDES+</t>
  </si>
  <si>
    <t>COFFEE BREAK SINOPTICO</t>
  </si>
  <si>
    <t>COFFEE BREAK MULTISECTORIAL</t>
  </si>
  <si>
    <t>SERVICIO DE FACILITADOR</t>
  </si>
  <si>
    <t>26.32.31</t>
  </si>
  <si>
    <t>PRACTICANTE (PROPINAS)</t>
  </si>
  <si>
    <t>23.27.5 10</t>
  </si>
  <si>
    <t>SPC</t>
  </si>
  <si>
    <t>SERVICIO DE ASISTENCIA EN TEMAS DE INVESTIGACION</t>
  </si>
  <si>
    <t>SERVICIO DE ASISTENCIA EN TEMAS DE INVESTIGACION (Barreto)</t>
  </si>
  <si>
    <t>SERVICIO DE ASISTENCIA TECNICA EN METEOROLOGIA (INFORMES TECNICOS)</t>
  </si>
  <si>
    <t>ESTUDIOS SEB</t>
  </si>
  <si>
    <t>PISAC 1</t>
  </si>
  <si>
    <t>23.27.4 99</t>
  </si>
  <si>
    <t>PISAC 2</t>
  </si>
  <si>
    <t>XTREME</t>
  </si>
  <si>
    <t>ISPI</t>
  </si>
  <si>
    <t>MANTENIMIENTO CORRECTIVO DE VENTANAS</t>
  </si>
  <si>
    <t>ATLAS DE HELADAS - FASE 1</t>
  </si>
  <si>
    <t>SERVICIO DE ASISTENCIA TECNICA EN METEOROLOGIA (PRONOSTICOS)</t>
  </si>
  <si>
    <t>SPM</t>
  </si>
  <si>
    <t>SERVICIO DE GESTOR DE AVISOS METEREOLOGICOS</t>
  </si>
  <si>
    <t>SERVICIO DE ALIMENTACION DE PERSONAS</t>
  </si>
  <si>
    <t>SERVICIO DE ALIMENTACION DE PERSONAS (PREVISION)</t>
  </si>
  <si>
    <t>SERVICIO DE ASISTENCIA TECNICA EN METEOROLOGIA VERIFICACION</t>
  </si>
  <si>
    <t>SERVICIO DE INFORMACION METEOROLOGICA</t>
  </si>
  <si>
    <t>SERVICIO DE ASISTENCIA TECNICA EN METEOROLOGIA INVESTIGACION</t>
  </si>
  <si>
    <t xml:space="preserve">SERVICIO DE ASISTENCIA TECNICA EN METEOROLOGIA </t>
  </si>
  <si>
    <t xml:space="preserve">SERVICIO DE INFORMACION METEOROLOGIA </t>
  </si>
  <si>
    <t>SERVICIO DE ACTUALIZACIÓN Y MEJORA DE PRODUCTOS METEOROLÓGICOS DE PRECIPITACIONES EN EL MARCO DE SISTEMAS DE ALERTA TEMPRANA EN EL COEN</t>
  </si>
  <si>
    <t>SERVICIO DE ACTUALIZACIÓN Y MEJORA DE PRODUCTOS METEOROLÓGICOS DE TEMPORADA SECA EN EL MARCO DE SISTEMAS DE ALERTA TEMPRANA EN EL COEN</t>
  </si>
  <si>
    <t>SERVICIO DE VIGILANCIA METEOROLÓGICA Y GESTIÓN DE AVISOS METEOROLÓGICOS EN EL PERIODO LLUVIOSO EN EL MARCO DE SISTEMAS ALERTA TEMPRANA EN EL COEN</t>
  </si>
  <si>
    <t>SERVICIO DE VIGILANCIA METEOROLÓGICA Y GESTIÓN DE AVISOS METEOROLÓGICOS EN EL PERIODO SECO EN EL MARCO DE SISTEMAS ALERTA TEMPRANA EN EL COEN</t>
  </si>
  <si>
    <t>PANTALLAS VIDEO WALL</t>
  </si>
  <si>
    <t>CURSO DE DRONE</t>
  </si>
  <si>
    <t>ENANDES+</t>
  </si>
  <si>
    <t xml:space="preserve">SERVICIO DE ANÁLISIS Y PROGRAMACIÓN DE SISTEMAS INFORMÁTICOS PARA EL REGISTRO Y GESTIÓN DE INVENTARIO DE DOCUMENTOS FÍSICOS (PLANILLAS Y BANDAS) </t>
  </si>
  <si>
    <t>D.T.</t>
  </si>
  <si>
    <t>PASAJES  AEREOS 3 PERSONAS</t>
  </si>
  <si>
    <t>VIATICOS 3 PERSONAS X 3 DIAS</t>
  </si>
  <si>
    <t>COFFEE BREAK TALLER 1</t>
  </si>
  <si>
    <t>SERVICIO DE PUBLICACION/ARTICULO CIENTIFICO</t>
  </si>
  <si>
    <t>SERVICIO DE DIAGRAMACION Y PUBLICACION DE ATLAS NACIONAL Y PUNO</t>
  </si>
  <si>
    <t>SERVICIO DE SISTEMATIZACIÓN DE INFORMACIÓN PARA EL SEB 1/3</t>
  </si>
  <si>
    <t>REEMBOLSO 1/2</t>
  </si>
  <si>
    <t>REEMBOLSO 2/2</t>
  </si>
  <si>
    <t>SERVICIO DE SISTEMATIZACIÓN DE INFORMACIÓN DE INTERFAZ CON USUARIOS EN PUNO</t>
  </si>
  <si>
    <t>SERVICIO DE SISTEMATIZACION DE LA INFORMACION DE INTERFAZ DE USUARIOS EN PUNO</t>
  </si>
  <si>
    <t>COMISION DE SERVICIO: PASAJE AEREO X4 PERSONAS</t>
  </si>
  <si>
    <t>VIATICOS 2 PERSONAS</t>
  </si>
  <si>
    <t>SERVICIO DE COFFE BREAK PARA TALLERES</t>
  </si>
  <si>
    <t>SERVICIO DE FACILITACIÓN Y SISTEMATIZACIÓN DE INFORMACIÓN PARA IMPLEMENTACIÓN DE TALLER (PUNO)</t>
  </si>
  <si>
    <t>SERVICIO DE SISTEMATIZACION DE INFORMACION DE PRACTICAS LOCALES QUE UTILICEN SERVICIOS TAC EN PUNO</t>
  </si>
  <si>
    <t>MATERIALES DE OFICINA (VARIOS)</t>
  </si>
  <si>
    <t>UTILES</t>
  </si>
  <si>
    <t>23.15.12</t>
  </si>
  <si>
    <t>COFFEE BREAK REUNIÓN TÉCNICA SEB CON MINISTERIOS</t>
  </si>
  <si>
    <t>SERVICIO DE SISTEMATIZACIÓN DE INFORMACIÓN PARA EL SEB 2/3</t>
  </si>
  <si>
    <t>SERVICIO DE SISTEMATIZACIÓN Y RECOPILACIÓN DE INFORMACIÓN (MEMORIA, BUENAS PRACTICAS, LECCIONES APRENDIDAS)</t>
  </si>
  <si>
    <t>CARGOS BANCARIOS</t>
  </si>
  <si>
    <t>CARGOS</t>
  </si>
  <si>
    <t>23.26.21</t>
  </si>
  <si>
    <t>SERVICIO DE ANALISIS ADMINISTRATIVO Y FINANCIERO E</t>
  </si>
  <si>
    <t>SERVICIO DE COORDINACIÓN DE PROYECTOS Y ESTUDIOS SOCIOECONÓMICOS DEL PROYECTO ENANDES+</t>
  </si>
  <si>
    <t>SERVICIO DE MONITOREO Y EVALUACIÓN DE PROYECTO ENANDES+</t>
  </si>
  <si>
    <t>SERVICIO ESPECIALIZADO PARA LA COORDINACIÒN TÈCNICA SEGUIMIETO DE ACTIVIDADES</t>
  </si>
  <si>
    <t>SERVICIO DE SISTEMATIZACIÓN DE INFORMACIÓN PARA EL SEB 3/3</t>
  </si>
  <si>
    <t xml:space="preserve">SERVICIO ESPECIALIZADO PARA LA SISTEMATIZACIÓN DE INFORMACIÓN DE ACTIVIDADES DEL NUREX </t>
  </si>
  <si>
    <t>SERVICIO ESPECIALIZADO PARA LA SISTEMATIZACIÓN DE INFORMACIÓN DE ACTIVIDADES DEL NUREX (2)</t>
  </si>
  <si>
    <t>SERVICIO ESPECIALIZADO PARA LA COORDINACIÒN TECNICA SEGUIMIENNTO DE ACTIVIDADES DEL SEGUIMIENTO TÉCNICO DEL NUREX</t>
  </si>
  <si>
    <t>SERVICIO ESPECIALIZADO PARA LA COORDINACIÒN TECNICA SEGUIMIENNTO DE ACTIVIDADES DEL SEGUIMIENTO TÉCNICO DEL NUREX (2)</t>
  </si>
  <si>
    <t>SERVICIO ESPECIALIZADO EN SISTEMAS INFORMÁTICOS PARA MEJORA INTEGRAL Y CONSOLIDACIÓN OPERATIVA DEL SISTEMA ISPI DEL PERÚ</t>
  </si>
  <si>
    <t>SERVICIO DE PROGRAMACION WEB</t>
  </si>
  <si>
    <t xml:space="preserve">SERVICIO DE DIAGRAMACIÓN Y DISEÑO DE ESTUDIOS Y POLICY BRIEF </t>
  </si>
  <si>
    <t>SERVICIO DE IMPRESIÓN DE ESTUDIO POLICY BRIEF</t>
  </si>
  <si>
    <t>IMPRESIÓN</t>
  </si>
  <si>
    <t>23.27.11 6</t>
  </si>
  <si>
    <t xml:space="preserve">SERVICIO DE IMPRESIÓN DE ESTUDIOS Y POLICY BRIEF </t>
  </si>
  <si>
    <t>SERVICIO DE ANALISTA LOGÍSTICO</t>
  </si>
  <si>
    <t>SERVICIO DE ASISTENCIA TÉCNICA ADMINISTRATIVA 1/3</t>
  </si>
  <si>
    <t>SERVICIO DE ASISTENCIA TECNICA ADMINISTRATIVA 2/3</t>
  </si>
  <si>
    <t>SERVICIO DE SEGUIMIENTO TÉCNICO DE ACTIVIDADES DEL CRF (1/2)</t>
  </si>
  <si>
    <t>MERCH PROYECTO</t>
  </si>
  <si>
    <t>MERCH</t>
  </si>
  <si>
    <t>COMISION DE SERVICIO: VISITA A INSTITUCIONES EDUCATIVAS</t>
  </si>
  <si>
    <t>VIATICOS VISITA A INSTITUCIONES EDUCATIVAS</t>
  </si>
  <si>
    <t>MOVILIDAD LOCAL VISITAS A INSTITUCIONES EDUCATIVAS</t>
  </si>
  <si>
    <t>SERVICIO DE FACILITACION PARA CAPACITACION DE REDACCION CIENTIFICA REGIONAL / PRESENTACION DE ALTO IMPACTO</t>
  </si>
  <si>
    <t>CAPACITACION</t>
  </si>
  <si>
    <t>23.27.32</t>
  </si>
  <si>
    <t>SERVICIO DE FACILITACIÓN DE TALLERES PARA CAPACITACIÓN EN "PROCESAMIENTO Y ANÁLSIS DE INFORMACIÓN DE ENCUESTAS CON TÉCNICAS ECONOMÉTRICAS" (CLASES EN VIVO, USO DE SOFTWARE, TÉCNICAS Y CAPACITACIÓN)</t>
  </si>
  <si>
    <t>COFEE BREAK CURSOS DE CAPACITACION IMÁGENES SATELITALES</t>
  </si>
  <si>
    <t>BLOCKS CON LOGO (ENANDES+ Y CRF)</t>
  </si>
  <si>
    <t>SALDO PARA LA EXTENSION</t>
  </si>
  <si>
    <t>SERVICIO DE SISTEMATIZACIÓN DE ACCIONES DE CAPACITACIÓN DEL CRF (2/2)</t>
  </si>
  <si>
    <t>SERVICIO PARA ELABORACIÓN DE MEMORIA DE PRODUCTOS PRINCIPALES DEL PROYECTO (CON TODO Y DISEÑO)</t>
  </si>
  <si>
    <t>COFFEE BREAK PARA TALLER DE CIERRE EN PUNO + ALQUILER</t>
  </si>
  <si>
    <t>COMISIÓN DE SERVICIOS: PASAJES A PUNO PARA 3 PERSONAS</t>
  </si>
  <si>
    <t>COMISIÓN DE SERVICIOS: VIÁTICOS 3 PERSONASX 2DIAS</t>
  </si>
  <si>
    <t>COFFEE BREAK PARA TALLER DE CIERRE EN LIMA</t>
  </si>
  <si>
    <t>COMISIÓN DE SERVICIOS: PASAJES A DZ13 A LIMA PARA 3 PERSONAS</t>
  </si>
  <si>
    <t>COMISIÓN DE SERVICIOS: VIÁTICOS 3 PERSONASX 2DIAS DZ13 A LIMA</t>
  </si>
  <si>
    <t>ENANDES</t>
  </si>
  <si>
    <t>SERVICIO DE IMPRESIÓN EN GENERAL</t>
  </si>
  <si>
    <t>SERVICIO DE RECOPILACIÓN Y SISTEMATIZACION DE INFORMACIÓN 1</t>
  </si>
  <si>
    <t>SERVICIO DE RECOPILACIÓN Y SISTEMATIZACION DE INFORMACIÓN</t>
  </si>
  <si>
    <t>PASAJES  AEREOS</t>
  </si>
  <si>
    <t>SERVICIO DE DIAGRAMACION, DISEÑO Y CORRECCIÓN DE ESTILO</t>
  </si>
  <si>
    <t>CAFETERA</t>
  </si>
  <si>
    <t>26.32.92</t>
  </si>
  <si>
    <t>26.61.32</t>
  </si>
  <si>
    <t>TRASLADO PERSONAL - COMISION DE SERVICIO - PASAJES AEREOS NACIONAL (MADRE DE DIOS)</t>
  </si>
  <si>
    <t>TRASLADO PERSONAL - COMISION DE SERVICIO - PASAJES AEREOS NACIONAL (IQUITOS)</t>
  </si>
  <si>
    <t>SERVICIO DE MANTENIMIENTO CORRECTIVO DE MUESTREADOR DE AIRE - PARTISOL</t>
  </si>
  <si>
    <t>23.27.11 2</t>
  </si>
  <si>
    <t>23.25.12</t>
  </si>
  <si>
    <t>SERVICIO DE IMPRESIÓN</t>
  </si>
  <si>
    <t>VIATICOS Y ASIGNACIONES POR COMISION DE SERVICIO (COPALSACHA)</t>
  </si>
  <si>
    <t>ADQUISICION DE GIGANTOGRAFIAS</t>
  </si>
  <si>
    <t>23.199.13</t>
  </si>
  <si>
    <t>LICENCIA</t>
  </si>
  <si>
    <t>PRACTICANTE (SUBSIDIO)</t>
  </si>
  <si>
    <t>VIATICOS POR COMISION DE SERVICIO (huanuco)</t>
  </si>
  <si>
    <t>TRASLADO PERSONAL - PASAJES (COPALSACHA)</t>
  </si>
  <si>
    <t>VIATICOS POR COMISION DE SERVICIO (COPALSACHA)</t>
  </si>
  <si>
    <t>VIATICOS Y ASIGNACIONES POR COMISION DE SERVICIO (ICA)</t>
  </si>
  <si>
    <t>SERVICIO ESPECIALISTA AMBIENTAL3</t>
  </si>
  <si>
    <t>ADQUISICION DE BLOCKS</t>
  </si>
  <si>
    <t>SERVICIO DE MAESTRO DE CEREMONIA</t>
  </si>
  <si>
    <t>23.27.10 99</t>
  </si>
  <si>
    <t>TRASLADO PERSONAL - PASAJES
AEREOS NACIONAL(PIURA) - 2 DIAS/1 PERSONA</t>
  </si>
  <si>
    <t>SERVICIO DE INSTALACION DE PANTALLAS</t>
  </si>
  <si>
    <t>Viáticos</t>
  </si>
  <si>
    <t>TRASLADO PERSONAL - PASAJES
AEREOS NACIONAL(PUNO) - 2 DIAS/3 PERSONA</t>
  </si>
  <si>
    <t>Pasajes</t>
  </si>
  <si>
    <t>COMBUSTIBLE (LORETO)</t>
  </si>
  <si>
    <t>TRASLADO PERSONAL - PASAJES
AEREOS NACIONAL(LORETO) - 3 DIAS/6 PERSONA</t>
  </si>
  <si>
    <t>TRASLADO PERSONAL - PASAJES
AEREOS NACIONAL(DZS) - 2 DIAS/13 PERSONA</t>
  </si>
  <si>
    <t>PREPARACION DE REFRIGERIOS (spc) WORKSHOP FEN</t>
  </si>
  <si>
    <t xml:space="preserve">Alimentación </t>
  </si>
  <si>
    <t>LETREROS</t>
  </si>
  <si>
    <t>Servicio</t>
  </si>
  <si>
    <t>23.27.11 99</t>
  </si>
  <si>
    <t>MANTENIMIENTO CORRECTIVO DE MAMPARAS</t>
  </si>
  <si>
    <t>WORKSTATION</t>
  </si>
  <si>
    <t>Bien</t>
  </si>
  <si>
    <t>LICENCIA PARA SOFTWARE DE MONITOREO DE BASE DE DATO</t>
  </si>
  <si>
    <t>26.61.3 99</t>
  </si>
  <si>
    <t>Impresión</t>
  </si>
  <si>
    <t>SERVICIO EN ASISTENCIA TECNICA EN METEOROLOGIA PARA ELABORACION DE INFORMES TECNICOS</t>
  </si>
  <si>
    <t>SERVICIO CIERRE TECNICO ENANDES+</t>
  </si>
  <si>
    <t>SERVICIO FINANCIERO ENANDES</t>
  </si>
  <si>
    <t>Locación</t>
  </si>
  <si>
    <t>TRASLADO PERSONAL - PASAJES
AEREOS NACIONAL (MTA)</t>
  </si>
  <si>
    <t>VIATICOS (MTA)</t>
  </si>
  <si>
    <t>REPOSICION DRONE</t>
  </si>
  <si>
    <t>26.32.9 99</t>
  </si>
  <si>
    <t xml:space="preserve">SERVICIO DE COORDINACION Y SISTEMATIZACIÓN DE INFORMACIÓN PARA EL SEB </t>
  </si>
  <si>
    <t>DyT 2026</t>
  </si>
  <si>
    <t>23.27.14.98</t>
  </si>
  <si>
    <t>Servicio de asistencia técnica administrativa 3/3</t>
  </si>
  <si>
    <t>TOTEM PUBLICITARIO</t>
  </si>
  <si>
    <t>VIATICOS(IQUITOS)</t>
  </si>
  <si>
    <t>COMBUSTIBLE (MARCAPOMACOCHA)</t>
  </si>
  <si>
    <t>VIATICOS(MARCAPOMACOCHA)</t>
  </si>
  <si>
    <t>PEAJES(MARCAPOMACOCHA)</t>
  </si>
  <si>
    <t>VIATICOS (MADRE DE DIOS)</t>
  </si>
  <si>
    <t>TRANSPORTE DE CARGA (MADRE DE DIOS)</t>
  </si>
  <si>
    <t>ALQUILER DE VEHICULO (MADRE DE DIOS)</t>
  </si>
  <si>
    <t>PEAJES (MARCAPOMACOCHA)</t>
  </si>
  <si>
    <t>VIATICOS (IQUITOS)</t>
  </si>
  <si>
    <t>TRASLADO PERSONAL - COMISION DE SERVICIO - PASAJES AEREOS NACIONAL (CUZCO)</t>
  </si>
  <si>
    <t>VIATICOS(CUZCO)</t>
  </si>
  <si>
    <t xml:space="preserve">SALDO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</si>
</sst>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FF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BEC8EB"/>
        <bgColor indexed="64"/>
      </patternFill>
    </fill>
    <fill>
      <patternFill patternType="solid">
        <fgColor rgb="FFF78FF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EF0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24D6C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EC8EB"/>
        <bgColor rgb="FFBEC8EB"/>
      </patternFill>
    </fill>
    <fill>
      <patternFill patternType="solid">
        <fgColor rgb="FFFBE4D5"/>
        <bgColor rgb="FFFBE4D5"/>
      </patternFill>
    </fill>
    <fill>
      <patternFill patternType="solid">
        <fgColor rgb="FFDEF0FF"/>
        <bgColor rgb="FFDEF0FF"/>
      </patternFill>
    </fill>
    <fill>
      <patternFill patternType="solid">
        <fgColor rgb="FFC5E0B3"/>
        <bgColor rgb="FFC5E0B3"/>
      </patternFill>
    </fill>
    <fill>
      <patternFill patternType="solid">
        <fgColor rgb="FF24D6C1"/>
        <bgColor rgb="FF24D6C1"/>
      </patternFill>
    </fill>
    <fill>
      <patternFill patternType="solid">
        <fgColor rgb="FFFEFECE"/>
        <bgColor rgb="FFFEFECE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48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 wrapText="1"/>
    </xf>
    <xf numFmtId="1" fontId="2" fillId="0" borderId="2" xfId="0" applyNumberFormat="1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 wrapText="1"/>
    </xf>
    <xf numFmtId="49" fontId="2" fillId="0" borderId="2" xfId="0" applyNumberFormat="1" applyFont="1" applyBorder="1" applyAlignment="1">
      <alignment horizontal="center" vertical="center"/>
    </xf>
    <xf numFmtId="44" fontId="2" fillId="0" borderId="0" xfId="1" applyFont="1" applyFill="1" applyBorder="1" applyAlignment="1">
      <alignment horizontal="center" vertical="center"/>
    </xf>
    <xf numFmtId="44" fontId="2" fillId="0" borderId="3" xfId="1" applyFont="1" applyFill="1" applyBorder="1" applyAlignment="1">
      <alignment horizontal="center" vertical="center" wrapText="1"/>
    </xf>
    <xf numFmtId="44" fontId="2" fillId="0" borderId="4" xfId="1" applyFont="1" applyFill="1" applyBorder="1" applyAlignment="1">
      <alignment horizontal="center" vertical="center" wrapText="1"/>
    </xf>
    <xf numFmtId="44" fontId="2" fillId="0" borderId="0" xfId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49" fontId="0" fillId="2" borderId="5" xfId="0" applyNumberFormat="1" applyFont="1" applyFill="1" applyBorder="1" applyAlignment="1">
      <alignment horizontal="center" vertical="center" wrapText="1"/>
    </xf>
    <xf numFmtId="49" fontId="3" fillId="2" borderId="5" xfId="0" applyNumberFormat="1" applyFont="1" applyFill="1" applyBorder="1" applyAlignment="1">
      <alignment horizontal="center" vertical="center" wrapText="1"/>
    </xf>
    <xf numFmtId="1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NumberFormat="1" applyFont="1" applyFill="1" applyBorder="1" applyAlignment="1">
      <alignment horizontal="center" vertical="center" wrapText="1"/>
    </xf>
    <xf numFmtId="4" fontId="3" fillId="2" borderId="5" xfId="1" applyNumberFormat="1" applyFont="1" applyFill="1" applyBorder="1" applyAlignment="1">
      <alignment horizontal="center" vertical="center"/>
    </xf>
    <xf numFmtId="4" fontId="3" fillId="2" borderId="6" xfId="1" applyNumberFormat="1" applyFont="1" applyFill="1" applyBorder="1" applyAlignment="1">
      <alignment horizontal="center" vertical="center"/>
    </xf>
    <xf numFmtId="4" fontId="3" fillId="2" borderId="4" xfId="1" applyNumberFormat="1" applyFont="1" applyFill="1" applyBorder="1" applyAlignment="1">
      <alignment horizontal="center" vertical="center"/>
    </xf>
    <xf numFmtId="4" fontId="3" fillId="2" borderId="7" xfId="1" applyNumberFormat="1" applyFont="1" applyFill="1" applyBorder="1" applyAlignment="1">
      <alignment horizontal="center" vertical="center"/>
    </xf>
    <xf numFmtId="4" fontId="3" fillId="3" borderId="7" xfId="1" applyNumberFormat="1" applyFont="1" applyFill="1" applyBorder="1" applyAlignment="1">
      <alignment horizontal="center" vertical="center"/>
    </xf>
    <xf numFmtId="0" fontId="0" fillId="2" borderId="4" xfId="0" applyFont="1" applyFill="1" applyBorder="1" applyAlignment="1">
      <alignment horizontal="center" vertical="center" wrapText="1"/>
    </xf>
    <xf numFmtId="0" fontId="0" fillId="2" borderId="5" xfId="0" applyFont="1" applyFill="1" applyBorder="1" applyAlignment="1">
      <alignment horizontal="left" vertical="center" wrapText="1"/>
    </xf>
    <xf numFmtId="1" fontId="0" fillId="2" borderId="5" xfId="0" applyNumberFormat="1" applyFont="1" applyFill="1" applyBorder="1" applyAlignment="1">
      <alignment horizontal="center" vertical="center" wrapText="1"/>
    </xf>
    <xf numFmtId="0" fontId="0" fillId="2" borderId="5" xfId="0" applyNumberFormat="1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left" vertical="center" wrapText="1"/>
    </xf>
    <xf numFmtId="49" fontId="3" fillId="4" borderId="5" xfId="0" applyNumberFormat="1" applyFont="1" applyFill="1" applyBorder="1" applyAlignment="1">
      <alignment horizontal="center" vertical="center" wrapText="1"/>
    </xf>
    <xf numFmtId="1" fontId="3" fillId="4" borderId="5" xfId="0" applyNumberFormat="1" applyFont="1" applyFill="1" applyBorder="1" applyAlignment="1">
      <alignment horizontal="center" vertical="center" wrapText="1"/>
    </xf>
    <xf numFmtId="0" fontId="3" fillId="4" borderId="5" xfId="0" applyNumberFormat="1" applyFont="1" applyFill="1" applyBorder="1" applyAlignment="1">
      <alignment horizontal="center" vertical="center" wrapText="1"/>
    </xf>
    <xf numFmtId="4" fontId="3" fillId="4" borderId="5" xfId="0" applyNumberFormat="1" applyFont="1" applyFill="1" applyBorder="1" applyAlignment="1">
      <alignment horizontal="center" vertical="center" wrapText="1"/>
    </xf>
    <xf numFmtId="0" fontId="3" fillId="4" borderId="8" xfId="0" applyFont="1" applyFill="1" applyBorder="1" applyAlignment="1">
      <alignment horizontal="left" vertical="center" wrapText="1"/>
    </xf>
    <xf numFmtId="4" fontId="3" fillId="3" borderId="4" xfId="1" applyNumberFormat="1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left" vertical="center" wrapText="1"/>
    </xf>
    <xf numFmtId="49" fontId="3" fillId="5" borderId="5" xfId="0" applyNumberFormat="1" applyFont="1" applyFill="1" applyBorder="1" applyAlignment="1">
      <alignment horizontal="center" vertical="center" wrapText="1"/>
    </xf>
    <xf numFmtId="1" fontId="3" fillId="5" borderId="5" xfId="0" applyNumberFormat="1" applyFont="1" applyFill="1" applyBorder="1" applyAlignment="1">
      <alignment horizontal="center" vertical="center" wrapText="1"/>
    </xf>
    <xf numFmtId="0" fontId="3" fillId="5" borderId="5" xfId="0" applyNumberFormat="1" applyFont="1" applyFill="1" applyBorder="1" applyAlignment="1">
      <alignment horizontal="center" vertical="center" wrapText="1"/>
    </xf>
    <xf numFmtId="4" fontId="3" fillId="5" borderId="5" xfId="1" applyNumberFormat="1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1" fontId="3" fillId="5" borderId="9" xfId="0" applyNumberFormat="1" applyFont="1" applyFill="1" applyBorder="1" applyAlignment="1">
      <alignment horizontal="center" vertical="center" wrapText="1"/>
    </xf>
    <xf numFmtId="0" fontId="3" fillId="5" borderId="9" xfId="0" applyNumberFormat="1" applyFont="1" applyFill="1" applyBorder="1" applyAlignment="1">
      <alignment horizontal="center" vertical="center" wrapText="1"/>
    </xf>
    <xf numFmtId="49" fontId="3" fillId="5" borderId="9" xfId="0" applyNumberFormat="1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left" vertical="center" wrapText="1"/>
    </xf>
    <xf numFmtId="49" fontId="3" fillId="6" borderId="9" xfId="0" applyNumberFormat="1" applyFont="1" applyFill="1" applyBorder="1" applyAlignment="1">
      <alignment horizontal="center" vertical="center" wrapText="1"/>
    </xf>
    <xf numFmtId="1" fontId="3" fillId="6" borderId="9" xfId="0" applyNumberFormat="1" applyFont="1" applyFill="1" applyBorder="1" applyAlignment="1">
      <alignment horizontal="center" vertical="center" wrapText="1"/>
    </xf>
    <xf numFmtId="0" fontId="3" fillId="6" borderId="9" xfId="0" applyNumberFormat="1" applyFont="1" applyFill="1" applyBorder="1" applyAlignment="1">
      <alignment horizontal="center" vertical="center" wrapText="1"/>
    </xf>
    <xf numFmtId="4" fontId="3" fillId="6" borderId="5" xfId="1" applyNumberFormat="1" applyFont="1" applyFill="1" applyBorder="1" applyAlignment="1">
      <alignment horizontal="center" vertical="center"/>
    </xf>
    <xf numFmtId="4" fontId="3" fillId="6" borderId="6" xfId="1" applyNumberFormat="1" applyFont="1" applyFill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4" fontId="4" fillId="6" borderId="5" xfId="1" applyNumberFormat="1" applyFont="1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left" vertical="center" wrapText="1"/>
    </xf>
    <xf numFmtId="49" fontId="3" fillId="7" borderId="5" xfId="0" applyNumberFormat="1" applyFont="1" applyFill="1" applyBorder="1" applyAlignment="1">
      <alignment horizontal="center" vertical="center" wrapText="1"/>
    </xf>
    <xf numFmtId="1" fontId="3" fillId="7" borderId="5" xfId="0" applyNumberFormat="1" applyFont="1" applyFill="1" applyBorder="1" applyAlignment="1">
      <alignment horizontal="center" vertical="center" wrapText="1"/>
    </xf>
    <xf numFmtId="0" fontId="3" fillId="7" borderId="11" xfId="1" applyNumberFormat="1" applyFont="1" applyFill="1" applyBorder="1" applyAlignment="1">
      <alignment horizontal="center" vertical="center"/>
    </xf>
    <xf numFmtId="4" fontId="3" fillId="7" borderId="5" xfId="1" applyNumberFormat="1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left" vertical="center" wrapText="1"/>
    </xf>
    <xf numFmtId="49" fontId="3" fillId="7" borderId="11" xfId="0" applyNumberFormat="1" applyFont="1" applyFill="1" applyBorder="1" applyAlignment="1">
      <alignment horizontal="center" vertical="center" wrapText="1"/>
    </xf>
    <xf numFmtId="1" fontId="3" fillId="7" borderId="11" xfId="0" applyNumberFormat="1" applyFont="1" applyFill="1" applyBorder="1" applyAlignment="1">
      <alignment horizontal="center" vertical="center" wrapText="1"/>
    </xf>
    <xf numFmtId="4" fontId="3" fillId="7" borderId="11" xfId="1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left" vertical="center" wrapText="1"/>
    </xf>
    <xf numFmtId="49" fontId="3" fillId="7" borderId="4" xfId="0" applyNumberFormat="1" applyFont="1" applyFill="1" applyBorder="1" applyAlignment="1">
      <alignment horizontal="center" vertical="center" wrapText="1"/>
    </xf>
    <xf numFmtId="1" fontId="3" fillId="7" borderId="4" xfId="0" applyNumberFormat="1" applyFont="1" applyFill="1" applyBorder="1" applyAlignment="1">
      <alignment horizontal="center" vertical="center" wrapText="1"/>
    </xf>
    <xf numFmtId="0" fontId="3" fillId="7" borderId="4" xfId="1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4" fontId="3" fillId="7" borderId="1" xfId="1" applyNumberFormat="1" applyFont="1" applyFill="1" applyBorder="1" applyAlignment="1">
      <alignment horizontal="center" vertical="center"/>
    </xf>
    <xf numFmtId="0" fontId="0" fillId="7" borderId="4" xfId="0" applyFont="1" applyFill="1" applyBorder="1" applyAlignment="1">
      <alignment horizontal="center" vertical="center" wrapText="1"/>
    </xf>
    <xf numFmtId="0" fontId="0" fillId="7" borderId="1" xfId="0" applyFont="1" applyFill="1" applyBorder="1" applyAlignment="1">
      <alignment horizontal="left" vertical="center" wrapText="1"/>
    </xf>
    <xf numFmtId="0" fontId="0" fillId="7" borderId="1" xfId="0" applyFont="1" applyFill="1" applyBorder="1" applyAlignment="1">
      <alignment horizontal="center" vertical="center" wrapText="1"/>
    </xf>
    <xf numFmtId="0" fontId="0" fillId="7" borderId="3" xfId="0" applyNumberFormat="1" applyFont="1" applyFill="1" applyBorder="1" applyAlignment="1">
      <alignment horizontal="center" vertical="center" wrapText="1"/>
    </xf>
    <xf numFmtId="4" fontId="0" fillId="7" borderId="4" xfId="1" applyNumberFormat="1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center" vertical="center" wrapText="1"/>
    </xf>
    <xf numFmtId="0" fontId="3" fillId="7" borderId="4" xfId="0" applyNumberFormat="1" applyFont="1" applyFill="1" applyBorder="1" applyAlignment="1">
      <alignment horizontal="center" vertical="center" wrapText="1"/>
    </xf>
    <xf numFmtId="4" fontId="3" fillId="7" borderId="10" xfId="1" applyNumberFormat="1" applyFont="1" applyFill="1" applyBorder="1" applyAlignment="1">
      <alignment horizontal="center" vertical="center"/>
    </xf>
    <xf numFmtId="0" fontId="3" fillId="8" borderId="10" xfId="0" applyFont="1" applyFill="1" applyBorder="1" applyAlignment="1">
      <alignment horizontal="center"/>
    </xf>
    <xf numFmtId="0" fontId="3" fillId="8" borderId="10" xfId="0" applyFont="1" applyFill="1" applyBorder="1" applyAlignment="1">
      <alignment horizontal="left" vertical="center" wrapText="1"/>
    </xf>
    <xf numFmtId="4" fontId="4" fillId="8" borderId="10" xfId="0" applyNumberFormat="1" applyFont="1" applyFill="1" applyBorder="1" applyAlignment="1">
      <alignment horizontal="center" vertical="center"/>
    </xf>
    <xf numFmtId="3" fontId="4" fillId="8" borderId="10" xfId="0" applyNumberFormat="1" applyFont="1" applyFill="1" applyBorder="1" applyAlignment="1">
      <alignment horizontal="center" vertical="center"/>
    </xf>
    <xf numFmtId="0" fontId="4" fillId="8" borderId="10" xfId="0" applyNumberFormat="1" applyFont="1" applyFill="1" applyBorder="1" applyAlignment="1">
      <alignment horizontal="center" vertical="center"/>
    </xf>
    <xf numFmtId="4" fontId="4" fillId="8" borderId="7" xfId="0" applyNumberFormat="1" applyFont="1" applyFill="1" applyBorder="1" applyAlignment="1">
      <alignment horizontal="center" vertical="center"/>
    </xf>
    <xf numFmtId="4" fontId="4" fillId="8" borderId="0" xfId="0" applyNumberFormat="1" applyFont="1" applyFill="1" applyBorder="1" applyAlignment="1">
      <alignment horizontal="center" vertical="center"/>
    </xf>
    <xf numFmtId="4" fontId="4" fillId="8" borderId="9" xfId="1" applyNumberFormat="1" applyFont="1" applyFill="1" applyBorder="1" applyAlignment="1">
      <alignment horizontal="center" vertical="center"/>
    </xf>
    <xf numFmtId="4" fontId="3" fillId="8" borderId="6" xfId="1" applyNumberFormat="1" applyFont="1" applyFill="1" applyBorder="1" applyAlignment="1">
      <alignment horizontal="center" vertical="center"/>
    </xf>
    <xf numFmtId="4" fontId="3" fillId="8" borderId="4" xfId="1" applyNumberFormat="1" applyFont="1" applyFill="1" applyBorder="1" applyAlignment="1">
      <alignment horizontal="center" vertical="center"/>
    </xf>
    <xf numFmtId="4" fontId="3" fillId="8" borderId="7" xfId="1" applyNumberFormat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left" vertical="center" wrapText="1"/>
    </xf>
    <xf numFmtId="4" fontId="3" fillId="8" borderId="4" xfId="0" applyNumberFormat="1" applyFont="1" applyFill="1" applyBorder="1" applyAlignment="1">
      <alignment horizontal="center" vertical="center"/>
    </xf>
    <xf numFmtId="1" fontId="3" fillId="8" borderId="4" xfId="0" applyNumberFormat="1" applyFont="1" applyFill="1" applyBorder="1" applyAlignment="1">
      <alignment horizontal="center" vertical="center"/>
    </xf>
    <xf numFmtId="0" fontId="3" fillId="8" borderId="4" xfId="1" applyNumberFormat="1" applyFont="1" applyFill="1" applyBorder="1" applyAlignment="1">
      <alignment horizontal="center" vertical="center"/>
    </xf>
    <xf numFmtId="49" fontId="3" fillId="8" borderId="4" xfId="0" applyNumberFormat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 vertical="center"/>
    </xf>
    <xf numFmtId="4" fontId="3" fillId="8" borderId="12" xfId="1" applyNumberFormat="1" applyFont="1" applyFill="1" applyBorder="1" applyAlignment="1">
      <alignment horizontal="center" vertical="center"/>
    </xf>
    <xf numFmtId="4" fontId="3" fillId="8" borderId="13" xfId="1" applyNumberFormat="1" applyFont="1" applyFill="1" applyBorder="1" applyAlignment="1">
      <alignment horizontal="center" vertical="center"/>
    </xf>
    <xf numFmtId="4" fontId="3" fillId="3" borderId="13" xfId="1" applyNumberFormat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/>
    </xf>
    <xf numFmtId="4" fontId="4" fillId="8" borderId="5" xfId="1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left" vertical="center" wrapText="1"/>
    </xf>
    <xf numFmtId="49" fontId="3" fillId="3" borderId="4" xfId="0" applyNumberFormat="1" applyFont="1" applyFill="1" applyBorder="1" applyAlignment="1">
      <alignment horizontal="center" vertical="center"/>
    </xf>
    <xf numFmtId="1" fontId="3" fillId="3" borderId="4" xfId="0" applyNumberFormat="1" applyFont="1" applyFill="1" applyBorder="1" applyAlignment="1">
      <alignment horizontal="center" vertical="center"/>
    </xf>
    <xf numFmtId="0" fontId="3" fillId="3" borderId="4" xfId="1" applyNumberFormat="1" applyFont="1" applyFill="1" applyBorder="1" applyAlignment="1">
      <alignment horizontal="center" vertical="center"/>
    </xf>
    <xf numFmtId="4" fontId="3" fillId="3" borderId="14" xfId="1" applyNumberFormat="1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3" fillId="3" borderId="1" xfId="1" applyNumberFormat="1" applyFont="1" applyFill="1" applyBorder="1" applyAlignment="1">
      <alignment horizontal="center" vertical="center"/>
    </xf>
    <xf numFmtId="4" fontId="3" fillId="3" borderId="1" xfId="1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 wrapText="1"/>
    </xf>
    <xf numFmtId="4" fontId="0" fillId="2" borderId="5" xfId="1" applyNumberFormat="1" applyFont="1" applyFill="1" applyBorder="1" applyAlignment="1">
      <alignment horizontal="center" vertical="center"/>
    </xf>
    <xf numFmtId="4" fontId="3" fillId="3" borderId="0" xfId="1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49" fontId="6" fillId="9" borderId="5" xfId="0" applyNumberFormat="1" applyFont="1" applyFill="1" applyBorder="1" applyAlignment="1">
      <alignment horizontal="center" vertical="center" wrapText="1"/>
    </xf>
    <xf numFmtId="1" fontId="6" fillId="9" borderId="5" xfId="0" applyNumberFormat="1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center" vertical="center" wrapText="1"/>
    </xf>
    <xf numFmtId="1" fontId="7" fillId="9" borderId="5" xfId="0" applyNumberFormat="1" applyFont="1" applyFill="1" applyBorder="1" applyAlignment="1">
      <alignment horizontal="center" vertical="center" wrapText="1"/>
    </xf>
    <xf numFmtId="49" fontId="7" fillId="9" borderId="5" xfId="0" applyNumberFormat="1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49" fontId="6" fillId="10" borderId="5" xfId="0" applyNumberFormat="1" applyFont="1" applyFill="1" applyBorder="1" applyAlignment="1">
      <alignment horizontal="center" vertical="center" wrapText="1"/>
    </xf>
    <xf numFmtId="1" fontId="6" fillId="10" borderId="5" xfId="0" applyNumberFormat="1" applyFont="1" applyFill="1" applyBorder="1" applyAlignment="1">
      <alignment horizontal="center" vertical="center" wrapText="1"/>
    </xf>
    <xf numFmtId="0" fontId="6" fillId="11" borderId="5" xfId="0" applyFont="1" applyFill="1" applyBorder="1" applyAlignment="1">
      <alignment horizontal="center" vertical="center" wrapText="1"/>
    </xf>
    <xf numFmtId="49" fontId="6" fillId="11" borderId="5" xfId="0" applyNumberFormat="1" applyFont="1" applyFill="1" applyBorder="1" applyAlignment="1">
      <alignment horizontal="center" vertical="center" wrapText="1"/>
    </xf>
    <xf numFmtId="1" fontId="6" fillId="11" borderId="5" xfId="0" applyNumberFormat="1" applyFont="1" applyFill="1" applyBorder="1" applyAlignment="1">
      <alignment horizontal="center" vertical="center" wrapText="1"/>
    </xf>
    <xf numFmtId="0" fontId="8" fillId="12" borderId="5" xfId="0" applyFont="1" applyFill="1" applyBorder="1" applyAlignment="1">
      <alignment horizontal="center" vertical="center" wrapText="1"/>
    </xf>
    <xf numFmtId="0" fontId="6" fillId="12" borderId="5" xfId="0" applyFont="1" applyFill="1" applyBorder="1" applyAlignment="1">
      <alignment horizontal="center" vertical="center" wrapText="1"/>
    </xf>
    <xf numFmtId="49" fontId="6" fillId="12" borderId="5" xfId="0" applyNumberFormat="1" applyFont="1" applyFill="1" applyBorder="1" applyAlignment="1">
      <alignment horizontal="center" vertical="center" wrapText="1"/>
    </xf>
    <xf numFmtId="1" fontId="6" fillId="12" borderId="5" xfId="0" applyNumberFormat="1" applyFont="1" applyFill="1" applyBorder="1" applyAlignment="1">
      <alignment horizontal="center" vertical="center" wrapText="1"/>
    </xf>
    <xf numFmtId="0" fontId="6" fillId="13" borderId="5" xfId="0" applyFont="1" applyFill="1" applyBorder="1" applyAlignment="1">
      <alignment horizontal="center" vertical="center" wrapText="1"/>
    </xf>
    <xf numFmtId="0" fontId="7" fillId="13" borderId="5" xfId="0" applyFont="1" applyFill="1" applyBorder="1" applyAlignment="1">
      <alignment horizontal="center" vertical="center" wrapText="1"/>
    </xf>
    <xf numFmtId="49" fontId="6" fillId="13" borderId="5" xfId="0" applyNumberFormat="1" applyFont="1" applyFill="1" applyBorder="1" applyAlignment="1">
      <alignment horizontal="center" vertical="center" wrapText="1"/>
    </xf>
    <xf numFmtId="1" fontId="6" fillId="13" borderId="5" xfId="0" applyNumberFormat="1" applyFont="1" applyFill="1" applyBorder="1" applyAlignment="1">
      <alignment horizontal="center" vertical="center"/>
    </xf>
    <xf numFmtId="1" fontId="7" fillId="13" borderId="5" xfId="0" applyNumberFormat="1" applyFont="1" applyFill="1" applyBorder="1" applyAlignment="1">
      <alignment horizontal="center" vertical="center" wrapText="1"/>
    </xf>
    <xf numFmtId="0" fontId="6" fillId="14" borderId="5" xfId="0" applyFont="1" applyFill="1" applyBorder="1" applyAlignment="1">
      <alignment horizontal="center" vertical="center"/>
    </xf>
    <xf numFmtId="0" fontId="6" fillId="14" borderId="5" xfId="0" applyFont="1" applyFill="1" applyBorder="1" applyAlignment="1">
      <alignment horizontal="left" vertical="center" wrapText="1"/>
    </xf>
    <xf numFmtId="4" fontId="7" fillId="14" borderId="5" xfId="0" applyNumberFormat="1" applyFont="1" applyFill="1" applyBorder="1" applyAlignment="1">
      <alignment horizontal="center" vertical="center"/>
    </xf>
    <xf numFmtId="1" fontId="6" fillId="14" borderId="5" xfId="0" applyNumberFormat="1" applyFont="1" applyFill="1" applyBorder="1" applyAlignment="1">
      <alignment horizontal="center" vertical="center"/>
    </xf>
    <xf numFmtId="0" fontId="6" fillId="14" borderId="5" xfId="0" applyFont="1" applyFill="1" applyBorder="1" applyAlignment="1">
      <alignment horizontal="center" vertical="center" wrapText="1"/>
    </xf>
    <xf numFmtId="3" fontId="7" fillId="14" borderId="5" xfId="0" applyNumberFormat="1" applyFont="1" applyFill="1" applyBorder="1" applyAlignment="1">
      <alignment horizontal="center" vertical="center"/>
    </xf>
    <xf numFmtId="1" fontId="7" fillId="14" borderId="5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</cellXfs>
  <cellStyles count="2">
    <cellStyle name="Moneda" xfId="1" builtinId="4"/>
    <cellStyle name="Normal" xfId="0" builtinId="0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8B7FF63-DA05-4D14-8E95-DC1ABB0EAC88}" name="Programacion" displayName="Programacion" ref="A1:AS224" totalsRowShown="0" headerRowDxfId="47" dataDxfId="46" tableBorderDxfId="45" headerRowCellStyle="Moneda" dataCellStyle="Moneda">
  <autoFilter ref="A1:AS224" xr:uid="{11412660-850C-40B1-B641-022E9726E976}"/>
  <tableColumns count="45">
    <tableColumn id="1" xr3:uid="{B4ED00C2-48E0-4AB8-A260-FB4E95A089A1}" name="CENTRO COSTO" dataDxfId="44"/>
    <tableColumn id="2" xr3:uid="{0264DCD6-9BB1-4CDF-A9D9-6512001789C2}" name="NOMBRE DEL SERVICIO/BIEN A REQUERIR" dataDxfId="43"/>
    <tableColumn id="3" xr3:uid="{D3CC6B61-3531-468F-B965-11BD1DB1C3AC}" name="RUBRO" dataDxfId="42"/>
    <tableColumn id="4" xr3:uid="{B332D289-9BC4-4E8D-A22E-3067B4C1AF8E}" name="FUENTE DE FINANCIAMIENTO" dataDxfId="41"/>
    <tableColumn id="5" xr3:uid="{1CB69765-57E1-4034-B5F4-EDB5E623E63E}" name="META" dataDxfId="40"/>
    <tableColumn id="6" xr3:uid="{08928C4C-0603-419E-AF19-1A19C6583BAC}" name="GENÉRICA DE GASTO" dataDxfId="39" dataCellStyle="Moneda"/>
    <tableColumn id="7" xr3:uid="{A67F67ED-A2DC-44BE-A0C8-CB9F3827B8DC}" name="CLASIFICADOR" dataDxfId="38"/>
    <tableColumn id="8" xr3:uid="{49DAB75E-4C0B-4462-A4F8-955775FE493F}" name="ENERO" dataDxfId="37" dataCellStyle="Moneda"/>
    <tableColumn id="21" xr3:uid="{7D41E9DA-DA85-42D5-8957-083D88BDB9A5}" name="DEVENGADO ENERO" dataDxfId="36" dataCellStyle="Moneda"/>
    <tableColumn id="9" xr3:uid="{BB944ED2-445B-443A-AC9E-F9D96CCAA794}" name="FEBRERO" dataDxfId="35" dataCellStyle="Moneda"/>
    <tableColumn id="22" xr3:uid="{59ED0615-D2E0-4B0F-953C-790AAC4A992E}" name="DEVENGADO FEBRERO" dataDxfId="34" dataCellStyle="Moneda"/>
    <tableColumn id="10" xr3:uid="{DE88329B-6F7E-419B-B345-6EC00CEB4FD0}" name="MARZO" dataDxfId="33" dataCellStyle="Moneda"/>
    <tableColumn id="23" xr3:uid="{31D2286C-ED3B-4957-8849-E93B9FE2E4C9}" name="DEVENGADO MARZO" dataDxfId="32" dataCellStyle="Moneda"/>
    <tableColumn id="11" xr3:uid="{6E15BBC6-C2AC-4B5B-988F-DF63EA3A9228}" name="ABRIL" dataDxfId="31" dataCellStyle="Moneda"/>
    <tableColumn id="24" xr3:uid="{5AD10805-96CD-4773-B345-99857DA36226}" name="DEVENGADO ABRIL" dataDxfId="30" dataCellStyle="Moneda"/>
    <tableColumn id="12" xr3:uid="{FE5C7236-4AD6-4B18-A4F7-A7D6D226CDF5}" name="MAYO" dataDxfId="29" dataCellStyle="Moneda"/>
    <tableColumn id="25" xr3:uid="{ECCCF0F1-0799-41E9-9B82-1F84400D7F9B}" name="DEVENGADO MAYO" dataDxfId="28" dataCellStyle="Moneda"/>
    <tableColumn id="13" xr3:uid="{C2C1B5AD-240E-43E0-81A9-C41DDCED6D5D}" name="JUNIO" dataDxfId="27" dataCellStyle="Moneda"/>
    <tableColumn id="26" xr3:uid="{232637A0-8166-4BD6-BAFA-31B89877DF31}" name="DEVENGADO JUNIO" dataDxfId="26" dataCellStyle="Moneda"/>
    <tableColumn id="14" xr3:uid="{240CB9D7-FF4D-48D7-9E2A-38565FB0B42D}" name="JULIO" dataDxfId="25" dataCellStyle="Moneda"/>
    <tableColumn id="27" xr3:uid="{FE73C684-0CE1-4061-AC38-77478723E555}" name="DEVENGADO JULIO" dataDxfId="24" dataCellStyle="Moneda"/>
    <tableColumn id="15" xr3:uid="{64E3C302-B38E-4978-82D1-530EFAC21B85}" name="AGOSTO" dataDxfId="23" dataCellStyle="Moneda"/>
    <tableColumn id="28" xr3:uid="{2A4C2936-5903-4690-B422-534FBBD509FE}" name="DEVENGADO AGOSTO" dataDxfId="22" dataCellStyle="Moneda"/>
    <tableColumn id="16" xr3:uid="{5420578D-1330-4417-98F7-58A0B71699F5}" name="SEPTIEMBRE" dataDxfId="21" dataCellStyle="Moneda"/>
    <tableColumn id="29" xr3:uid="{3BB4B859-4D49-45AE-B877-D1389A2CD7A4}" name="DEVENGADO SEPTIEMBRE" dataDxfId="20" dataCellStyle="Moneda"/>
    <tableColumn id="17" xr3:uid="{039105C5-3984-4550-AD78-57F40AF61940}" name="OCTUBRE" dataDxfId="19" dataCellStyle="Moneda"/>
    <tableColumn id="30" xr3:uid="{1A75093A-C07A-4E7A-A21D-0F6D751D786A}" name="DEVENGADO OCTUBRE" dataDxfId="18" dataCellStyle="Moneda"/>
    <tableColumn id="18" xr3:uid="{1B9D3B87-711F-46B3-B918-2EF2BA8DA2CC}" name="NOVIEMBRE" dataDxfId="17" dataCellStyle="Moneda"/>
    <tableColumn id="32" xr3:uid="{3D5B2D5F-4953-432F-AD39-5D2E81734CED}" name="DEVENGADO NOVIEMBRE" dataDxfId="16" dataCellStyle="Moneda"/>
    <tableColumn id="19" xr3:uid="{B4E1F2A8-5220-40F9-982B-BB6C37EBD9A6}" name="DICIEMBRE" dataDxfId="15" dataCellStyle="Moneda"/>
    <tableColumn id="33" xr3:uid="{0F728D53-413D-48A4-9DBD-1F7035F66D7E}" name="DEVENGADO DICIEMBRE" dataDxfId="14" dataCellStyle="Moneda"/>
    <tableColumn id="20" xr3:uid="{99C5C5D4-869C-45B4-A24B-F5CC26E5A02D}" name="TOTAL PROGRAMADO" dataDxfId="13" dataCellStyle="Moneda">
      <calculatedColumnFormula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calculatedColumnFormula>
    </tableColumn>
    <tableColumn id="37" xr3:uid="{59E36B35-3025-4356-9DAF-71BB52D06A2E}" name="PRIMER TRIMESTRE" dataDxfId="12" dataCellStyle="Moneda">
      <calculatedColumnFormula>Programacion[[#This Row],[ENERO]]+Programacion[[#This Row],[FEBRERO]]+Programacion[[#This Row],[MARZO]]</calculatedColumnFormula>
    </tableColumn>
    <tableColumn id="43" xr3:uid="{F115DCD9-3ECA-48A7-85D0-832D9D9033D5}" name="DEVENGADO PRIMER TRIMESTRE" dataDxfId="11" dataCellStyle="Moneda">
      <calculatedColumnFormula>Programacion[[#This Row],[DEVENGADO ENERO]]+Programacion[[#This Row],[DEVENGADO FEBRERO]]+Programacion[[#This Row],[DEVENGADO MARZO]]</calculatedColumnFormula>
    </tableColumn>
    <tableColumn id="36" xr3:uid="{34E23F61-6B8A-47B4-AC3D-89A64A9091EB}" name="SEGUNDO TRIMESTRE" dataDxfId="10" dataCellStyle="Moneda">
      <calculatedColumnFormula>Programacion[[#This Row],[ABRIL]]+Programacion[[#This Row],[MAYO]]+Programacion[[#This Row],[JUNIO]]</calculatedColumnFormula>
    </tableColumn>
    <tableColumn id="44" xr3:uid="{F57E9866-2F60-4B53-8219-2D218A7C0A40}" name="DEVENGADO SEGUNDO TRIMESTRE" dataDxfId="9" dataCellStyle="Moneda">
      <calculatedColumnFormula>Programacion[[#This Row],[DEVENGADO ABRIL]]+Programacion[[#This Row],[DEVENGADO MAYO]]+Programacion[[#This Row],[DEVENGADO JUNIO]]</calculatedColumnFormula>
    </tableColumn>
    <tableColumn id="39" xr3:uid="{D5D41A6A-9D1B-4987-99B5-98E9792C7F0B}" name="TERCER TRIMESTRE" dataDxfId="8" dataCellStyle="Moneda">
      <calculatedColumnFormula>Programacion[[#This Row],[JULIO]]+Programacion[[#This Row],[AGOSTO]]+Programacion[[#This Row],[SEPTIEMBRE]]</calculatedColumnFormula>
    </tableColumn>
    <tableColumn id="45" xr3:uid="{5E6337F0-6092-4A1E-B204-D73ACBB76BC4}" name="DEVENGADO TERCER TRIMESTRE" dataDxfId="7" dataCellStyle="Moneda">
      <calculatedColumnFormula>Programacion[[#This Row],[DEVENGADO JULIO]]+Programacion[[#This Row],[DEVENGADO AGOSTO]]+Programacion[[#This Row],[DEVENGADO SEPTIEMBRE]]</calculatedColumnFormula>
    </tableColumn>
    <tableColumn id="38" xr3:uid="{648D82AF-CC7E-4F06-BA99-44258E742932}" name="CUARTO TRIMESTRE" dataDxfId="6" dataCellStyle="Moneda">
      <calculatedColumnFormula>Programacion[[#This Row],[OCTUBRE]]+Programacion[[#This Row],[NOVIEMBRE]]+Programacion[[#This Row],[DICIEMBRE]]</calculatedColumnFormula>
    </tableColumn>
    <tableColumn id="46" xr3:uid="{6C71042B-8457-4C22-A540-8829EAD7DF26}" name="DEVENGADO CUARTO TRIMESTRE" dataDxfId="5" dataCellStyle="Moneda">
      <calculatedColumnFormula>Programacion[[#This Row],[DEVENGADO OCTUBRE]]+Programacion[[#This Row],[DEVENGADO NOVIEMBRE]]+Programacion[[#This Row],[DEVENGADO DICIEMBRE]]</calculatedColumnFormula>
    </tableColumn>
    <tableColumn id="41" xr3:uid="{B6B3E4FB-DB62-48A0-B420-B107B89C5DF4}" name="PRIMER SEMESTER" dataDxfId="4" dataCellStyle="Moneda">
      <calculatedColumnFormula>Programacion[[#This Row],[ENERO]]+Programacion[[#This Row],[FEBRERO]]+Programacion[[#This Row],[MARZO]]+Programacion[[#This Row],[ABRIL]]+Programacion[[#This Row],[MAYO]]+Programacion[[#This Row],[JUNIO]]</calculatedColumnFormula>
    </tableColumn>
    <tableColumn id="31" xr3:uid="{94CF7AAD-5AF8-4159-82CB-C167F774E2C1}" name="DEVENGADO PRIMER SEMESTRE" dataDxfId="3" dataCellStyle="Moneda">
      <calculatedColumnFormula>Programacion[[#This Row],[DEVENGADO ENERO]]+Programacion[[#This Row],[DEVENGADO FEBRERO]]+Programacion[[#This Row],[DEVENGADO MARZO]]+Programacion[[#This Row],[DEVENGADO ABRIL]]+Programacion[[#This Row],[DEVENGADO MAYO]]+Programacion[[#This Row],[DEVENGADO JUNIO]]</calculatedColumnFormula>
    </tableColumn>
    <tableColumn id="40" xr3:uid="{4ABD5002-74E3-4C27-B960-F9FDF0EEE442}" name="SEGUNDO SEMESTRE" dataDxfId="2" dataCellStyle="Moneda">
      <calculatedColumnFormula>Programacion[[#This Row],[JULIO]]+Programacion[[#This Row],[AGOSTO]]+Programacion[[#This Row],[SEPTIEMBRE]]+Programacion[[#This Row],[OCTUBRE]]+Programacion[[#This Row],[NOVIEMBRE]]+Programacion[[#This Row],[DICIEMBRE]]</calculatedColumnFormula>
    </tableColumn>
    <tableColumn id="35" xr3:uid="{899911D5-C197-439D-97DE-BAE14D9B6CD7}" name="DEVENGADO SEGUNDO SEMESTRE" dataDxfId="1" dataCellStyle="Moneda">
      <calculatedColumnFormula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calculatedColumnFormula>
    </tableColumn>
    <tableColumn id="34" xr3:uid="{8056DF05-690F-4D12-BB28-361AC42CACEE}" name="TOTAL DEVENGADO" dataDxfId="0" dataCellStyle="Moneda">
      <calculatedColumnFormula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224"/>
  <sheetViews>
    <sheetView tabSelected="1" topLeftCell="F190" zoomScale="85" zoomScaleNormal="85" workbookViewId="0">
      <selection activeCell="F190" sqref="A1:XFD1048576"/>
    </sheetView>
  </sheetViews>
  <sheetFormatPr baseColWidth="10" defaultRowHeight="15" x14ac:dyDescent="0.25"/>
  <cols>
    <col min="2" max="2" width="57.28515625" customWidth="1"/>
    <col min="3" max="4" width="11.5703125" customWidth="1"/>
    <col min="6" max="6" width="11.5703125" customWidth="1"/>
    <col min="8" max="8" width="11.28515625" customWidth="1"/>
  </cols>
  <sheetData>
    <row r="1" spans="1:46" ht="75" x14ac:dyDescent="0.25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8" t="s">
        <v>31</v>
      </c>
      <c r="AG1" s="9" t="s">
        <v>32</v>
      </c>
      <c r="AH1" s="9" t="s">
        <v>33</v>
      </c>
      <c r="AI1" s="9" t="s">
        <v>34</v>
      </c>
      <c r="AJ1" s="9" t="s">
        <v>35</v>
      </c>
      <c r="AK1" s="9" t="s">
        <v>36</v>
      </c>
      <c r="AL1" s="9" t="s">
        <v>37</v>
      </c>
      <c r="AM1" s="9" t="s">
        <v>38</v>
      </c>
      <c r="AN1" s="9" t="s">
        <v>39</v>
      </c>
      <c r="AO1" s="10" t="s">
        <v>40</v>
      </c>
      <c r="AP1" s="10" t="s">
        <v>41</v>
      </c>
      <c r="AQ1" s="10" t="s">
        <v>42</v>
      </c>
      <c r="AR1" s="10" t="s">
        <v>43</v>
      </c>
      <c r="AS1" s="7" t="s">
        <v>44</v>
      </c>
      <c r="AT1" s="7"/>
    </row>
    <row r="2" spans="1:46" ht="30" x14ac:dyDescent="0.25">
      <c r="A2" s="11" t="s">
        <v>45</v>
      </c>
      <c r="B2" s="12" t="s">
        <v>46</v>
      </c>
      <c r="C2" s="13" t="s">
        <v>47</v>
      </c>
      <c r="D2" s="14" t="s">
        <v>48</v>
      </c>
      <c r="E2" s="15">
        <v>39</v>
      </c>
      <c r="F2" s="16">
        <v>2.2999999999999998</v>
      </c>
      <c r="G2" s="14" t="s">
        <v>49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>
        <v>3000</v>
      </c>
      <c r="T2" s="17">
        <v>3000</v>
      </c>
      <c r="U2" s="17">
        <v>1872.56</v>
      </c>
      <c r="V2" s="17"/>
      <c r="W2" s="17"/>
      <c r="X2" s="17"/>
      <c r="Y2" s="17"/>
      <c r="Z2" s="17"/>
      <c r="AA2" s="17"/>
      <c r="AB2" s="17"/>
      <c r="AC2" s="17"/>
      <c r="AD2" s="17"/>
      <c r="AE2" s="17"/>
      <c r="AF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2" s="19">
        <f>Programacion[[#This Row],[ENERO]]+Programacion[[#This Row],[FEBRERO]]+Programacion[[#This Row],[MARZO]]</f>
        <v>0</v>
      </c>
      <c r="AH2" s="19">
        <f>Programacion[[#This Row],[DEVENGADO ENERO]]+Programacion[[#This Row],[DEVENGADO FEBRERO]]+Programacion[[#This Row],[DEVENGADO MARZO]]</f>
        <v>0</v>
      </c>
      <c r="AI2" s="19">
        <f>Programacion[[#This Row],[ABRIL]]+Programacion[[#This Row],[MAYO]]+Programacion[[#This Row],[JUNIO]]</f>
        <v>0</v>
      </c>
      <c r="AJ2" s="19">
        <f>Programacion[[#This Row],[DEVENGADO ABRIL]]+Programacion[[#This Row],[DEVENGADO MAYO]]+Programacion[[#This Row],[DEVENGADO JUNIO]]</f>
        <v>3000</v>
      </c>
      <c r="AK2" s="19">
        <f>Programacion[[#This Row],[JULIO]]+Programacion[[#This Row],[AGOSTO]]+Programacion[[#This Row],[SEPTIEMBRE]]</f>
        <v>3000</v>
      </c>
      <c r="AL2" s="19">
        <f>Programacion[[#This Row],[DEVENGADO JULIO]]+Programacion[[#This Row],[DEVENGADO AGOSTO]]+Programacion[[#This Row],[DEVENGADO SEPTIEMBRE]]</f>
        <v>1872.56</v>
      </c>
      <c r="AM2" s="19">
        <f>Programacion[[#This Row],[OCTUBRE]]+Programacion[[#This Row],[NOVIEMBRE]]+Programacion[[#This Row],[DICIEMBRE]]</f>
        <v>0</v>
      </c>
      <c r="AN2" s="20">
        <f>Programacion[[#This Row],[DEVENGADO OCTUBRE]]+Programacion[[#This Row],[DEVENGADO NOVIEMBRE]]+Programacion[[#This Row],[DEVENGADO DICIEMBRE]]</f>
        <v>0</v>
      </c>
      <c r="AO2" s="20">
        <f>Programacion[[#This Row],[ENERO]]+Programacion[[#This Row],[FEBRERO]]+Programacion[[#This Row],[MARZO]]+Programacion[[#This Row],[ABRIL]]+Programacion[[#This Row],[MAYO]]+Programacion[[#This Row],[JUNIO]]</f>
        <v>0</v>
      </c>
      <c r="AP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</v>
      </c>
      <c r="AQ2" s="20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1872.56</v>
      </c>
      <c r="AS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4872.5599999999995</v>
      </c>
      <c r="AT2" s="116"/>
    </row>
    <row r="3" spans="1:46" x14ac:dyDescent="0.25">
      <c r="A3" s="11" t="s">
        <v>45</v>
      </c>
      <c r="B3" s="12" t="s">
        <v>50</v>
      </c>
      <c r="C3" s="13" t="s">
        <v>47</v>
      </c>
      <c r="D3" s="14" t="s">
        <v>48</v>
      </c>
      <c r="E3" s="15">
        <v>39</v>
      </c>
      <c r="F3" s="16">
        <v>2.2999999999999998</v>
      </c>
      <c r="G3" s="14" t="s">
        <v>51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>
        <v>1620</v>
      </c>
      <c r="T3" s="17">
        <v>1620</v>
      </c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3" s="19">
        <f>Programacion[[#This Row],[ENERO]]+Programacion[[#This Row],[FEBRERO]]+Programacion[[#This Row],[MARZO]]</f>
        <v>0</v>
      </c>
      <c r="AH3" s="19">
        <f>Programacion[[#This Row],[DEVENGADO ENERO]]+Programacion[[#This Row],[DEVENGADO FEBRERO]]+Programacion[[#This Row],[DEVENGADO MARZO]]</f>
        <v>0</v>
      </c>
      <c r="AI3" s="19">
        <f>Programacion[[#This Row],[ABRIL]]+Programacion[[#This Row],[MAYO]]+Programacion[[#This Row],[JUNIO]]</f>
        <v>0</v>
      </c>
      <c r="AJ3" s="19">
        <f>Programacion[[#This Row],[DEVENGADO ABRIL]]+Programacion[[#This Row],[DEVENGADO MAYO]]+Programacion[[#This Row],[DEVENGADO JUNIO]]</f>
        <v>1620</v>
      </c>
      <c r="AK3" s="19">
        <f>Programacion[[#This Row],[JULIO]]+Programacion[[#This Row],[AGOSTO]]+Programacion[[#This Row],[SEPTIEMBRE]]</f>
        <v>1620</v>
      </c>
      <c r="AL3" s="19">
        <f>Programacion[[#This Row],[DEVENGADO JULIO]]+Programacion[[#This Row],[DEVENGADO AGOSTO]]+Programacion[[#This Row],[DEVENGADO SEPTIEMBRE]]</f>
        <v>0</v>
      </c>
      <c r="AM3" s="19">
        <f>Programacion[[#This Row],[OCTUBRE]]+Programacion[[#This Row],[NOVIEMBRE]]+Programacion[[#This Row],[DICIEMBRE]]</f>
        <v>0</v>
      </c>
      <c r="AN3" s="20">
        <f>Programacion[[#This Row],[DEVENGADO OCTUBRE]]+Programacion[[#This Row],[DEVENGADO NOVIEMBRE]]+Programacion[[#This Row],[DEVENGADO DICIEMBRE]]</f>
        <v>0</v>
      </c>
      <c r="AO3" s="20">
        <f>Programacion[[#This Row],[ENERO]]+Programacion[[#This Row],[FEBRERO]]+Programacion[[#This Row],[MARZO]]+Programacion[[#This Row],[ABRIL]]+Programacion[[#This Row],[MAYO]]+Programacion[[#This Row],[JUNIO]]</f>
        <v>0</v>
      </c>
      <c r="AP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1620</v>
      </c>
      <c r="AQ3" s="20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3" s="116"/>
    </row>
    <row r="4" spans="1:46" ht="30" x14ac:dyDescent="0.25">
      <c r="A4" s="11" t="s">
        <v>45</v>
      </c>
      <c r="B4" s="12" t="s">
        <v>234</v>
      </c>
      <c r="C4" s="13" t="s">
        <v>47</v>
      </c>
      <c r="D4" s="14" t="s">
        <v>48</v>
      </c>
      <c r="E4" s="15">
        <v>39</v>
      </c>
      <c r="F4" s="16">
        <v>2.2999999999999998</v>
      </c>
      <c r="G4" s="14" t="s">
        <v>51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>
        <v>400</v>
      </c>
      <c r="S4" s="17">
        <v>400</v>
      </c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</v>
      </c>
      <c r="AG4" s="19">
        <f>Programacion[[#This Row],[ENERO]]+Programacion[[#This Row],[FEBRERO]]+Programacion[[#This Row],[MARZO]]</f>
        <v>0</v>
      </c>
      <c r="AH4" s="19">
        <f>Programacion[[#This Row],[DEVENGADO ENERO]]+Programacion[[#This Row],[DEVENGADO FEBRERO]]+Programacion[[#This Row],[DEVENGADO MARZO]]</f>
        <v>0</v>
      </c>
      <c r="AI4" s="19">
        <f>Programacion[[#This Row],[ABRIL]]+Programacion[[#This Row],[MAYO]]+Programacion[[#This Row],[JUNIO]]</f>
        <v>400</v>
      </c>
      <c r="AJ4" s="19">
        <f>Programacion[[#This Row],[DEVENGADO ABRIL]]+Programacion[[#This Row],[DEVENGADO MAYO]]+Programacion[[#This Row],[DEVENGADO JUNIO]]</f>
        <v>400</v>
      </c>
      <c r="AK4" s="19">
        <f>Programacion[[#This Row],[JULIO]]+Programacion[[#This Row],[AGOSTO]]+Programacion[[#This Row],[SEPTIEMBRE]]</f>
        <v>0</v>
      </c>
      <c r="AL4" s="19">
        <f>Programacion[[#This Row],[DEVENGADO JULIO]]+Programacion[[#This Row],[DEVENGADO AGOSTO]]+Programacion[[#This Row],[DEVENGADO SEPTIEMBRE]]</f>
        <v>0</v>
      </c>
      <c r="AM4" s="19">
        <f>Programacion[[#This Row],[OCTUBRE]]+Programacion[[#This Row],[NOVIEMBRE]]+Programacion[[#This Row],[DICIEMBRE]]</f>
        <v>0</v>
      </c>
      <c r="AN4" s="20">
        <f>Programacion[[#This Row],[DEVENGADO OCTUBRE]]+Programacion[[#This Row],[DEVENGADO NOVIEMBRE]]+Programacion[[#This Row],[DEVENGADO DICIEMBRE]]</f>
        <v>0</v>
      </c>
      <c r="AO4" s="20">
        <f>Programacion[[#This Row],[ENERO]]+Programacion[[#This Row],[FEBRERO]]+Programacion[[#This Row],[MARZO]]+Programacion[[#This Row],[ABRIL]]+Programacion[[#This Row],[MAYO]]+Programacion[[#This Row],[JUNIO]]</f>
        <v>400</v>
      </c>
      <c r="AP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</v>
      </c>
      <c r="AQ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4" s="116"/>
    </row>
    <row r="5" spans="1:46" x14ac:dyDescent="0.25">
      <c r="A5" s="11" t="s">
        <v>45</v>
      </c>
      <c r="B5" s="12" t="s">
        <v>85</v>
      </c>
      <c r="C5" s="13" t="s">
        <v>47</v>
      </c>
      <c r="D5" s="14" t="s">
        <v>48</v>
      </c>
      <c r="E5" s="15">
        <v>39</v>
      </c>
      <c r="F5" s="16">
        <v>2.2999999999999998</v>
      </c>
      <c r="G5" s="14" t="s">
        <v>86</v>
      </c>
      <c r="H5" s="33"/>
      <c r="I5" s="33"/>
      <c r="J5" s="33"/>
      <c r="K5" s="33"/>
      <c r="L5" s="33"/>
      <c r="M5" s="33"/>
      <c r="N5" s="33"/>
      <c r="O5" s="33"/>
      <c r="P5" s="33"/>
      <c r="Q5" s="33"/>
      <c r="R5" s="33">
        <v>200</v>
      </c>
      <c r="S5" s="33">
        <v>200</v>
      </c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</v>
      </c>
      <c r="AG5" s="33">
        <f>Programacion[[#This Row],[ENERO]]+Programacion[[#This Row],[FEBRERO]]+Programacion[[#This Row],[MARZO]]</f>
        <v>0</v>
      </c>
      <c r="AH5" s="33">
        <f>Programacion[[#This Row],[DEVENGADO ENERO]]+Programacion[[#This Row],[DEVENGADO FEBRERO]]+Programacion[[#This Row],[DEVENGADO MARZO]]</f>
        <v>0</v>
      </c>
      <c r="AI5" s="33">
        <f>Programacion[[#This Row],[ABRIL]]+Programacion[[#This Row],[MAYO]]+Programacion[[#This Row],[JUNIO]]</f>
        <v>200</v>
      </c>
      <c r="AJ5" s="33">
        <f>Programacion[[#This Row],[DEVENGADO ABRIL]]+Programacion[[#This Row],[DEVENGADO MAYO]]+Programacion[[#This Row],[DEVENGADO JUNIO]]</f>
        <v>200</v>
      </c>
      <c r="AK5" s="33">
        <f>Programacion[[#This Row],[JULIO]]+Programacion[[#This Row],[AGOSTO]]+Programacion[[#This Row],[SEPTIEMBRE]]</f>
        <v>0</v>
      </c>
      <c r="AL5" s="33">
        <f>Programacion[[#This Row],[DEVENGADO JULIO]]+Programacion[[#This Row],[DEVENGADO AGOSTO]]+Programacion[[#This Row],[DEVENGADO SEPTIEMBRE]]</f>
        <v>0</v>
      </c>
      <c r="AM5" s="33">
        <f>Programacion[[#This Row],[OCTUBRE]]+Programacion[[#This Row],[NOVIEMBRE]]+Programacion[[#This Row],[DICIEMBRE]]</f>
        <v>0</v>
      </c>
      <c r="AN5" s="21">
        <f>Programacion[[#This Row],[DEVENGADO OCTUBRE]]+Programacion[[#This Row],[DEVENGADO NOVIEMBRE]]+Programacion[[#This Row],[DEVENGADO DICIEMBRE]]</f>
        <v>0</v>
      </c>
      <c r="AO5" s="21">
        <f>Programacion[[#This Row],[ENERO]]+Programacion[[#This Row],[FEBRERO]]+Programacion[[#This Row],[MARZO]]+Programacion[[#This Row],[ABRIL]]+Programacion[[#This Row],[MAYO]]+Programacion[[#This Row],[JUNIO]]</f>
        <v>200</v>
      </c>
      <c r="AP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</v>
      </c>
      <c r="AQ5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</v>
      </c>
      <c r="AT5" s="116"/>
    </row>
    <row r="6" spans="1:46" x14ac:dyDescent="0.25">
      <c r="A6" s="11" t="s">
        <v>45</v>
      </c>
      <c r="B6" s="12" t="s">
        <v>242</v>
      </c>
      <c r="C6" s="13" t="s">
        <v>47</v>
      </c>
      <c r="D6" s="14" t="s">
        <v>48</v>
      </c>
      <c r="E6" s="15">
        <v>39</v>
      </c>
      <c r="F6" s="16">
        <v>2.2999999999999998</v>
      </c>
      <c r="G6" s="14" t="s">
        <v>51</v>
      </c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>
        <v>200</v>
      </c>
      <c r="U6" s="33">
        <v>100</v>
      </c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</v>
      </c>
      <c r="AG6" s="33">
        <f>Programacion[[#This Row],[ENERO]]+Programacion[[#This Row],[FEBRERO]]+Programacion[[#This Row],[MARZO]]</f>
        <v>0</v>
      </c>
      <c r="AH6" s="33">
        <f>Programacion[[#This Row],[DEVENGADO ENERO]]+Programacion[[#This Row],[DEVENGADO FEBRERO]]+Programacion[[#This Row],[DEVENGADO MARZO]]</f>
        <v>0</v>
      </c>
      <c r="AI6" s="33">
        <f>Programacion[[#This Row],[ABRIL]]+Programacion[[#This Row],[MAYO]]+Programacion[[#This Row],[JUNIO]]</f>
        <v>0</v>
      </c>
      <c r="AJ6" s="33">
        <f>Programacion[[#This Row],[DEVENGADO ABRIL]]+Programacion[[#This Row],[DEVENGADO MAYO]]+Programacion[[#This Row],[DEVENGADO JUNIO]]</f>
        <v>0</v>
      </c>
      <c r="AK6" s="33">
        <f>Programacion[[#This Row],[JULIO]]+Programacion[[#This Row],[AGOSTO]]+Programacion[[#This Row],[SEPTIEMBRE]]</f>
        <v>200</v>
      </c>
      <c r="AL6" s="33">
        <f>Programacion[[#This Row],[DEVENGADO JULIO]]+Programacion[[#This Row],[DEVENGADO AGOSTO]]+Programacion[[#This Row],[DEVENGADO SEPTIEMBRE]]</f>
        <v>100</v>
      </c>
      <c r="AM6" s="33">
        <f>Programacion[[#This Row],[OCTUBRE]]+Programacion[[#This Row],[NOVIEMBRE]]+Programacion[[#This Row],[DICIEMBRE]]</f>
        <v>0</v>
      </c>
      <c r="AN6" s="21">
        <f>Programacion[[#This Row],[DEVENGADO OCTUBRE]]+Programacion[[#This Row],[DEVENGADO NOVIEMBRE]]+Programacion[[#This Row],[DEVENGADO DICIEMBRE]]</f>
        <v>0</v>
      </c>
      <c r="AO6" s="21">
        <f>Programacion[[#This Row],[ENERO]]+Programacion[[#This Row],[FEBRERO]]+Programacion[[#This Row],[MARZO]]+Programacion[[#This Row],[ABRIL]]+Programacion[[#This Row],[MAYO]]+Programacion[[#This Row],[JUNIO]]</f>
        <v>0</v>
      </c>
      <c r="AP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" s="21">
        <f>Programacion[[#This Row],[JULIO]]+Programacion[[#This Row],[AGOSTO]]+Programacion[[#This Row],[SEPTIEMBRE]]+Programacion[[#This Row],[OCTUBRE]]+Programacion[[#This Row],[NOVIEMBRE]]+Programacion[[#This Row],[DICIEMBRE]]</f>
        <v>200</v>
      </c>
      <c r="AR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</v>
      </c>
      <c r="AS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</v>
      </c>
      <c r="AT6" s="116"/>
    </row>
    <row r="7" spans="1:46" ht="30" x14ac:dyDescent="0.25">
      <c r="A7" s="11" t="s">
        <v>45</v>
      </c>
      <c r="B7" s="12" t="s">
        <v>247</v>
      </c>
      <c r="C7" s="13" t="s">
        <v>47</v>
      </c>
      <c r="D7" s="14" t="s">
        <v>48</v>
      </c>
      <c r="E7" s="15">
        <v>39</v>
      </c>
      <c r="F7" s="16">
        <v>2.2999999999999998</v>
      </c>
      <c r="G7" s="14" t="s">
        <v>49</v>
      </c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>
        <v>800</v>
      </c>
      <c r="U7" s="33">
        <v>800</v>
      </c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</v>
      </c>
      <c r="AG7" s="33">
        <f>Programacion[[#This Row],[ENERO]]+Programacion[[#This Row],[FEBRERO]]+Programacion[[#This Row],[MARZO]]</f>
        <v>0</v>
      </c>
      <c r="AH7" s="33">
        <f>Programacion[[#This Row],[DEVENGADO ENERO]]+Programacion[[#This Row],[DEVENGADO FEBRERO]]+Programacion[[#This Row],[DEVENGADO MARZO]]</f>
        <v>0</v>
      </c>
      <c r="AI7" s="33">
        <f>Programacion[[#This Row],[ABRIL]]+Programacion[[#This Row],[MAYO]]+Programacion[[#This Row],[JUNIO]]</f>
        <v>0</v>
      </c>
      <c r="AJ7" s="33">
        <f>Programacion[[#This Row],[DEVENGADO ABRIL]]+Programacion[[#This Row],[DEVENGADO MAYO]]+Programacion[[#This Row],[DEVENGADO JUNIO]]</f>
        <v>0</v>
      </c>
      <c r="AK7" s="33">
        <f>Programacion[[#This Row],[JULIO]]+Programacion[[#This Row],[AGOSTO]]+Programacion[[#This Row],[SEPTIEMBRE]]</f>
        <v>800</v>
      </c>
      <c r="AL7" s="33">
        <f>Programacion[[#This Row],[DEVENGADO JULIO]]+Programacion[[#This Row],[DEVENGADO AGOSTO]]+Programacion[[#This Row],[DEVENGADO SEPTIEMBRE]]</f>
        <v>800</v>
      </c>
      <c r="AM7" s="33">
        <f>Programacion[[#This Row],[OCTUBRE]]+Programacion[[#This Row],[NOVIEMBRE]]+Programacion[[#This Row],[DICIEMBRE]]</f>
        <v>0</v>
      </c>
      <c r="AN7" s="21">
        <f>Programacion[[#This Row],[DEVENGADO OCTUBRE]]+Programacion[[#This Row],[DEVENGADO NOVIEMBRE]]+Programacion[[#This Row],[DEVENGADO DICIEMBRE]]</f>
        <v>0</v>
      </c>
      <c r="AO7" s="21">
        <f>Programacion[[#This Row],[ENERO]]+Programacion[[#This Row],[FEBRERO]]+Programacion[[#This Row],[MARZO]]+Programacion[[#This Row],[ABRIL]]+Programacion[[#This Row],[MAYO]]+Programacion[[#This Row],[JUNIO]]</f>
        <v>0</v>
      </c>
      <c r="AP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" s="21">
        <f>Programacion[[#This Row],[JULIO]]+Programacion[[#This Row],[AGOSTO]]+Programacion[[#This Row],[SEPTIEMBRE]]+Programacion[[#This Row],[OCTUBRE]]+Programacion[[#This Row],[NOVIEMBRE]]+Programacion[[#This Row],[DICIEMBRE]]</f>
        <v>800</v>
      </c>
      <c r="AR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T7" s="116"/>
    </row>
    <row r="8" spans="1:46" x14ac:dyDescent="0.25">
      <c r="A8" s="11" t="s">
        <v>45</v>
      </c>
      <c r="B8" s="12" t="s">
        <v>50</v>
      </c>
      <c r="C8" s="13" t="s">
        <v>47</v>
      </c>
      <c r="D8" s="14" t="s">
        <v>48</v>
      </c>
      <c r="E8" s="15">
        <v>39</v>
      </c>
      <c r="F8" s="16">
        <v>2.2999999999999998</v>
      </c>
      <c r="G8" s="14" t="s">
        <v>51</v>
      </c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>
        <v>540</v>
      </c>
      <c r="U8" s="33">
        <v>509</v>
      </c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8" s="33">
        <f>Programacion[[#This Row],[ENERO]]+Programacion[[#This Row],[FEBRERO]]+Programacion[[#This Row],[MARZO]]</f>
        <v>0</v>
      </c>
      <c r="AH8" s="33">
        <f>Programacion[[#This Row],[DEVENGADO ENERO]]+Programacion[[#This Row],[DEVENGADO FEBRERO]]+Programacion[[#This Row],[DEVENGADO MARZO]]</f>
        <v>0</v>
      </c>
      <c r="AI8" s="33">
        <f>Programacion[[#This Row],[ABRIL]]+Programacion[[#This Row],[MAYO]]+Programacion[[#This Row],[JUNIO]]</f>
        <v>0</v>
      </c>
      <c r="AJ8" s="33">
        <f>Programacion[[#This Row],[DEVENGADO ABRIL]]+Programacion[[#This Row],[DEVENGADO MAYO]]+Programacion[[#This Row],[DEVENGADO JUNIO]]</f>
        <v>0</v>
      </c>
      <c r="AK8" s="33">
        <f>Programacion[[#This Row],[JULIO]]+Programacion[[#This Row],[AGOSTO]]+Programacion[[#This Row],[SEPTIEMBRE]]</f>
        <v>540</v>
      </c>
      <c r="AL8" s="33">
        <f>Programacion[[#This Row],[DEVENGADO JULIO]]+Programacion[[#This Row],[DEVENGADO AGOSTO]]+Programacion[[#This Row],[DEVENGADO SEPTIEMBRE]]</f>
        <v>509</v>
      </c>
      <c r="AM8" s="33">
        <f>Programacion[[#This Row],[OCTUBRE]]+Programacion[[#This Row],[NOVIEMBRE]]+Programacion[[#This Row],[DICIEMBRE]]</f>
        <v>0</v>
      </c>
      <c r="AN8" s="21">
        <f>Programacion[[#This Row],[DEVENGADO OCTUBRE]]+Programacion[[#This Row],[DEVENGADO NOVIEMBRE]]+Programacion[[#This Row],[DEVENGADO DICIEMBRE]]</f>
        <v>0</v>
      </c>
      <c r="AO8" s="21">
        <f>Programacion[[#This Row],[ENERO]]+Programacion[[#This Row],[FEBRERO]]+Programacion[[#This Row],[MARZO]]+Programacion[[#This Row],[ABRIL]]+Programacion[[#This Row],[MAYO]]+Programacion[[#This Row],[JUNIO]]</f>
        <v>0</v>
      </c>
      <c r="AP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" s="21">
        <f>Programacion[[#This Row],[JULIO]]+Programacion[[#This Row],[AGOSTO]]+Programacion[[#This Row],[SEPTIEMBRE]]+Programacion[[#This Row],[OCTUBRE]]+Programacion[[#This Row],[NOVIEMBRE]]+Programacion[[#This Row],[DICIEMBRE]]</f>
        <v>540</v>
      </c>
      <c r="AR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509</v>
      </c>
      <c r="AS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509</v>
      </c>
      <c r="AT8" s="116"/>
    </row>
    <row r="9" spans="1:46" ht="30" x14ac:dyDescent="0.25">
      <c r="A9" s="11" t="s">
        <v>45</v>
      </c>
      <c r="B9" s="12" t="s">
        <v>52</v>
      </c>
      <c r="C9" s="13" t="s">
        <v>47</v>
      </c>
      <c r="D9" s="14" t="s">
        <v>48</v>
      </c>
      <c r="E9" s="15">
        <v>39</v>
      </c>
      <c r="F9" s="16">
        <v>2.2999999999999998</v>
      </c>
      <c r="G9" s="14" t="s">
        <v>49</v>
      </c>
      <c r="H9" s="17"/>
      <c r="I9" s="17"/>
      <c r="J9" s="17"/>
      <c r="K9" s="17"/>
      <c r="L9" s="17"/>
      <c r="M9" s="17"/>
      <c r="N9" s="17"/>
      <c r="O9" s="17"/>
      <c r="P9" s="17">
        <v>1600</v>
      </c>
      <c r="Q9" s="17">
        <v>1882.26</v>
      </c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9" s="17">
        <f>Programacion[[#This Row],[ENERO]]+Programacion[[#This Row],[FEBRERO]]+Programacion[[#This Row],[MARZO]]</f>
        <v>0</v>
      </c>
      <c r="AH9" s="17">
        <f>Programacion[[#This Row],[DEVENGADO ENERO]]+Programacion[[#This Row],[DEVENGADO FEBRERO]]+Programacion[[#This Row],[DEVENGADO MARZO]]</f>
        <v>0</v>
      </c>
      <c r="AI9" s="17">
        <f>Programacion[[#This Row],[ABRIL]]+Programacion[[#This Row],[MAYO]]+Programacion[[#This Row],[JUNIO]]</f>
        <v>1600</v>
      </c>
      <c r="AJ9" s="17">
        <f>Programacion[[#This Row],[DEVENGADO ABRIL]]+Programacion[[#This Row],[DEVENGADO MAYO]]+Programacion[[#This Row],[DEVENGADO JUNIO]]</f>
        <v>1882.26</v>
      </c>
      <c r="AK9" s="17">
        <f>Programacion[[#This Row],[JULIO]]+Programacion[[#This Row],[AGOSTO]]+Programacion[[#This Row],[SEPTIEMBRE]]</f>
        <v>0</v>
      </c>
      <c r="AL9" s="17">
        <f>Programacion[[#This Row],[DEVENGADO JULIO]]+Programacion[[#This Row],[DEVENGADO AGOSTO]]+Programacion[[#This Row],[DEVENGADO SEPTIEMBRE]]</f>
        <v>0</v>
      </c>
      <c r="AM9" s="17">
        <f>Programacion[[#This Row],[OCTUBRE]]+Programacion[[#This Row],[NOVIEMBRE]]+Programacion[[#This Row],[DICIEMBRE]]</f>
        <v>0</v>
      </c>
      <c r="AN9" s="17">
        <f>Programacion[[#This Row],[DEVENGADO OCTUBRE]]+Programacion[[#This Row],[DEVENGADO NOVIEMBRE]]+Programacion[[#This Row],[DEVENGADO DICIEMBRE]]</f>
        <v>0</v>
      </c>
      <c r="AO9" s="17">
        <f>Programacion[[#This Row],[ENERO]]+Programacion[[#This Row],[FEBRERO]]+Programacion[[#This Row],[MARZO]]+Programacion[[#This Row],[ABRIL]]+Programacion[[#This Row],[MAYO]]+Programacion[[#This Row],[JUNIO]]</f>
        <v>1600</v>
      </c>
      <c r="AP9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1882.26</v>
      </c>
      <c r="AQ9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1882.26</v>
      </c>
      <c r="AT9" s="116"/>
    </row>
    <row r="10" spans="1:46" x14ac:dyDescent="0.25">
      <c r="A10" s="11" t="s">
        <v>45</v>
      </c>
      <c r="B10" s="12" t="s">
        <v>50</v>
      </c>
      <c r="C10" s="13" t="s">
        <v>47</v>
      </c>
      <c r="D10" s="14" t="s">
        <v>48</v>
      </c>
      <c r="E10" s="15">
        <v>39</v>
      </c>
      <c r="F10" s="16">
        <v>2.2999999999999998</v>
      </c>
      <c r="G10" s="14" t="s">
        <v>51</v>
      </c>
      <c r="H10" s="17"/>
      <c r="I10" s="17"/>
      <c r="J10" s="17"/>
      <c r="K10" s="17"/>
      <c r="L10" s="17"/>
      <c r="M10" s="17"/>
      <c r="N10" s="17"/>
      <c r="O10" s="17"/>
      <c r="P10" s="17">
        <v>1080</v>
      </c>
      <c r="Q10" s="17">
        <v>1080</v>
      </c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0" s="17">
        <f>Programacion[[#This Row],[ENERO]]+Programacion[[#This Row],[FEBRERO]]+Programacion[[#This Row],[MARZO]]</f>
        <v>0</v>
      </c>
      <c r="AH10" s="17">
        <f>Programacion[[#This Row],[DEVENGADO ENERO]]+Programacion[[#This Row],[DEVENGADO FEBRERO]]+Programacion[[#This Row],[DEVENGADO MARZO]]</f>
        <v>0</v>
      </c>
      <c r="AI10" s="17">
        <f>Programacion[[#This Row],[ABRIL]]+Programacion[[#This Row],[MAYO]]+Programacion[[#This Row],[JUNIO]]</f>
        <v>1080</v>
      </c>
      <c r="AJ10" s="17">
        <f>Programacion[[#This Row],[DEVENGADO ABRIL]]+Programacion[[#This Row],[DEVENGADO MAYO]]+Programacion[[#This Row],[DEVENGADO JUNIO]]</f>
        <v>1080</v>
      </c>
      <c r="AK10" s="17">
        <f>Programacion[[#This Row],[JULIO]]+Programacion[[#This Row],[AGOSTO]]+Programacion[[#This Row],[SEPTIEMBRE]]</f>
        <v>0</v>
      </c>
      <c r="AL10" s="17">
        <f>Programacion[[#This Row],[DEVENGADO JULIO]]+Programacion[[#This Row],[DEVENGADO AGOSTO]]+Programacion[[#This Row],[DEVENGADO SEPTIEMBRE]]</f>
        <v>0</v>
      </c>
      <c r="AM10" s="17">
        <f>Programacion[[#This Row],[OCTUBRE]]+Programacion[[#This Row],[NOVIEMBRE]]+Programacion[[#This Row],[DICIEMBRE]]</f>
        <v>0</v>
      </c>
      <c r="AN10" s="17">
        <f>Programacion[[#This Row],[DEVENGADO OCTUBRE]]+Programacion[[#This Row],[DEVENGADO NOVIEMBRE]]+Programacion[[#This Row],[DEVENGADO DICIEMBRE]]</f>
        <v>0</v>
      </c>
      <c r="AO10" s="17">
        <f>Programacion[[#This Row],[ENERO]]+Programacion[[#This Row],[FEBRERO]]+Programacion[[#This Row],[MARZO]]+Programacion[[#This Row],[ABRIL]]+Programacion[[#This Row],[MAYO]]+Programacion[[#This Row],[JUNIO]]</f>
        <v>1080</v>
      </c>
      <c r="AP10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0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0" s="116"/>
    </row>
    <row r="11" spans="1:46" x14ac:dyDescent="0.25">
      <c r="A11" s="118" t="s">
        <v>45</v>
      </c>
      <c r="B11" s="118" t="s">
        <v>50</v>
      </c>
      <c r="C11" s="118" t="s">
        <v>249</v>
      </c>
      <c r="D11" s="119" t="s">
        <v>48</v>
      </c>
      <c r="E11" s="120">
        <v>39</v>
      </c>
      <c r="F11" s="120">
        <v>23</v>
      </c>
      <c r="G11" s="119" t="s">
        <v>51</v>
      </c>
      <c r="H11" s="33"/>
      <c r="I11" s="33"/>
      <c r="J11" s="33"/>
      <c r="K11" s="33"/>
      <c r="L11" s="33">
        <v>1140</v>
      </c>
      <c r="M11" s="33">
        <v>1140</v>
      </c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1140</v>
      </c>
      <c r="AG11" s="33">
        <f>Programacion[[#This Row],[ENERO]]+Programacion[[#This Row],[FEBRERO]]+Programacion[[#This Row],[MARZO]]</f>
        <v>1140</v>
      </c>
      <c r="AH11" s="33">
        <f>Programacion[[#This Row],[DEVENGADO ENERO]]+Programacion[[#This Row],[DEVENGADO FEBRERO]]+Programacion[[#This Row],[DEVENGADO MARZO]]</f>
        <v>1140</v>
      </c>
      <c r="AI11" s="33">
        <f>Programacion[[#This Row],[ABRIL]]+Programacion[[#This Row],[MAYO]]+Programacion[[#This Row],[JUNIO]]</f>
        <v>0</v>
      </c>
      <c r="AJ11" s="33">
        <f>Programacion[[#This Row],[DEVENGADO ABRIL]]+Programacion[[#This Row],[DEVENGADO MAYO]]+Programacion[[#This Row],[DEVENGADO JUNIO]]</f>
        <v>0</v>
      </c>
      <c r="AK11" s="33">
        <f>Programacion[[#This Row],[JULIO]]+Programacion[[#This Row],[AGOSTO]]+Programacion[[#This Row],[SEPTIEMBRE]]</f>
        <v>0</v>
      </c>
      <c r="AL11" s="33">
        <f>Programacion[[#This Row],[DEVENGADO JULIO]]+Programacion[[#This Row],[DEVENGADO AGOSTO]]+Programacion[[#This Row],[DEVENGADO SEPTIEMBRE]]</f>
        <v>0</v>
      </c>
      <c r="AM11" s="33">
        <f>Programacion[[#This Row],[OCTUBRE]]+Programacion[[#This Row],[NOVIEMBRE]]+Programacion[[#This Row],[DICIEMBRE]]</f>
        <v>0</v>
      </c>
      <c r="AN11" s="21">
        <f>Programacion[[#This Row],[DEVENGADO OCTUBRE]]+Programacion[[#This Row],[DEVENGADO NOVIEMBRE]]+Programacion[[#This Row],[DEVENGADO DICIEMBRE]]</f>
        <v>0</v>
      </c>
      <c r="AO11" s="21">
        <f>Programacion[[#This Row],[ENERO]]+Programacion[[#This Row],[FEBRERO]]+Programacion[[#This Row],[MARZO]]+Programacion[[#This Row],[ABRIL]]+Programacion[[#This Row],[MAYO]]+Programacion[[#This Row],[JUNIO]]</f>
        <v>1140</v>
      </c>
      <c r="AP1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1140</v>
      </c>
      <c r="AQ11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1140</v>
      </c>
      <c r="AT11" s="116"/>
    </row>
    <row r="12" spans="1:46" ht="30" x14ac:dyDescent="0.25">
      <c r="A12" s="11" t="s">
        <v>45</v>
      </c>
      <c r="B12" s="12" t="s">
        <v>53</v>
      </c>
      <c r="C12" s="13" t="s">
        <v>47</v>
      </c>
      <c r="D12" s="14" t="s">
        <v>48</v>
      </c>
      <c r="E12" s="15">
        <v>39</v>
      </c>
      <c r="F12" s="16">
        <v>2.2999999999999998</v>
      </c>
      <c r="G12" s="14" t="s">
        <v>49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>
        <v>2400</v>
      </c>
      <c r="Y12" s="17"/>
      <c r="Z12" s="17"/>
      <c r="AA12" s="17"/>
      <c r="AB12" s="17"/>
      <c r="AC12" s="17"/>
      <c r="AD12" s="17"/>
      <c r="AE12" s="17"/>
      <c r="AF12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2" s="17">
        <f>Programacion[[#This Row],[ENERO]]+Programacion[[#This Row],[FEBRERO]]+Programacion[[#This Row],[MARZO]]</f>
        <v>0</v>
      </c>
      <c r="AH12" s="17">
        <f>Programacion[[#This Row],[DEVENGADO ENERO]]+Programacion[[#This Row],[DEVENGADO FEBRERO]]+Programacion[[#This Row],[DEVENGADO MARZO]]</f>
        <v>0</v>
      </c>
      <c r="AI12" s="17">
        <f>Programacion[[#This Row],[ABRIL]]+Programacion[[#This Row],[MAYO]]+Programacion[[#This Row],[JUNIO]]</f>
        <v>0</v>
      </c>
      <c r="AJ12" s="17">
        <f>Programacion[[#This Row],[DEVENGADO ABRIL]]+Programacion[[#This Row],[DEVENGADO MAYO]]+Programacion[[#This Row],[DEVENGADO JUNIO]]</f>
        <v>0</v>
      </c>
      <c r="AK12" s="17">
        <f>Programacion[[#This Row],[JULIO]]+Programacion[[#This Row],[AGOSTO]]+Programacion[[#This Row],[SEPTIEMBRE]]</f>
        <v>2400</v>
      </c>
      <c r="AL12" s="17">
        <f>Programacion[[#This Row],[DEVENGADO JULIO]]+Programacion[[#This Row],[DEVENGADO AGOSTO]]+Programacion[[#This Row],[DEVENGADO SEPTIEMBRE]]</f>
        <v>0</v>
      </c>
      <c r="AM12" s="17">
        <f>Programacion[[#This Row],[OCTUBRE]]+Programacion[[#This Row],[NOVIEMBRE]]+Programacion[[#This Row],[DICIEMBRE]]</f>
        <v>0</v>
      </c>
      <c r="AN12" s="17">
        <f>Programacion[[#This Row],[DEVENGADO OCTUBRE]]+Programacion[[#This Row],[DEVENGADO NOVIEMBRE]]+Programacion[[#This Row],[DEVENGADO DICIEMBRE]]</f>
        <v>0</v>
      </c>
      <c r="AO12" s="17">
        <f>Programacion[[#This Row],[ENERO]]+Programacion[[#This Row],[FEBRERO]]+Programacion[[#This Row],[MARZO]]+Programacion[[#This Row],[ABRIL]]+Programacion[[#This Row],[MAYO]]+Programacion[[#This Row],[JUNIO]]</f>
        <v>0</v>
      </c>
      <c r="AP12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" s="17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2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2" s="116"/>
    </row>
    <row r="13" spans="1:46" x14ac:dyDescent="0.25">
      <c r="A13" s="11" t="s">
        <v>45</v>
      </c>
      <c r="B13" s="12" t="s">
        <v>50</v>
      </c>
      <c r="C13" s="13" t="s">
        <v>47</v>
      </c>
      <c r="D13" s="14" t="s">
        <v>48</v>
      </c>
      <c r="E13" s="15">
        <v>39</v>
      </c>
      <c r="F13" s="16">
        <v>2.2999999999999998</v>
      </c>
      <c r="G13" s="14" t="s">
        <v>51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>
        <v>1620</v>
      </c>
      <c r="Y13" s="17"/>
      <c r="Z13" s="17"/>
      <c r="AA13" s="17"/>
      <c r="AB13" s="17"/>
      <c r="AC13" s="17"/>
      <c r="AD13" s="17"/>
      <c r="AE13" s="17"/>
      <c r="AF13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3" s="17">
        <f>Programacion[[#This Row],[ENERO]]+Programacion[[#This Row],[FEBRERO]]+Programacion[[#This Row],[MARZO]]</f>
        <v>0</v>
      </c>
      <c r="AH13" s="17">
        <f>Programacion[[#This Row],[DEVENGADO ENERO]]+Programacion[[#This Row],[DEVENGADO FEBRERO]]+Programacion[[#This Row],[DEVENGADO MARZO]]</f>
        <v>0</v>
      </c>
      <c r="AI13" s="17">
        <f>Programacion[[#This Row],[ABRIL]]+Programacion[[#This Row],[MAYO]]+Programacion[[#This Row],[JUNIO]]</f>
        <v>0</v>
      </c>
      <c r="AJ13" s="17">
        <f>Programacion[[#This Row],[DEVENGADO ABRIL]]+Programacion[[#This Row],[DEVENGADO MAYO]]+Programacion[[#This Row],[DEVENGADO JUNIO]]</f>
        <v>0</v>
      </c>
      <c r="AK13" s="17">
        <f>Programacion[[#This Row],[JULIO]]+Programacion[[#This Row],[AGOSTO]]+Programacion[[#This Row],[SEPTIEMBRE]]</f>
        <v>1620</v>
      </c>
      <c r="AL13" s="17">
        <f>Programacion[[#This Row],[DEVENGADO JULIO]]+Programacion[[#This Row],[DEVENGADO AGOSTO]]+Programacion[[#This Row],[DEVENGADO SEPTIEMBRE]]</f>
        <v>0</v>
      </c>
      <c r="AM13" s="17">
        <f>Programacion[[#This Row],[OCTUBRE]]+Programacion[[#This Row],[NOVIEMBRE]]+Programacion[[#This Row],[DICIEMBRE]]</f>
        <v>0</v>
      </c>
      <c r="AN13" s="17">
        <f>Programacion[[#This Row],[DEVENGADO OCTUBRE]]+Programacion[[#This Row],[DEVENGADO NOVIEMBRE]]+Programacion[[#This Row],[DEVENGADO DICIEMBRE]]</f>
        <v>0</v>
      </c>
      <c r="AO13" s="17">
        <f>Programacion[[#This Row],[ENERO]]+Programacion[[#This Row],[FEBRERO]]+Programacion[[#This Row],[MARZO]]+Programacion[[#This Row],[ABRIL]]+Programacion[[#This Row],[MAYO]]+Programacion[[#This Row],[JUNIO]]</f>
        <v>0</v>
      </c>
      <c r="AP13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" s="17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3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" s="116"/>
    </row>
    <row r="14" spans="1:46" ht="30" x14ac:dyDescent="0.25">
      <c r="A14" s="11" t="s">
        <v>45</v>
      </c>
      <c r="B14" s="12" t="s">
        <v>54</v>
      </c>
      <c r="C14" s="13" t="s">
        <v>47</v>
      </c>
      <c r="D14" s="14" t="s">
        <v>48</v>
      </c>
      <c r="E14" s="15">
        <v>39</v>
      </c>
      <c r="F14" s="16">
        <v>2.2999999999999998</v>
      </c>
      <c r="G14" s="14" t="s">
        <v>49</v>
      </c>
      <c r="H14" s="17"/>
      <c r="I14" s="17"/>
      <c r="J14" s="17"/>
      <c r="K14" s="17"/>
      <c r="L14" s="17"/>
      <c r="M14" s="17"/>
      <c r="N14" s="17"/>
      <c r="O14" s="17"/>
      <c r="P14" s="17">
        <v>1600</v>
      </c>
      <c r="Q14" s="17">
        <v>2247.67</v>
      </c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4" s="17">
        <f>Programacion[[#This Row],[ENERO]]+Programacion[[#This Row],[FEBRERO]]+Programacion[[#This Row],[MARZO]]</f>
        <v>0</v>
      </c>
      <c r="AH14" s="17">
        <f>Programacion[[#This Row],[DEVENGADO ENERO]]+Programacion[[#This Row],[DEVENGADO FEBRERO]]+Programacion[[#This Row],[DEVENGADO MARZO]]</f>
        <v>0</v>
      </c>
      <c r="AI14" s="17">
        <f>Programacion[[#This Row],[ABRIL]]+Programacion[[#This Row],[MAYO]]+Programacion[[#This Row],[JUNIO]]</f>
        <v>1600</v>
      </c>
      <c r="AJ14" s="17">
        <f>Programacion[[#This Row],[DEVENGADO ABRIL]]+Programacion[[#This Row],[DEVENGADO MAYO]]+Programacion[[#This Row],[DEVENGADO JUNIO]]</f>
        <v>2247.67</v>
      </c>
      <c r="AK14" s="17">
        <f>Programacion[[#This Row],[JULIO]]+Programacion[[#This Row],[AGOSTO]]+Programacion[[#This Row],[SEPTIEMBRE]]</f>
        <v>0</v>
      </c>
      <c r="AL14" s="17">
        <f>Programacion[[#This Row],[DEVENGADO JULIO]]+Programacion[[#This Row],[DEVENGADO AGOSTO]]+Programacion[[#This Row],[DEVENGADO SEPTIEMBRE]]</f>
        <v>0</v>
      </c>
      <c r="AM14" s="17">
        <f>Programacion[[#This Row],[OCTUBRE]]+Programacion[[#This Row],[NOVIEMBRE]]+Programacion[[#This Row],[DICIEMBRE]]</f>
        <v>0</v>
      </c>
      <c r="AN14" s="17">
        <f>Programacion[[#This Row],[DEVENGADO OCTUBRE]]+Programacion[[#This Row],[DEVENGADO NOVIEMBRE]]+Programacion[[#This Row],[DEVENGADO DICIEMBRE]]</f>
        <v>0</v>
      </c>
      <c r="AO14" s="17">
        <f>Programacion[[#This Row],[ENERO]]+Programacion[[#This Row],[FEBRERO]]+Programacion[[#This Row],[MARZO]]+Programacion[[#This Row],[ABRIL]]+Programacion[[#This Row],[MAYO]]+Programacion[[#This Row],[JUNIO]]</f>
        <v>1600</v>
      </c>
      <c r="AP14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2247.67</v>
      </c>
      <c r="AQ14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2247.67</v>
      </c>
      <c r="AT14" s="116"/>
    </row>
    <row r="15" spans="1:46" x14ac:dyDescent="0.25">
      <c r="A15" s="11" t="s">
        <v>45</v>
      </c>
      <c r="B15" s="12" t="s">
        <v>50</v>
      </c>
      <c r="C15" s="13" t="s">
        <v>47</v>
      </c>
      <c r="D15" s="14" t="s">
        <v>48</v>
      </c>
      <c r="E15" s="15">
        <v>39</v>
      </c>
      <c r="F15" s="16">
        <v>2.2999999999999998</v>
      </c>
      <c r="G15" s="14" t="s">
        <v>51</v>
      </c>
      <c r="H15" s="17"/>
      <c r="I15" s="17"/>
      <c r="J15" s="17"/>
      <c r="K15" s="17"/>
      <c r="L15" s="17"/>
      <c r="M15" s="17"/>
      <c r="N15" s="17"/>
      <c r="O15" s="17"/>
      <c r="P15" s="17">
        <v>1080</v>
      </c>
      <c r="Q15" s="17">
        <v>1080</v>
      </c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5" s="17">
        <f>Programacion[[#This Row],[ENERO]]+Programacion[[#This Row],[FEBRERO]]+Programacion[[#This Row],[MARZO]]</f>
        <v>0</v>
      </c>
      <c r="AH15" s="17">
        <f>Programacion[[#This Row],[DEVENGADO ENERO]]+Programacion[[#This Row],[DEVENGADO FEBRERO]]+Programacion[[#This Row],[DEVENGADO MARZO]]</f>
        <v>0</v>
      </c>
      <c r="AI15" s="17">
        <f>Programacion[[#This Row],[ABRIL]]+Programacion[[#This Row],[MAYO]]+Programacion[[#This Row],[JUNIO]]</f>
        <v>1080</v>
      </c>
      <c r="AJ15" s="17">
        <f>Programacion[[#This Row],[DEVENGADO ABRIL]]+Programacion[[#This Row],[DEVENGADO MAYO]]+Programacion[[#This Row],[DEVENGADO JUNIO]]</f>
        <v>1080</v>
      </c>
      <c r="AK15" s="17">
        <f>Programacion[[#This Row],[JULIO]]+Programacion[[#This Row],[AGOSTO]]+Programacion[[#This Row],[SEPTIEMBRE]]</f>
        <v>0</v>
      </c>
      <c r="AL15" s="17">
        <f>Programacion[[#This Row],[DEVENGADO JULIO]]+Programacion[[#This Row],[DEVENGADO AGOSTO]]+Programacion[[#This Row],[DEVENGADO SEPTIEMBRE]]</f>
        <v>0</v>
      </c>
      <c r="AM15" s="17">
        <f>Programacion[[#This Row],[OCTUBRE]]+Programacion[[#This Row],[NOVIEMBRE]]+Programacion[[#This Row],[DICIEMBRE]]</f>
        <v>0</v>
      </c>
      <c r="AN15" s="17">
        <f>Programacion[[#This Row],[DEVENGADO OCTUBRE]]+Programacion[[#This Row],[DEVENGADO NOVIEMBRE]]+Programacion[[#This Row],[DEVENGADO DICIEMBRE]]</f>
        <v>0</v>
      </c>
      <c r="AO15" s="17">
        <f>Programacion[[#This Row],[ENERO]]+Programacion[[#This Row],[FEBRERO]]+Programacion[[#This Row],[MARZO]]+Programacion[[#This Row],[ABRIL]]+Programacion[[#This Row],[MAYO]]+Programacion[[#This Row],[JUNIO]]</f>
        <v>1080</v>
      </c>
      <c r="AP15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5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5" s="116"/>
    </row>
    <row r="16" spans="1:46" ht="30" x14ac:dyDescent="0.25">
      <c r="A16" s="118" t="s">
        <v>45</v>
      </c>
      <c r="B16" s="121" t="s">
        <v>250</v>
      </c>
      <c r="C16" s="118" t="s">
        <v>251</v>
      </c>
      <c r="D16" s="119" t="s">
        <v>48</v>
      </c>
      <c r="E16" s="120">
        <v>39</v>
      </c>
      <c r="F16" s="120">
        <v>23</v>
      </c>
      <c r="G16" s="119" t="s">
        <v>49</v>
      </c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>
        <v>2400</v>
      </c>
      <c r="W16" s="33">
        <v>2400</v>
      </c>
      <c r="X16" s="33"/>
      <c r="Y16" s="33"/>
      <c r="Z16" s="33"/>
      <c r="AA16" s="33"/>
      <c r="AB16" s="33"/>
      <c r="AC16" s="33"/>
      <c r="AD16" s="33"/>
      <c r="AE16" s="33"/>
      <c r="AF1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6" s="33">
        <f>Programacion[[#This Row],[ENERO]]+Programacion[[#This Row],[FEBRERO]]+Programacion[[#This Row],[MARZO]]</f>
        <v>0</v>
      </c>
      <c r="AH16" s="33">
        <f>Programacion[[#This Row],[DEVENGADO ENERO]]+Programacion[[#This Row],[DEVENGADO FEBRERO]]+Programacion[[#This Row],[DEVENGADO MARZO]]</f>
        <v>0</v>
      </c>
      <c r="AI16" s="33">
        <f>Programacion[[#This Row],[ABRIL]]+Programacion[[#This Row],[MAYO]]+Programacion[[#This Row],[JUNIO]]</f>
        <v>0</v>
      </c>
      <c r="AJ16" s="33">
        <f>Programacion[[#This Row],[DEVENGADO ABRIL]]+Programacion[[#This Row],[DEVENGADO MAYO]]+Programacion[[#This Row],[DEVENGADO JUNIO]]</f>
        <v>0</v>
      </c>
      <c r="AK16" s="33">
        <f>Programacion[[#This Row],[JULIO]]+Programacion[[#This Row],[AGOSTO]]+Programacion[[#This Row],[SEPTIEMBRE]]</f>
        <v>2400</v>
      </c>
      <c r="AL16" s="33">
        <f>Programacion[[#This Row],[DEVENGADO JULIO]]+Programacion[[#This Row],[DEVENGADO AGOSTO]]+Programacion[[#This Row],[DEVENGADO SEPTIEMBRE]]</f>
        <v>2400</v>
      </c>
      <c r="AM16" s="33">
        <f>Programacion[[#This Row],[OCTUBRE]]+Programacion[[#This Row],[NOVIEMBRE]]+Programacion[[#This Row],[DICIEMBRE]]</f>
        <v>0</v>
      </c>
      <c r="AN16" s="21">
        <f>Programacion[[#This Row],[DEVENGADO OCTUBRE]]+Programacion[[#This Row],[DEVENGADO NOVIEMBRE]]+Programacion[[#This Row],[DEVENGADO DICIEMBRE]]</f>
        <v>0</v>
      </c>
      <c r="AO16" s="21">
        <f>Programacion[[#This Row],[ENERO]]+Programacion[[#This Row],[FEBRERO]]+Programacion[[#This Row],[MARZO]]+Programacion[[#This Row],[ABRIL]]+Programacion[[#This Row],[MAYO]]+Programacion[[#This Row],[JUNIO]]</f>
        <v>0</v>
      </c>
      <c r="AP1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" s="21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S1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T16" s="116"/>
    </row>
    <row r="17" spans="1:46" x14ac:dyDescent="0.25">
      <c r="A17" s="118" t="s">
        <v>45</v>
      </c>
      <c r="B17" s="121" t="s">
        <v>50</v>
      </c>
      <c r="C17" s="118" t="s">
        <v>249</v>
      </c>
      <c r="D17" s="119" t="s">
        <v>48</v>
      </c>
      <c r="E17" s="120">
        <v>39</v>
      </c>
      <c r="F17" s="120">
        <v>23</v>
      </c>
      <c r="G17" s="119" t="s">
        <v>51</v>
      </c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>
        <v>1620</v>
      </c>
      <c r="W17" s="33">
        <v>1620</v>
      </c>
      <c r="X17" s="33"/>
      <c r="Y17" s="33"/>
      <c r="Z17" s="33"/>
      <c r="AA17" s="33"/>
      <c r="AB17" s="33"/>
      <c r="AC17" s="33"/>
      <c r="AD17" s="33"/>
      <c r="AE17" s="33"/>
      <c r="AF1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7" s="33">
        <f>Programacion[[#This Row],[ENERO]]+Programacion[[#This Row],[FEBRERO]]+Programacion[[#This Row],[MARZO]]</f>
        <v>0</v>
      </c>
      <c r="AH17" s="33">
        <f>Programacion[[#This Row],[DEVENGADO ENERO]]+Programacion[[#This Row],[DEVENGADO FEBRERO]]+Programacion[[#This Row],[DEVENGADO MARZO]]</f>
        <v>0</v>
      </c>
      <c r="AI17" s="33">
        <f>Programacion[[#This Row],[ABRIL]]+Programacion[[#This Row],[MAYO]]+Programacion[[#This Row],[JUNIO]]</f>
        <v>0</v>
      </c>
      <c r="AJ17" s="33">
        <f>Programacion[[#This Row],[DEVENGADO ABRIL]]+Programacion[[#This Row],[DEVENGADO MAYO]]+Programacion[[#This Row],[DEVENGADO JUNIO]]</f>
        <v>0</v>
      </c>
      <c r="AK17" s="33">
        <f>Programacion[[#This Row],[JULIO]]+Programacion[[#This Row],[AGOSTO]]+Programacion[[#This Row],[SEPTIEMBRE]]</f>
        <v>1620</v>
      </c>
      <c r="AL17" s="33">
        <f>Programacion[[#This Row],[DEVENGADO JULIO]]+Programacion[[#This Row],[DEVENGADO AGOSTO]]+Programacion[[#This Row],[DEVENGADO SEPTIEMBRE]]</f>
        <v>1620</v>
      </c>
      <c r="AM17" s="33">
        <f>Programacion[[#This Row],[OCTUBRE]]+Programacion[[#This Row],[NOVIEMBRE]]+Programacion[[#This Row],[DICIEMBRE]]</f>
        <v>0</v>
      </c>
      <c r="AN17" s="21">
        <f>Programacion[[#This Row],[DEVENGADO OCTUBRE]]+Programacion[[#This Row],[DEVENGADO NOVIEMBRE]]+Programacion[[#This Row],[DEVENGADO DICIEMBRE]]</f>
        <v>0</v>
      </c>
      <c r="AO17" s="21">
        <f>Programacion[[#This Row],[ENERO]]+Programacion[[#This Row],[FEBRERO]]+Programacion[[#This Row],[MARZO]]+Programacion[[#This Row],[ABRIL]]+Programacion[[#This Row],[MAYO]]+Programacion[[#This Row],[JUNIO]]</f>
        <v>0</v>
      </c>
      <c r="AP1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" s="21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S1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7" s="116"/>
    </row>
    <row r="18" spans="1:46" ht="30" x14ac:dyDescent="0.25">
      <c r="A18" s="118" t="s">
        <v>45</v>
      </c>
      <c r="B18" s="118" t="s">
        <v>252</v>
      </c>
      <c r="C18" s="118" t="s">
        <v>85</v>
      </c>
      <c r="D18" s="119" t="s">
        <v>48</v>
      </c>
      <c r="E18" s="120">
        <v>39</v>
      </c>
      <c r="F18" s="120">
        <v>23</v>
      </c>
      <c r="G18" s="119" t="s">
        <v>86</v>
      </c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>
        <v>500</v>
      </c>
      <c r="Y18" s="33"/>
      <c r="Z18" s="33"/>
      <c r="AA18" s="33"/>
      <c r="AB18" s="33"/>
      <c r="AC18" s="33"/>
      <c r="AD18" s="33"/>
      <c r="AE18" s="33"/>
      <c r="AF1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</v>
      </c>
      <c r="AG18" s="33">
        <f>Programacion[[#This Row],[ENERO]]+Programacion[[#This Row],[FEBRERO]]+Programacion[[#This Row],[MARZO]]</f>
        <v>0</v>
      </c>
      <c r="AH18" s="33">
        <f>Programacion[[#This Row],[DEVENGADO ENERO]]+Programacion[[#This Row],[DEVENGADO FEBRERO]]+Programacion[[#This Row],[DEVENGADO MARZO]]</f>
        <v>0</v>
      </c>
      <c r="AI18" s="33">
        <f>Programacion[[#This Row],[ABRIL]]+Programacion[[#This Row],[MAYO]]+Programacion[[#This Row],[JUNIO]]</f>
        <v>0</v>
      </c>
      <c r="AJ18" s="33">
        <f>Programacion[[#This Row],[DEVENGADO ABRIL]]+Programacion[[#This Row],[DEVENGADO MAYO]]+Programacion[[#This Row],[DEVENGADO JUNIO]]</f>
        <v>0</v>
      </c>
      <c r="AK18" s="33">
        <f>Programacion[[#This Row],[JULIO]]+Programacion[[#This Row],[AGOSTO]]+Programacion[[#This Row],[SEPTIEMBRE]]</f>
        <v>500</v>
      </c>
      <c r="AL18" s="33">
        <f>Programacion[[#This Row],[DEVENGADO JULIO]]+Programacion[[#This Row],[DEVENGADO AGOSTO]]+Programacion[[#This Row],[DEVENGADO SEPTIEMBRE]]</f>
        <v>0</v>
      </c>
      <c r="AM18" s="33">
        <f>Programacion[[#This Row],[OCTUBRE]]+Programacion[[#This Row],[NOVIEMBRE]]+Programacion[[#This Row],[DICIEMBRE]]</f>
        <v>0</v>
      </c>
      <c r="AN18" s="21">
        <f>Programacion[[#This Row],[DEVENGADO OCTUBRE]]+Programacion[[#This Row],[DEVENGADO NOVIEMBRE]]+Programacion[[#This Row],[DEVENGADO DICIEMBRE]]</f>
        <v>0</v>
      </c>
      <c r="AO18" s="21">
        <f>Programacion[[#This Row],[ENERO]]+Programacion[[#This Row],[FEBRERO]]+Programacion[[#This Row],[MARZO]]+Programacion[[#This Row],[ABRIL]]+Programacion[[#This Row],[MAYO]]+Programacion[[#This Row],[JUNIO]]</f>
        <v>0</v>
      </c>
      <c r="AP1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" s="21">
        <f>Programacion[[#This Row],[JULIO]]+Programacion[[#This Row],[AGOSTO]]+Programacion[[#This Row],[SEPTIEMBRE]]+Programacion[[#This Row],[OCTUBRE]]+Programacion[[#This Row],[NOVIEMBRE]]+Programacion[[#This Row],[DICIEMBRE]]</f>
        <v>500</v>
      </c>
      <c r="AR1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" s="116"/>
    </row>
    <row r="19" spans="1:46" ht="30" x14ac:dyDescent="0.25">
      <c r="A19" s="118" t="s">
        <v>45</v>
      </c>
      <c r="B19" s="121" t="s">
        <v>253</v>
      </c>
      <c r="C19" s="118" t="s">
        <v>251</v>
      </c>
      <c r="D19" s="119" t="s">
        <v>48</v>
      </c>
      <c r="E19" s="120">
        <v>39</v>
      </c>
      <c r="F19" s="120">
        <v>23</v>
      </c>
      <c r="G19" s="119" t="s">
        <v>49</v>
      </c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>
        <v>6000</v>
      </c>
      <c r="Y19" s="33"/>
      <c r="Z19" s="33"/>
      <c r="AA19" s="33"/>
      <c r="AB19" s="33"/>
      <c r="AC19" s="33"/>
      <c r="AD19" s="33"/>
      <c r="AE19" s="33"/>
      <c r="AF1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19" s="33">
        <f>Programacion[[#This Row],[ENERO]]+Programacion[[#This Row],[FEBRERO]]+Programacion[[#This Row],[MARZO]]</f>
        <v>0</v>
      </c>
      <c r="AH19" s="33">
        <f>Programacion[[#This Row],[DEVENGADO ENERO]]+Programacion[[#This Row],[DEVENGADO FEBRERO]]+Programacion[[#This Row],[DEVENGADO MARZO]]</f>
        <v>0</v>
      </c>
      <c r="AI19" s="33">
        <f>Programacion[[#This Row],[ABRIL]]+Programacion[[#This Row],[MAYO]]+Programacion[[#This Row],[JUNIO]]</f>
        <v>0</v>
      </c>
      <c r="AJ19" s="33">
        <f>Programacion[[#This Row],[DEVENGADO ABRIL]]+Programacion[[#This Row],[DEVENGADO MAYO]]+Programacion[[#This Row],[DEVENGADO JUNIO]]</f>
        <v>0</v>
      </c>
      <c r="AK19" s="33">
        <f>Programacion[[#This Row],[JULIO]]+Programacion[[#This Row],[AGOSTO]]+Programacion[[#This Row],[SEPTIEMBRE]]</f>
        <v>6000</v>
      </c>
      <c r="AL19" s="33">
        <f>Programacion[[#This Row],[DEVENGADO JULIO]]+Programacion[[#This Row],[DEVENGADO AGOSTO]]+Programacion[[#This Row],[DEVENGADO SEPTIEMBRE]]</f>
        <v>0</v>
      </c>
      <c r="AM19" s="33">
        <f>Programacion[[#This Row],[OCTUBRE]]+Programacion[[#This Row],[NOVIEMBRE]]+Programacion[[#This Row],[DICIEMBRE]]</f>
        <v>0</v>
      </c>
      <c r="AN19" s="21">
        <f>Programacion[[#This Row],[DEVENGADO OCTUBRE]]+Programacion[[#This Row],[DEVENGADO NOVIEMBRE]]+Programacion[[#This Row],[DEVENGADO DICIEMBRE]]</f>
        <v>0</v>
      </c>
      <c r="AO19" s="21">
        <f>Programacion[[#This Row],[ENERO]]+Programacion[[#This Row],[FEBRERO]]+Programacion[[#This Row],[MARZO]]+Programacion[[#This Row],[ABRIL]]+Programacion[[#This Row],[MAYO]]+Programacion[[#This Row],[JUNIO]]</f>
        <v>0</v>
      </c>
      <c r="AP1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" s="21">
        <f>Programacion[[#This Row],[JULIO]]+Programacion[[#This Row],[AGOSTO]]+Programacion[[#This Row],[SEPTIEMBRE]]+Programacion[[#This Row],[OCTUBRE]]+Programacion[[#This Row],[NOVIEMBRE]]+Programacion[[#This Row],[DICIEMBRE]]</f>
        <v>6000</v>
      </c>
      <c r="AR1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" s="116"/>
    </row>
    <row r="20" spans="1:46" x14ac:dyDescent="0.25">
      <c r="A20" s="118" t="s">
        <v>45</v>
      </c>
      <c r="B20" s="121" t="s">
        <v>50</v>
      </c>
      <c r="C20" s="118" t="s">
        <v>249</v>
      </c>
      <c r="D20" s="119" t="s">
        <v>48</v>
      </c>
      <c r="E20" s="120">
        <v>39</v>
      </c>
      <c r="F20" s="120">
        <v>23</v>
      </c>
      <c r="G20" s="119" t="s">
        <v>51</v>
      </c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>
        <v>4440.0600000000004</v>
      </c>
      <c r="Y20" s="33"/>
      <c r="Z20" s="33"/>
      <c r="AA20" s="33"/>
      <c r="AB20" s="33"/>
      <c r="AC20" s="33"/>
      <c r="AD20" s="33"/>
      <c r="AE20" s="33"/>
      <c r="AF2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4440.0600000000004</v>
      </c>
      <c r="AG20" s="33">
        <f>Programacion[[#This Row],[ENERO]]+Programacion[[#This Row],[FEBRERO]]+Programacion[[#This Row],[MARZO]]</f>
        <v>0</v>
      </c>
      <c r="AH20" s="33">
        <f>Programacion[[#This Row],[DEVENGADO ENERO]]+Programacion[[#This Row],[DEVENGADO FEBRERO]]+Programacion[[#This Row],[DEVENGADO MARZO]]</f>
        <v>0</v>
      </c>
      <c r="AI20" s="33">
        <f>Programacion[[#This Row],[ABRIL]]+Programacion[[#This Row],[MAYO]]+Programacion[[#This Row],[JUNIO]]</f>
        <v>0</v>
      </c>
      <c r="AJ20" s="33">
        <f>Programacion[[#This Row],[DEVENGADO ABRIL]]+Programacion[[#This Row],[DEVENGADO MAYO]]+Programacion[[#This Row],[DEVENGADO JUNIO]]</f>
        <v>0</v>
      </c>
      <c r="AK20" s="33">
        <f>Programacion[[#This Row],[JULIO]]+Programacion[[#This Row],[AGOSTO]]+Programacion[[#This Row],[SEPTIEMBRE]]</f>
        <v>4440.0600000000004</v>
      </c>
      <c r="AL20" s="33">
        <f>Programacion[[#This Row],[DEVENGADO JULIO]]+Programacion[[#This Row],[DEVENGADO AGOSTO]]+Programacion[[#This Row],[DEVENGADO SEPTIEMBRE]]</f>
        <v>0</v>
      </c>
      <c r="AM20" s="33">
        <f>Programacion[[#This Row],[OCTUBRE]]+Programacion[[#This Row],[NOVIEMBRE]]+Programacion[[#This Row],[DICIEMBRE]]</f>
        <v>0</v>
      </c>
      <c r="AN20" s="21">
        <f>Programacion[[#This Row],[DEVENGADO OCTUBRE]]+Programacion[[#This Row],[DEVENGADO NOVIEMBRE]]+Programacion[[#This Row],[DEVENGADO DICIEMBRE]]</f>
        <v>0</v>
      </c>
      <c r="AO20" s="21">
        <f>Programacion[[#This Row],[ENERO]]+Programacion[[#This Row],[FEBRERO]]+Programacion[[#This Row],[MARZO]]+Programacion[[#This Row],[ABRIL]]+Programacion[[#This Row],[MAYO]]+Programacion[[#This Row],[JUNIO]]</f>
        <v>0</v>
      </c>
      <c r="AP2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" s="21">
        <f>Programacion[[#This Row],[JULIO]]+Programacion[[#This Row],[AGOSTO]]+Programacion[[#This Row],[SEPTIEMBRE]]+Programacion[[#This Row],[OCTUBRE]]+Programacion[[#This Row],[NOVIEMBRE]]+Programacion[[#This Row],[DICIEMBRE]]</f>
        <v>4440.0600000000004</v>
      </c>
      <c r="AR2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" s="116"/>
    </row>
    <row r="21" spans="1:46" ht="30" x14ac:dyDescent="0.25">
      <c r="A21" s="118" t="s">
        <v>45</v>
      </c>
      <c r="B21" s="121" t="s">
        <v>254</v>
      </c>
      <c r="C21" s="118" t="s">
        <v>251</v>
      </c>
      <c r="D21" s="119" t="s">
        <v>48</v>
      </c>
      <c r="E21" s="120">
        <v>39</v>
      </c>
      <c r="F21" s="120">
        <v>23</v>
      </c>
      <c r="G21" s="119" t="s">
        <v>49</v>
      </c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>
        <v>13000</v>
      </c>
      <c r="Y21" s="33"/>
      <c r="Z21" s="33"/>
      <c r="AA21" s="33"/>
      <c r="AB21" s="33"/>
      <c r="AC21" s="33"/>
      <c r="AD21" s="33"/>
      <c r="AE21" s="33"/>
      <c r="AF2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13000</v>
      </c>
      <c r="AG21" s="33">
        <f>Programacion[[#This Row],[ENERO]]+Programacion[[#This Row],[FEBRERO]]+Programacion[[#This Row],[MARZO]]</f>
        <v>0</v>
      </c>
      <c r="AH21" s="33">
        <f>Programacion[[#This Row],[DEVENGADO ENERO]]+Programacion[[#This Row],[DEVENGADO FEBRERO]]+Programacion[[#This Row],[DEVENGADO MARZO]]</f>
        <v>0</v>
      </c>
      <c r="AI21" s="33">
        <f>Programacion[[#This Row],[ABRIL]]+Programacion[[#This Row],[MAYO]]+Programacion[[#This Row],[JUNIO]]</f>
        <v>0</v>
      </c>
      <c r="AJ21" s="33">
        <f>Programacion[[#This Row],[DEVENGADO ABRIL]]+Programacion[[#This Row],[DEVENGADO MAYO]]+Programacion[[#This Row],[DEVENGADO JUNIO]]</f>
        <v>0</v>
      </c>
      <c r="AK21" s="33">
        <f>Programacion[[#This Row],[JULIO]]+Programacion[[#This Row],[AGOSTO]]+Programacion[[#This Row],[SEPTIEMBRE]]</f>
        <v>13000</v>
      </c>
      <c r="AL21" s="33">
        <f>Programacion[[#This Row],[DEVENGADO JULIO]]+Programacion[[#This Row],[DEVENGADO AGOSTO]]+Programacion[[#This Row],[DEVENGADO SEPTIEMBRE]]</f>
        <v>0</v>
      </c>
      <c r="AM21" s="33">
        <f>Programacion[[#This Row],[OCTUBRE]]+Programacion[[#This Row],[NOVIEMBRE]]+Programacion[[#This Row],[DICIEMBRE]]</f>
        <v>0</v>
      </c>
      <c r="AN21" s="21">
        <f>Programacion[[#This Row],[DEVENGADO OCTUBRE]]+Programacion[[#This Row],[DEVENGADO NOVIEMBRE]]+Programacion[[#This Row],[DEVENGADO DICIEMBRE]]</f>
        <v>0</v>
      </c>
      <c r="AO21" s="21">
        <f>Programacion[[#This Row],[ENERO]]+Programacion[[#This Row],[FEBRERO]]+Programacion[[#This Row],[MARZO]]+Programacion[[#This Row],[ABRIL]]+Programacion[[#This Row],[MAYO]]+Programacion[[#This Row],[JUNIO]]</f>
        <v>0</v>
      </c>
      <c r="AP2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" s="21">
        <f>Programacion[[#This Row],[JULIO]]+Programacion[[#This Row],[AGOSTO]]+Programacion[[#This Row],[SEPTIEMBRE]]+Programacion[[#This Row],[OCTUBRE]]+Programacion[[#This Row],[NOVIEMBRE]]+Programacion[[#This Row],[DICIEMBRE]]</f>
        <v>13000</v>
      </c>
      <c r="AR2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" s="116"/>
    </row>
    <row r="22" spans="1:46" x14ac:dyDescent="0.25">
      <c r="A22" s="118" t="s">
        <v>45</v>
      </c>
      <c r="B22" s="121" t="s">
        <v>50</v>
      </c>
      <c r="C22" s="118" t="s">
        <v>249</v>
      </c>
      <c r="D22" s="119" t="s">
        <v>48</v>
      </c>
      <c r="E22" s="120">
        <v>39</v>
      </c>
      <c r="F22" s="120">
        <v>23</v>
      </c>
      <c r="G22" s="119" t="s">
        <v>51</v>
      </c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>
        <v>7020</v>
      </c>
      <c r="Y22" s="33"/>
      <c r="Z22" s="33"/>
      <c r="AA22" s="33"/>
      <c r="AB22" s="33"/>
      <c r="AC22" s="33"/>
      <c r="AD22" s="33"/>
      <c r="AE22" s="33"/>
      <c r="AF2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7020</v>
      </c>
      <c r="AG22" s="33">
        <f>Programacion[[#This Row],[ENERO]]+Programacion[[#This Row],[FEBRERO]]+Programacion[[#This Row],[MARZO]]</f>
        <v>0</v>
      </c>
      <c r="AH22" s="33">
        <f>Programacion[[#This Row],[DEVENGADO ENERO]]+Programacion[[#This Row],[DEVENGADO FEBRERO]]+Programacion[[#This Row],[DEVENGADO MARZO]]</f>
        <v>0</v>
      </c>
      <c r="AI22" s="33">
        <f>Programacion[[#This Row],[ABRIL]]+Programacion[[#This Row],[MAYO]]+Programacion[[#This Row],[JUNIO]]</f>
        <v>0</v>
      </c>
      <c r="AJ22" s="33">
        <f>Programacion[[#This Row],[DEVENGADO ABRIL]]+Programacion[[#This Row],[DEVENGADO MAYO]]+Programacion[[#This Row],[DEVENGADO JUNIO]]</f>
        <v>0</v>
      </c>
      <c r="AK22" s="33">
        <f>Programacion[[#This Row],[JULIO]]+Programacion[[#This Row],[AGOSTO]]+Programacion[[#This Row],[SEPTIEMBRE]]</f>
        <v>7020</v>
      </c>
      <c r="AL22" s="33">
        <f>Programacion[[#This Row],[DEVENGADO JULIO]]+Programacion[[#This Row],[DEVENGADO AGOSTO]]+Programacion[[#This Row],[DEVENGADO SEPTIEMBRE]]</f>
        <v>0</v>
      </c>
      <c r="AM22" s="33">
        <f>Programacion[[#This Row],[OCTUBRE]]+Programacion[[#This Row],[NOVIEMBRE]]+Programacion[[#This Row],[DICIEMBRE]]</f>
        <v>0</v>
      </c>
      <c r="AN22" s="21">
        <f>Programacion[[#This Row],[DEVENGADO OCTUBRE]]+Programacion[[#This Row],[DEVENGADO NOVIEMBRE]]+Programacion[[#This Row],[DEVENGADO DICIEMBRE]]</f>
        <v>0</v>
      </c>
      <c r="AO22" s="21">
        <f>Programacion[[#This Row],[ENERO]]+Programacion[[#This Row],[FEBRERO]]+Programacion[[#This Row],[MARZO]]+Programacion[[#This Row],[ABRIL]]+Programacion[[#This Row],[MAYO]]+Programacion[[#This Row],[JUNIO]]</f>
        <v>0</v>
      </c>
      <c r="AP2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" s="21">
        <f>Programacion[[#This Row],[JULIO]]+Programacion[[#This Row],[AGOSTO]]+Programacion[[#This Row],[SEPTIEMBRE]]+Programacion[[#This Row],[OCTUBRE]]+Programacion[[#This Row],[NOVIEMBRE]]+Programacion[[#This Row],[DICIEMBRE]]</f>
        <v>7020</v>
      </c>
      <c r="AR2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2" s="116"/>
    </row>
    <row r="23" spans="1:46" ht="30" x14ac:dyDescent="0.25">
      <c r="A23" s="11" t="s">
        <v>45</v>
      </c>
      <c r="B23" s="12" t="s">
        <v>55</v>
      </c>
      <c r="C23" s="13" t="s">
        <v>56</v>
      </c>
      <c r="D23" s="14" t="s">
        <v>48</v>
      </c>
      <c r="E23" s="15">
        <v>39</v>
      </c>
      <c r="F23" s="16">
        <v>2.2999999999999998</v>
      </c>
      <c r="G23" s="14" t="s">
        <v>57</v>
      </c>
      <c r="H23" s="17"/>
      <c r="I23" s="17"/>
      <c r="J23" s="17">
        <v>5000</v>
      </c>
      <c r="K23" s="17">
        <v>5000</v>
      </c>
      <c r="L23" s="17">
        <v>5000</v>
      </c>
      <c r="M23" s="17">
        <v>5000</v>
      </c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23" s="19">
        <f>Programacion[[#This Row],[ENERO]]+Programacion[[#This Row],[FEBRERO]]+Programacion[[#This Row],[MARZO]]</f>
        <v>10000</v>
      </c>
      <c r="AH23" s="19">
        <f>Programacion[[#This Row],[DEVENGADO ENERO]]+Programacion[[#This Row],[DEVENGADO FEBRERO]]+Programacion[[#This Row],[DEVENGADO MARZO]]</f>
        <v>10000</v>
      </c>
      <c r="AI23" s="19">
        <f>Programacion[[#This Row],[ABRIL]]+Programacion[[#This Row],[MAYO]]+Programacion[[#This Row],[JUNIO]]</f>
        <v>0</v>
      </c>
      <c r="AJ23" s="19">
        <f>Programacion[[#This Row],[DEVENGADO ABRIL]]+Programacion[[#This Row],[DEVENGADO MAYO]]+Programacion[[#This Row],[DEVENGADO JUNIO]]</f>
        <v>0</v>
      </c>
      <c r="AK23" s="19">
        <f>Programacion[[#This Row],[JULIO]]+Programacion[[#This Row],[AGOSTO]]+Programacion[[#This Row],[SEPTIEMBRE]]</f>
        <v>0</v>
      </c>
      <c r="AL23" s="19">
        <f>Programacion[[#This Row],[DEVENGADO JULIO]]+Programacion[[#This Row],[DEVENGADO AGOSTO]]+Programacion[[#This Row],[DEVENGADO SEPTIEMBRE]]</f>
        <v>0</v>
      </c>
      <c r="AM23" s="19">
        <f>Programacion[[#This Row],[OCTUBRE]]+Programacion[[#This Row],[NOVIEMBRE]]+Programacion[[#This Row],[DICIEMBRE]]</f>
        <v>0</v>
      </c>
      <c r="AN23" s="20">
        <f>Programacion[[#This Row],[DEVENGADO OCTUBRE]]+Programacion[[#This Row],[DEVENGADO NOVIEMBRE]]+Programacion[[#This Row],[DEVENGADO DICIEMBRE]]</f>
        <v>0</v>
      </c>
      <c r="AO23" s="20">
        <f>Programacion[[#This Row],[ENERO]]+Programacion[[#This Row],[FEBRERO]]+Programacion[[#This Row],[MARZO]]+Programacion[[#This Row],[ABRIL]]+Programacion[[#This Row],[MAYO]]+Programacion[[#This Row],[JUNIO]]</f>
        <v>10000</v>
      </c>
      <c r="AP2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10000</v>
      </c>
      <c r="AQ2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23" s="116"/>
    </row>
    <row r="24" spans="1:46" ht="30" x14ac:dyDescent="0.25">
      <c r="A24" s="11" t="s">
        <v>45</v>
      </c>
      <c r="B24" s="12" t="s">
        <v>55</v>
      </c>
      <c r="C24" s="13" t="s">
        <v>56</v>
      </c>
      <c r="D24" s="14" t="s">
        <v>48</v>
      </c>
      <c r="E24" s="15">
        <v>3</v>
      </c>
      <c r="F24" s="16">
        <v>2.2999999999999998</v>
      </c>
      <c r="G24" s="14" t="s">
        <v>57</v>
      </c>
      <c r="H24" s="17"/>
      <c r="I24" s="17"/>
      <c r="J24" s="17"/>
      <c r="K24" s="17"/>
      <c r="L24" s="17"/>
      <c r="M24" s="17"/>
      <c r="N24" s="17">
        <v>5000</v>
      </c>
      <c r="O24" s="17">
        <v>5000</v>
      </c>
      <c r="P24" s="17">
        <v>5000</v>
      </c>
      <c r="Q24" s="17">
        <v>5000</v>
      </c>
      <c r="R24" s="17">
        <v>10000</v>
      </c>
      <c r="S24" s="17">
        <v>10000</v>
      </c>
      <c r="T24" s="17">
        <v>5000</v>
      </c>
      <c r="U24" s="17">
        <v>5000</v>
      </c>
      <c r="V24" s="17">
        <v>5000</v>
      </c>
      <c r="W24" s="17"/>
      <c r="X24" s="17">
        <v>5000</v>
      </c>
      <c r="Y24" s="17"/>
      <c r="Z24" s="17">
        <v>5000</v>
      </c>
      <c r="AA24" s="17"/>
      <c r="AB24" s="17"/>
      <c r="AC24" s="17"/>
      <c r="AD24" s="17"/>
      <c r="AE24" s="17"/>
      <c r="AF2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24" s="19">
        <f>Programacion[[#This Row],[ENERO]]+Programacion[[#This Row],[FEBRERO]]+Programacion[[#This Row],[MARZO]]</f>
        <v>0</v>
      </c>
      <c r="AH24" s="19">
        <f>Programacion[[#This Row],[DEVENGADO ENERO]]+Programacion[[#This Row],[DEVENGADO FEBRERO]]+Programacion[[#This Row],[DEVENGADO MARZO]]</f>
        <v>0</v>
      </c>
      <c r="AI24" s="19">
        <f>Programacion[[#This Row],[ABRIL]]+Programacion[[#This Row],[MAYO]]+Programacion[[#This Row],[JUNIO]]</f>
        <v>20000</v>
      </c>
      <c r="AJ24" s="19">
        <f>Programacion[[#This Row],[DEVENGADO ABRIL]]+Programacion[[#This Row],[DEVENGADO MAYO]]+Programacion[[#This Row],[DEVENGADO JUNIO]]</f>
        <v>20000</v>
      </c>
      <c r="AK24" s="19">
        <f>Programacion[[#This Row],[JULIO]]+Programacion[[#This Row],[AGOSTO]]+Programacion[[#This Row],[SEPTIEMBRE]]</f>
        <v>15000</v>
      </c>
      <c r="AL24" s="19">
        <f>Programacion[[#This Row],[DEVENGADO JULIO]]+Programacion[[#This Row],[DEVENGADO AGOSTO]]+Programacion[[#This Row],[DEVENGADO SEPTIEMBRE]]</f>
        <v>5000</v>
      </c>
      <c r="AM24" s="19">
        <f>Programacion[[#This Row],[OCTUBRE]]+Programacion[[#This Row],[NOVIEMBRE]]+Programacion[[#This Row],[DICIEMBRE]]</f>
        <v>5000</v>
      </c>
      <c r="AN24" s="20">
        <f>Programacion[[#This Row],[DEVENGADO OCTUBRE]]+Programacion[[#This Row],[DEVENGADO NOVIEMBRE]]+Programacion[[#This Row],[DEVENGADO DICIEMBRE]]</f>
        <v>0</v>
      </c>
      <c r="AO24" s="20">
        <f>Programacion[[#This Row],[ENERO]]+Programacion[[#This Row],[FEBRERO]]+Programacion[[#This Row],[MARZO]]+Programacion[[#This Row],[ABRIL]]+Programacion[[#This Row],[MAYO]]+Programacion[[#This Row],[JUNIO]]</f>
        <v>20000</v>
      </c>
      <c r="AP2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24" s="2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2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2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24" s="116"/>
    </row>
    <row r="25" spans="1:46" x14ac:dyDescent="0.25">
      <c r="A25" s="11" t="s">
        <v>45</v>
      </c>
      <c r="B25" s="12" t="s">
        <v>58</v>
      </c>
      <c r="C25" s="13" t="s">
        <v>56</v>
      </c>
      <c r="D25" s="14" t="s">
        <v>48</v>
      </c>
      <c r="E25" s="15">
        <v>39</v>
      </c>
      <c r="F25" s="16">
        <v>2.2999999999999998</v>
      </c>
      <c r="G25" s="14" t="s">
        <v>57</v>
      </c>
      <c r="H25" s="17"/>
      <c r="I25" s="17"/>
      <c r="J25" s="17">
        <v>5760</v>
      </c>
      <c r="K25" s="17">
        <v>5760</v>
      </c>
      <c r="L25" s="17">
        <v>5760</v>
      </c>
      <c r="M25" s="17">
        <v>5760</v>
      </c>
      <c r="N25" s="17">
        <v>5760</v>
      </c>
      <c r="O25" s="17">
        <v>5760</v>
      </c>
      <c r="P25" s="17">
        <v>12240</v>
      </c>
      <c r="Q25" s="17">
        <v>12240</v>
      </c>
      <c r="R25" s="17">
        <v>6480</v>
      </c>
      <c r="S25" s="17">
        <v>6480</v>
      </c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25" s="19">
        <f>Programacion[[#This Row],[ENERO]]+Programacion[[#This Row],[FEBRERO]]+Programacion[[#This Row],[MARZO]]</f>
        <v>11520</v>
      </c>
      <c r="AH25" s="19">
        <f>Programacion[[#This Row],[DEVENGADO ENERO]]+Programacion[[#This Row],[DEVENGADO FEBRERO]]+Programacion[[#This Row],[DEVENGADO MARZO]]</f>
        <v>11520</v>
      </c>
      <c r="AI25" s="19">
        <f>Programacion[[#This Row],[ABRIL]]+Programacion[[#This Row],[MAYO]]+Programacion[[#This Row],[JUNIO]]</f>
        <v>24480</v>
      </c>
      <c r="AJ25" s="19">
        <f>Programacion[[#This Row],[DEVENGADO ABRIL]]+Programacion[[#This Row],[DEVENGADO MAYO]]+Programacion[[#This Row],[DEVENGADO JUNIO]]</f>
        <v>24480</v>
      </c>
      <c r="AK25" s="19">
        <f>Programacion[[#This Row],[JULIO]]+Programacion[[#This Row],[AGOSTO]]+Programacion[[#This Row],[SEPTIEMBRE]]</f>
        <v>0</v>
      </c>
      <c r="AL25" s="19">
        <f>Programacion[[#This Row],[DEVENGADO JULIO]]+Programacion[[#This Row],[DEVENGADO AGOSTO]]+Programacion[[#This Row],[DEVENGADO SEPTIEMBRE]]</f>
        <v>0</v>
      </c>
      <c r="AM25" s="19">
        <f>Programacion[[#This Row],[OCTUBRE]]+Programacion[[#This Row],[NOVIEMBRE]]+Programacion[[#This Row],[DICIEMBRE]]</f>
        <v>0</v>
      </c>
      <c r="AN25" s="20">
        <f>Programacion[[#This Row],[DEVENGADO OCTUBRE]]+Programacion[[#This Row],[DEVENGADO NOVIEMBRE]]+Programacion[[#This Row],[DEVENGADO DICIEMBRE]]</f>
        <v>0</v>
      </c>
      <c r="AO25" s="20">
        <f>Programacion[[#This Row],[ENERO]]+Programacion[[#This Row],[FEBRERO]]+Programacion[[#This Row],[MARZO]]+Programacion[[#This Row],[ABRIL]]+Programacion[[#This Row],[MAYO]]+Programacion[[#This Row],[JUNIO]]</f>
        <v>36000</v>
      </c>
      <c r="AP2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36000</v>
      </c>
      <c r="AQ2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36000</v>
      </c>
      <c r="AT25" s="116"/>
    </row>
    <row r="26" spans="1:46" x14ac:dyDescent="0.25">
      <c r="A26" s="11" t="s">
        <v>45</v>
      </c>
      <c r="B26" s="12" t="s">
        <v>59</v>
      </c>
      <c r="C26" s="13" t="s">
        <v>56</v>
      </c>
      <c r="D26" s="14" t="s">
        <v>48</v>
      </c>
      <c r="E26" s="15">
        <v>3</v>
      </c>
      <c r="F26" s="16">
        <v>2.2999999999999998</v>
      </c>
      <c r="G26" s="14" t="s">
        <v>57</v>
      </c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>
        <v>6000</v>
      </c>
      <c r="U26" s="17">
        <v>6000</v>
      </c>
      <c r="V26" s="17">
        <v>6000</v>
      </c>
      <c r="W26" s="17"/>
      <c r="X26" s="17">
        <v>6000</v>
      </c>
      <c r="Y26" s="17"/>
      <c r="Z26" s="17">
        <v>6000</v>
      </c>
      <c r="AA26" s="17"/>
      <c r="AB26" s="17">
        <v>6000</v>
      </c>
      <c r="AC26" s="17"/>
      <c r="AD26" s="17">
        <v>6000</v>
      </c>
      <c r="AE26" s="17"/>
      <c r="AF2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26" s="19">
        <f>Programacion[[#This Row],[ENERO]]+Programacion[[#This Row],[FEBRERO]]+Programacion[[#This Row],[MARZO]]</f>
        <v>0</v>
      </c>
      <c r="AH26" s="19">
        <f>Programacion[[#This Row],[DEVENGADO ENERO]]+Programacion[[#This Row],[DEVENGADO FEBRERO]]+Programacion[[#This Row],[DEVENGADO MARZO]]</f>
        <v>0</v>
      </c>
      <c r="AI26" s="19">
        <f>Programacion[[#This Row],[ABRIL]]+Programacion[[#This Row],[MAYO]]+Programacion[[#This Row],[JUNIO]]</f>
        <v>0</v>
      </c>
      <c r="AJ26" s="19">
        <f>Programacion[[#This Row],[DEVENGADO ABRIL]]+Programacion[[#This Row],[DEVENGADO MAYO]]+Programacion[[#This Row],[DEVENGADO JUNIO]]</f>
        <v>0</v>
      </c>
      <c r="AK26" s="19">
        <f>Programacion[[#This Row],[JULIO]]+Programacion[[#This Row],[AGOSTO]]+Programacion[[#This Row],[SEPTIEMBRE]]</f>
        <v>18000</v>
      </c>
      <c r="AL26" s="19">
        <f>Programacion[[#This Row],[DEVENGADO JULIO]]+Programacion[[#This Row],[DEVENGADO AGOSTO]]+Programacion[[#This Row],[DEVENGADO SEPTIEMBRE]]</f>
        <v>6000</v>
      </c>
      <c r="AM26" s="19">
        <f>Programacion[[#This Row],[OCTUBRE]]+Programacion[[#This Row],[NOVIEMBRE]]+Programacion[[#This Row],[DICIEMBRE]]</f>
        <v>18000</v>
      </c>
      <c r="AN26" s="20">
        <f>Programacion[[#This Row],[DEVENGADO OCTUBRE]]+Programacion[[#This Row],[DEVENGADO NOVIEMBRE]]+Programacion[[#This Row],[DEVENGADO DICIEMBRE]]</f>
        <v>0</v>
      </c>
      <c r="AO26" s="20">
        <f>Programacion[[#This Row],[ENERO]]+Programacion[[#This Row],[FEBRERO]]+Programacion[[#This Row],[MARZO]]+Programacion[[#This Row],[ABRIL]]+Programacion[[#This Row],[MAYO]]+Programacion[[#This Row],[JUNIO]]</f>
        <v>0</v>
      </c>
      <c r="AP2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" s="20">
        <f>Programacion[[#This Row],[JULIO]]+Programacion[[#This Row],[AGOSTO]]+Programacion[[#This Row],[SEPTIEMBRE]]+Programacion[[#This Row],[OCTUBRE]]+Programacion[[#This Row],[NOVIEMBRE]]+Programacion[[#This Row],[DICIEMBRE]]</f>
        <v>36000</v>
      </c>
      <c r="AR2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2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26" s="116"/>
    </row>
    <row r="27" spans="1:46" x14ac:dyDescent="0.25">
      <c r="A27" s="11" t="s">
        <v>45</v>
      </c>
      <c r="B27" s="12" t="s">
        <v>60</v>
      </c>
      <c r="C27" s="13" t="s">
        <v>56</v>
      </c>
      <c r="D27" s="14" t="s">
        <v>48</v>
      </c>
      <c r="E27" s="15">
        <v>39</v>
      </c>
      <c r="F27" s="16">
        <v>2.2999999999999998</v>
      </c>
      <c r="G27" s="14" t="s">
        <v>57</v>
      </c>
      <c r="H27" s="17"/>
      <c r="I27" s="17"/>
      <c r="J27" s="17">
        <v>4320</v>
      </c>
      <c r="K27" s="17">
        <v>4320</v>
      </c>
      <c r="L27" s="17">
        <v>4320</v>
      </c>
      <c r="M27" s="17">
        <v>4320</v>
      </c>
      <c r="N27" s="17">
        <v>4320</v>
      </c>
      <c r="O27" s="17">
        <v>4320</v>
      </c>
      <c r="P27" s="17">
        <v>9180</v>
      </c>
      <c r="Q27" s="17">
        <v>9180</v>
      </c>
      <c r="R27" s="17">
        <v>4860</v>
      </c>
      <c r="S27" s="17">
        <v>4860</v>
      </c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27000</v>
      </c>
      <c r="AG27" s="19">
        <f>Programacion[[#This Row],[ENERO]]+Programacion[[#This Row],[FEBRERO]]+Programacion[[#This Row],[MARZO]]</f>
        <v>8640</v>
      </c>
      <c r="AH27" s="19">
        <f>Programacion[[#This Row],[DEVENGADO ENERO]]+Programacion[[#This Row],[DEVENGADO FEBRERO]]+Programacion[[#This Row],[DEVENGADO MARZO]]</f>
        <v>8640</v>
      </c>
      <c r="AI27" s="19">
        <f>Programacion[[#This Row],[ABRIL]]+Programacion[[#This Row],[MAYO]]+Programacion[[#This Row],[JUNIO]]</f>
        <v>18360</v>
      </c>
      <c r="AJ27" s="19">
        <f>Programacion[[#This Row],[DEVENGADO ABRIL]]+Programacion[[#This Row],[DEVENGADO MAYO]]+Programacion[[#This Row],[DEVENGADO JUNIO]]</f>
        <v>18360</v>
      </c>
      <c r="AK27" s="19">
        <f>Programacion[[#This Row],[JULIO]]+Programacion[[#This Row],[AGOSTO]]+Programacion[[#This Row],[SEPTIEMBRE]]</f>
        <v>0</v>
      </c>
      <c r="AL27" s="19">
        <f>Programacion[[#This Row],[DEVENGADO JULIO]]+Programacion[[#This Row],[DEVENGADO AGOSTO]]+Programacion[[#This Row],[DEVENGADO SEPTIEMBRE]]</f>
        <v>0</v>
      </c>
      <c r="AM27" s="19">
        <f>Programacion[[#This Row],[OCTUBRE]]+Programacion[[#This Row],[NOVIEMBRE]]+Programacion[[#This Row],[DICIEMBRE]]</f>
        <v>0</v>
      </c>
      <c r="AN27" s="20">
        <f>Programacion[[#This Row],[DEVENGADO OCTUBRE]]+Programacion[[#This Row],[DEVENGADO NOVIEMBRE]]+Programacion[[#This Row],[DEVENGADO DICIEMBRE]]</f>
        <v>0</v>
      </c>
      <c r="AO27" s="20">
        <f>Programacion[[#This Row],[ENERO]]+Programacion[[#This Row],[FEBRERO]]+Programacion[[#This Row],[MARZO]]+Programacion[[#This Row],[ABRIL]]+Programacion[[#This Row],[MAYO]]+Programacion[[#This Row],[JUNIO]]</f>
        <v>27000</v>
      </c>
      <c r="AP2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27000</v>
      </c>
      <c r="AQ2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27000</v>
      </c>
      <c r="AT27" s="116"/>
    </row>
    <row r="28" spans="1:46" ht="30" x14ac:dyDescent="0.25">
      <c r="A28" s="11" t="s">
        <v>45</v>
      </c>
      <c r="B28" s="12" t="s">
        <v>61</v>
      </c>
      <c r="C28" s="13" t="s">
        <v>56</v>
      </c>
      <c r="D28" s="14" t="s">
        <v>48</v>
      </c>
      <c r="E28" s="15">
        <v>3</v>
      </c>
      <c r="F28" s="16">
        <v>2.2999999999999998</v>
      </c>
      <c r="G28" s="14" t="s">
        <v>57</v>
      </c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>
        <v>4000</v>
      </c>
      <c r="U28" s="17">
        <v>4000</v>
      </c>
      <c r="V28" s="17">
        <v>4000</v>
      </c>
      <c r="W28" s="17"/>
      <c r="X28" s="17">
        <v>4000</v>
      </c>
      <c r="Y28" s="17"/>
      <c r="Z28" s="17">
        <v>4000</v>
      </c>
      <c r="AA28" s="17"/>
      <c r="AB28" s="17">
        <v>4000</v>
      </c>
      <c r="AC28" s="17"/>
      <c r="AD28" s="17">
        <v>4000</v>
      </c>
      <c r="AE28" s="17"/>
      <c r="AF2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8" s="19">
        <f>Programacion[[#This Row],[ENERO]]+Programacion[[#This Row],[FEBRERO]]+Programacion[[#This Row],[MARZO]]</f>
        <v>0</v>
      </c>
      <c r="AH28" s="19">
        <f>Programacion[[#This Row],[DEVENGADO ENERO]]+Programacion[[#This Row],[DEVENGADO FEBRERO]]+Programacion[[#This Row],[DEVENGADO MARZO]]</f>
        <v>0</v>
      </c>
      <c r="AI28" s="19">
        <f>Programacion[[#This Row],[ABRIL]]+Programacion[[#This Row],[MAYO]]+Programacion[[#This Row],[JUNIO]]</f>
        <v>0</v>
      </c>
      <c r="AJ28" s="19">
        <f>Programacion[[#This Row],[DEVENGADO ABRIL]]+Programacion[[#This Row],[DEVENGADO MAYO]]+Programacion[[#This Row],[DEVENGADO JUNIO]]</f>
        <v>0</v>
      </c>
      <c r="AK28" s="19">
        <f>Programacion[[#This Row],[JULIO]]+Programacion[[#This Row],[AGOSTO]]+Programacion[[#This Row],[SEPTIEMBRE]]</f>
        <v>12000</v>
      </c>
      <c r="AL28" s="19">
        <f>Programacion[[#This Row],[DEVENGADO JULIO]]+Programacion[[#This Row],[DEVENGADO AGOSTO]]+Programacion[[#This Row],[DEVENGADO SEPTIEMBRE]]</f>
        <v>4000</v>
      </c>
      <c r="AM28" s="19">
        <f>Programacion[[#This Row],[OCTUBRE]]+Programacion[[#This Row],[NOVIEMBRE]]+Programacion[[#This Row],[DICIEMBRE]]</f>
        <v>12000</v>
      </c>
      <c r="AN28" s="20">
        <f>Programacion[[#This Row],[DEVENGADO OCTUBRE]]+Programacion[[#This Row],[DEVENGADO NOVIEMBRE]]+Programacion[[#This Row],[DEVENGADO DICIEMBRE]]</f>
        <v>0</v>
      </c>
      <c r="AO28" s="20">
        <f>Programacion[[#This Row],[ENERO]]+Programacion[[#This Row],[FEBRERO]]+Programacion[[#This Row],[MARZO]]+Programacion[[#This Row],[ABRIL]]+Programacion[[#This Row],[MAYO]]+Programacion[[#This Row],[JUNIO]]</f>
        <v>0</v>
      </c>
      <c r="AP2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8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2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28" s="116"/>
    </row>
    <row r="29" spans="1:46" ht="30" x14ac:dyDescent="0.25">
      <c r="A29" s="11" t="s">
        <v>45</v>
      </c>
      <c r="B29" s="12" t="s">
        <v>62</v>
      </c>
      <c r="C29" s="13" t="s">
        <v>56</v>
      </c>
      <c r="D29" s="14" t="s">
        <v>48</v>
      </c>
      <c r="E29" s="15">
        <v>39</v>
      </c>
      <c r="F29" s="16">
        <v>2.2999999999999998</v>
      </c>
      <c r="G29" s="14" t="s">
        <v>57</v>
      </c>
      <c r="H29" s="17"/>
      <c r="I29" s="17"/>
      <c r="J29" s="17">
        <v>3840</v>
      </c>
      <c r="K29" s="17">
        <v>3840</v>
      </c>
      <c r="L29" s="17">
        <v>3840</v>
      </c>
      <c r="M29" s="17">
        <v>3840</v>
      </c>
      <c r="N29" s="17">
        <v>3840</v>
      </c>
      <c r="O29" s="17">
        <v>3840</v>
      </c>
      <c r="P29" s="17">
        <v>8160</v>
      </c>
      <c r="Q29" s="17">
        <v>8160</v>
      </c>
      <c r="R29" s="17">
        <v>4320</v>
      </c>
      <c r="S29" s="17">
        <v>4320</v>
      </c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9" s="19">
        <f>Programacion[[#This Row],[ENERO]]+Programacion[[#This Row],[FEBRERO]]+Programacion[[#This Row],[MARZO]]</f>
        <v>7680</v>
      </c>
      <c r="AH29" s="19">
        <f>Programacion[[#This Row],[DEVENGADO ENERO]]+Programacion[[#This Row],[DEVENGADO FEBRERO]]+Programacion[[#This Row],[DEVENGADO MARZO]]</f>
        <v>7680</v>
      </c>
      <c r="AI29" s="19">
        <f>Programacion[[#This Row],[ABRIL]]+Programacion[[#This Row],[MAYO]]+Programacion[[#This Row],[JUNIO]]</f>
        <v>16320</v>
      </c>
      <c r="AJ29" s="19">
        <f>Programacion[[#This Row],[DEVENGADO ABRIL]]+Programacion[[#This Row],[DEVENGADO MAYO]]+Programacion[[#This Row],[DEVENGADO JUNIO]]</f>
        <v>16320</v>
      </c>
      <c r="AK29" s="19">
        <f>Programacion[[#This Row],[JULIO]]+Programacion[[#This Row],[AGOSTO]]+Programacion[[#This Row],[SEPTIEMBRE]]</f>
        <v>0</v>
      </c>
      <c r="AL29" s="19">
        <f>Programacion[[#This Row],[DEVENGADO JULIO]]+Programacion[[#This Row],[DEVENGADO AGOSTO]]+Programacion[[#This Row],[DEVENGADO SEPTIEMBRE]]</f>
        <v>0</v>
      </c>
      <c r="AM29" s="19">
        <f>Programacion[[#This Row],[OCTUBRE]]+Programacion[[#This Row],[NOVIEMBRE]]+Programacion[[#This Row],[DICIEMBRE]]</f>
        <v>0</v>
      </c>
      <c r="AN29" s="20">
        <f>Programacion[[#This Row],[DEVENGADO OCTUBRE]]+Programacion[[#This Row],[DEVENGADO NOVIEMBRE]]+Programacion[[#This Row],[DEVENGADO DICIEMBRE]]</f>
        <v>0</v>
      </c>
      <c r="AO29" s="20">
        <f>Programacion[[#This Row],[ENERO]]+Programacion[[#This Row],[FEBRERO]]+Programacion[[#This Row],[MARZO]]+Programacion[[#This Row],[ABRIL]]+Programacion[[#This Row],[MAYO]]+Programacion[[#This Row],[JUNIO]]</f>
        <v>24000</v>
      </c>
      <c r="AP2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24000</v>
      </c>
      <c r="AQ2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29" s="116"/>
    </row>
    <row r="30" spans="1:46" x14ac:dyDescent="0.25">
      <c r="A30" s="11" t="s">
        <v>45</v>
      </c>
      <c r="B30" s="12" t="s">
        <v>63</v>
      </c>
      <c r="C30" s="13" t="s">
        <v>56</v>
      </c>
      <c r="D30" s="14" t="s">
        <v>48</v>
      </c>
      <c r="E30" s="15">
        <v>3</v>
      </c>
      <c r="F30" s="16">
        <v>2.2999999999999998</v>
      </c>
      <c r="G30" s="14" t="s">
        <v>57</v>
      </c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>
        <v>4000</v>
      </c>
      <c r="U30" s="17">
        <v>4000</v>
      </c>
      <c r="V30" s="17">
        <v>4000</v>
      </c>
      <c r="W30" s="17"/>
      <c r="X30" s="17">
        <v>4000</v>
      </c>
      <c r="Y30" s="17"/>
      <c r="Z30" s="17">
        <v>4000</v>
      </c>
      <c r="AA30" s="17"/>
      <c r="AB30" s="17">
        <v>4000</v>
      </c>
      <c r="AC30" s="17"/>
      <c r="AD30" s="17">
        <v>4000</v>
      </c>
      <c r="AE30" s="17"/>
      <c r="AF3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30" s="19">
        <f>Programacion[[#This Row],[ENERO]]+Programacion[[#This Row],[FEBRERO]]+Programacion[[#This Row],[MARZO]]</f>
        <v>0</v>
      </c>
      <c r="AH30" s="19">
        <f>Programacion[[#This Row],[DEVENGADO ENERO]]+Programacion[[#This Row],[DEVENGADO FEBRERO]]+Programacion[[#This Row],[DEVENGADO MARZO]]</f>
        <v>0</v>
      </c>
      <c r="AI30" s="19">
        <f>Programacion[[#This Row],[ABRIL]]+Programacion[[#This Row],[MAYO]]+Programacion[[#This Row],[JUNIO]]</f>
        <v>0</v>
      </c>
      <c r="AJ30" s="19">
        <f>Programacion[[#This Row],[DEVENGADO ABRIL]]+Programacion[[#This Row],[DEVENGADO MAYO]]+Programacion[[#This Row],[DEVENGADO JUNIO]]</f>
        <v>0</v>
      </c>
      <c r="AK30" s="19">
        <f>Programacion[[#This Row],[JULIO]]+Programacion[[#This Row],[AGOSTO]]+Programacion[[#This Row],[SEPTIEMBRE]]</f>
        <v>12000</v>
      </c>
      <c r="AL30" s="19">
        <f>Programacion[[#This Row],[DEVENGADO JULIO]]+Programacion[[#This Row],[DEVENGADO AGOSTO]]+Programacion[[#This Row],[DEVENGADO SEPTIEMBRE]]</f>
        <v>4000</v>
      </c>
      <c r="AM30" s="19">
        <f>Programacion[[#This Row],[OCTUBRE]]+Programacion[[#This Row],[NOVIEMBRE]]+Programacion[[#This Row],[DICIEMBRE]]</f>
        <v>12000</v>
      </c>
      <c r="AN30" s="20">
        <f>Programacion[[#This Row],[DEVENGADO OCTUBRE]]+Programacion[[#This Row],[DEVENGADO NOVIEMBRE]]+Programacion[[#This Row],[DEVENGADO DICIEMBRE]]</f>
        <v>0</v>
      </c>
      <c r="AO30" s="20">
        <f>Programacion[[#This Row],[ENERO]]+Programacion[[#This Row],[FEBRERO]]+Programacion[[#This Row],[MARZO]]+Programacion[[#This Row],[ABRIL]]+Programacion[[#This Row],[MAYO]]+Programacion[[#This Row],[JUNIO]]</f>
        <v>0</v>
      </c>
      <c r="AP3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0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3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3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30" s="116"/>
    </row>
    <row r="31" spans="1:46" ht="30" x14ac:dyDescent="0.25">
      <c r="A31" s="11" t="s">
        <v>45</v>
      </c>
      <c r="B31" s="12" t="s">
        <v>64</v>
      </c>
      <c r="C31" s="13" t="s">
        <v>65</v>
      </c>
      <c r="D31" s="14" t="s">
        <v>48</v>
      </c>
      <c r="E31" s="15">
        <v>39</v>
      </c>
      <c r="F31" s="16">
        <v>2.2999999999999998</v>
      </c>
      <c r="G31" s="14" t="s">
        <v>66</v>
      </c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>
        <v>15518.1</v>
      </c>
      <c r="AE31" s="17"/>
      <c r="AF3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15518.1</v>
      </c>
      <c r="AG31" s="19">
        <f>Programacion[[#This Row],[ENERO]]+Programacion[[#This Row],[FEBRERO]]+Programacion[[#This Row],[MARZO]]</f>
        <v>0</v>
      </c>
      <c r="AH31" s="19">
        <f>Programacion[[#This Row],[DEVENGADO ENERO]]+Programacion[[#This Row],[DEVENGADO FEBRERO]]+Programacion[[#This Row],[DEVENGADO MARZO]]</f>
        <v>0</v>
      </c>
      <c r="AI31" s="19">
        <f>Programacion[[#This Row],[ABRIL]]+Programacion[[#This Row],[MAYO]]+Programacion[[#This Row],[JUNIO]]</f>
        <v>0</v>
      </c>
      <c r="AJ31" s="19">
        <f>Programacion[[#This Row],[DEVENGADO ABRIL]]+Programacion[[#This Row],[DEVENGADO MAYO]]+Programacion[[#This Row],[DEVENGADO JUNIO]]</f>
        <v>0</v>
      </c>
      <c r="AK31" s="19">
        <f>Programacion[[#This Row],[JULIO]]+Programacion[[#This Row],[AGOSTO]]+Programacion[[#This Row],[SEPTIEMBRE]]</f>
        <v>0</v>
      </c>
      <c r="AL31" s="19">
        <f>Programacion[[#This Row],[DEVENGADO JULIO]]+Programacion[[#This Row],[DEVENGADO AGOSTO]]+Programacion[[#This Row],[DEVENGADO SEPTIEMBRE]]</f>
        <v>0</v>
      </c>
      <c r="AM31" s="19">
        <f>Programacion[[#This Row],[OCTUBRE]]+Programacion[[#This Row],[NOVIEMBRE]]+Programacion[[#This Row],[DICIEMBRE]]</f>
        <v>15518.1</v>
      </c>
      <c r="AN31" s="20">
        <f>Programacion[[#This Row],[DEVENGADO OCTUBRE]]+Programacion[[#This Row],[DEVENGADO NOVIEMBRE]]+Programacion[[#This Row],[DEVENGADO DICIEMBRE]]</f>
        <v>0</v>
      </c>
      <c r="AO31" s="20">
        <f>Programacion[[#This Row],[ENERO]]+Programacion[[#This Row],[FEBRERO]]+Programacion[[#This Row],[MARZO]]+Programacion[[#This Row],[ABRIL]]+Programacion[[#This Row],[MAYO]]+Programacion[[#This Row],[JUNIO]]</f>
        <v>0</v>
      </c>
      <c r="AP3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1" s="20">
        <f>Programacion[[#This Row],[JULIO]]+Programacion[[#This Row],[AGOSTO]]+Programacion[[#This Row],[SEPTIEMBRE]]+Programacion[[#This Row],[OCTUBRE]]+Programacion[[#This Row],[NOVIEMBRE]]+Programacion[[#This Row],[DICIEMBRE]]</f>
        <v>15518.1</v>
      </c>
      <c r="AR3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31" s="116"/>
    </row>
    <row r="32" spans="1:46" x14ac:dyDescent="0.25">
      <c r="A32" s="101" t="s">
        <v>45</v>
      </c>
      <c r="B32" s="102" t="s">
        <v>235</v>
      </c>
      <c r="C32" s="103" t="s">
        <v>192</v>
      </c>
      <c r="D32" s="103" t="s">
        <v>48</v>
      </c>
      <c r="E32" s="104">
        <v>39</v>
      </c>
      <c r="F32" s="105">
        <v>2.2999999999999998</v>
      </c>
      <c r="G32" s="103" t="s">
        <v>236</v>
      </c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>
        <v>2880</v>
      </c>
      <c r="S32" s="33"/>
      <c r="T32" s="33"/>
      <c r="U32" s="33">
        <v>2880</v>
      </c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2880</v>
      </c>
      <c r="AG32" s="33">
        <f>Programacion[[#This Row],[ENERO]]+Programacion[[#This Row],[FEBRERO]]+Programacion[[#This Row],[MARZO]]</f>
        <v>0</v>
      </c>
      <c r="AH32" s="33">
        <f>Programacion[[#This Row],[DEVENGADO ENERO]]+Programacion[[#This Row],[DEVENGADO FEBRERO]]+Programacion[[#This Row],[DEVENGADO MARZO]]</f>
        <v>0</v>
      </c>
      <c r="AI32" s="33">
        <f>Programacion[[#This Row],[ABRIL]]+Programacion[[#This Row],[MAYO]]+Programacion[[#This Row],[JUNIO]]</f>
        <v>2880</v>
      </c>
      <c r="AJ32" s="33">
        <f>Programacion[[#This Row],[DEVENGADO ABRIL]]+Programacion[[#This Row],[DEVENGADO MAYO]]+Programacion[[#This Row],[DEVENGADO JUNIO]]</f>
        <v>0</v>
      </c>
      <c r="AK32" s="33">
        <f>Programacion[[#This Row],[JULIO]]+Programacion[[#This Row],[AGOSTO]]+Programacion[[#This Row],[SEPTIEMBRE]]</f>
        <v>0</v>
      </c>
      <c r="AL32" s="33">
        <f>Programacion[[#This Row],[DEVENGADO JULIO]]+Programacion[[#This Row],[DEVENGADO AGOSTO]]+Programacion[[#This Row],[DEVENGADO SEPTIEMBRE]]</f>
        <v>2880</v>
      </c>
      <c r="AM32" s="33">
        <f>Programacion[[#This Row],[OCTUBRE]]+Programacion[[#This Row],[NOVIEMBRE]]+Programacion[[#This Row],[DICIEMBRE]]</f>
        <v>0</v>
      </c>
      <c r="AN32" s="21">
        <f>Programacion[[#This Row],[DEVENGADO OCTUBRE]]+Programacion[[#This Row],[DEVENGADO NOVIEMBRE]]+Programacion[[#This Row],[DEVENGADO DICIEMBRE]]</f>
        <v>0</v>
      </c>
      <c r="AO32" s="21">
        <f>Programacion[[#This Row],[ENERO]]+Programacion[[#This Row],[FEBRERO]]+Programacion[[#This Row],[MARZO]]+Programacion[[#This Row],[ABRIL]]+Programacion[[#This Row],[MAYO]]+Programacion[[#This Row],[JUNIO]]</f>
        <v>2880</v>
      </c>
      <c r="AP3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2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2880</v>
      </c>
      <c r="AS3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2880</v>
      </c>
      <c r="AT32" s="116"/>
    </row>
    <row r="33" spans="1:46" x14ac:dyDescent="0.25">
      <c r="A33" s="11" t="s">
        <v>45</v>
      </c>
      <c r="B33" s="12" t="s">
        <v>67</v>
      </c>
      <c r="C33" s="13" t="s">
        <v>65</v>
      </c>
      <c r="D33" s="14" t="s">
        <v>48</v>
      </c>
      <c r="E33" s="15">
        <v>39</v>
      </c>
      <c r="F33" s="16">
        <v>2.2999999999999998</v>
      </c>
      <c r="G33" s="14" t="s">
        <v>68</v>
      </c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>
        <v>11000</v>
      </c>
      <c r="S33" s="17"/>
      <c r="T33" s="17"/>
      <c r="U33" s="17">
        <v>11000</v>
      </c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11000</v>
      </c>
      <c r="AG33" s="19">
        <f>Programacion[[#This Row],[ENERO]]+Programacion[[#This Row],[FEBRERO]]+Programacion[[#This Row],[MARZO]]</f>
        <v>0</v>
      </c>
      <c r="AH33" s="19">
        <f>Programacion[[#This Row],[DEVENGADO ENERO]]+Programacion[[#This Row],[DEVENGADO FEBRERO]]+Programacion[[#This Row],[DEVENGADO MARZO]]</f>
        <v>0</v>
      </c>
      <c r="AI33" s="19">
        <f>Programacion[[#This Row],[ABRIL]]+Programacion[[#This Row],[MAYO]]+Programacion[[#This Row],[JUNIO]]</f>
        <v>11000</v>
      </c>
      <c r="AJ33" s="19">
        <f>Programacion[[#This Row],[DEVENGADO ABRIL]]+Programacion[[#This Row],[DEVENGADO MAYO]]+Programacion[[#This Row],[DEVENGADO JUNIO]]</f>
        <v>0</v>
      </c>
      <c r="AK33" s="19">
        <f>Programacion[[#This Row],[JULIO]]+Programacion[[#This Row],[AGOSTO]]+Programacion[[#This Row],[SEPTIEMBRE]]</f>
        <v>0</v>
      </c>
      <c r="AL33" s="19">
        <f>Programacion[[#This Row],[DEVENGADO JULIO]]+Programacion[[#This Row],[DEVENGADO AGOSTO]]+Programacion[[#This Row],[DEVENGADO SEPTIEMBRE]]</f>
        <v>11000</v>
      </c>
      <c r="AM33" s="19">
        <f>Programacion[[#This Row],[OCTUBRE]]+Programacion[[#This Row],[NOVIEMBRE]]+Programacion[[#This Row],[DICIEMBRE]]</f>
        <v>0</v>
      </c>
      <c r="AN33" s="20">
        <f>Programacion[[#This Row],[DEVENGADO OCTUBRE]]+Programacion[[#This Row],[DEVENGADO NOVIEMBRE]]+Programacion[[#This Row],[DEVENGADO DICIEMBRE]]</f>
        <v>0</v>
      </c>
      <c r="AO33" s="20">
        <f>Programacion[[#This Row],[ENERO]]+Programacion[[#This Row],[FEBRERO]]+Programacion[[#This Row],[MARZO]]+Programacion[[#This Row],[ABRIL]]+Programacion[[#This Row],[MAYO]]+Programacion[[#This Row],[JUNIO]]</f>
        <v>11000</v>
      </c>
      <c r="AP3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11000</v>
      </c>
      <c r="AS3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11000</v>
      </c>
      <c r="AT33" s="116"/>
    </row>
    <row r="34" spans="1:46" x14ac:dyDescent="0.25">
      <c r="A34" s="11" t="s">
        <v>45</v>
      </c>
      <c r="B34" s="12" t="s">
        <v>69</v>
      </c>
      <c r="C34" s="13" t="s">
        <v>65</v>
      </c>
      <c r="D34" s="14" t="s">
        <v>48</v>
      </c>
      <c r="E34" s="15">
        <v>39</v>
      </c>
      <c r="F34" s="16">
        <v>2.2999999999999998</v>
      </c>
      <c r="G34" s="14" t="s">
        <v>66</v>
      </c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>
        <v>26980</v>
      </c>
      <c r="W34" s="17"/>
      <c r="X34" s="17"/>
      <c r="Y34" s="17"/>
      <c r="Z34" s="17"/>
      <c r="AA34" s="17"/>
      <c r="AB34" s="17"/>
      <c r="AC34" s="17"/>
      <c r="AD34" s="17"/>
      <c r="AE34" s="17"/>
      <c r="AF3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26980</v>
      </c>
      <c r="AG34" s="19">
        <f>Programacion[[#This Row],[ENERO]]+Programacion[[#This Row],[FEBRERO]]+Programacion[[#This Row],[MARZO]]</f>
        <v>0</v>
      </c>
      <c r="AH34" s="19">
        <f>Programacion[[#This Row],[DEVENGADO ENERO]]+Programacion[[#This Row],[DEVENGADO FEBRERO]]+Programacion[[#This Row],[DEVENGADO MARZO]]</f>
        <v>0</v>
      </c>
      <c r="AI34" s="19">
        <f>Programacion[[#This Row],[ABRIL]]+Programacion[[#This Row],[MAYO]]+Programacion[[#This Row],[JUNIO]]</f>
        <v>0</v>
      </c>
      <c r="AJ34" s="19">
        <f>Programacion[[#This Row],[DEVENGADO ABRIL]]+Programacion[[#This Row],[DEVENGADO MAYO]]+Programacion[[#This Row],[DEVENGADO JUNIO]]</f>
        <v>0</v>
      </c>
      <c r="AK34" s="19">
        <f>Programacion[[#This Row],[JULIO]]+Programacion[[#This Row],[AGOSTO]]+Programacion[[#This Row],[SEPTIEMBRE]]</f>
        <v>26980</v>
      </c>
      <c r="AL34" s="19">
        <f>Programacion[[#This Row],[DEVENGADO JULIO]]+Programacion[[#This Row],[DEVENGADO AGOSTO]]+Programacion[[#This Row],[DEVENGADO SEPTIEMBRE]]</f>
        <v>0</v>
      </c>
      <c r="AM34" s="19">
        <f>Programacion[[#This Row],[OCTUBRE]]+Programacion[[#This Row],[NOVIEMBRE]]+Programacion[[#This Row],[DICIEMBRE]]</f>
        <v>0</v>
      </c>
      <c r="AN34" s="20">
        <f>Programacion[[#This Row],[DEVENGADO OCTUBRE]]+Programacion[[#This Row],[DEVENGADO NOVIEMBRE]]+Programacion[[#This Row],[DEVENGADO DICIEMBRE]]</f>
        <v>0</v>
      </c>
      <c r="AO34" s="20">
        <f>Programacion[[#This Row],[ENERO]]+Programacion[[#This Row],[FEBRERO]]+Programacion[[#This Row],[MARZO]]+Programacion[[#This Row],[ABRIL]]+Programacion[[#This Row],[MAYO]]+Programacion[[#This Row],[JUNIO]]</f>
        <v>0</v>
      </c>
      <c r="AP3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4" s="20">
        <f>Programacion[[#This Row],[JULIO]]+Programacion[[#This Row],[AGOSTO]]+Programacion[[#This Row],[SEPTIEMBRE]]+Programacion[[#This Row],[OCTUBRE]]+Programacion[[#This Row],[NOVIEMBRE]]+Programacion[[#This Row],[DICIEMBRE]]</f>
        <v>26980</v>
      </c>
      <c r="AR3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34" s="116"/>
    </row>
    <row r="35" spans="1:46" x14ac:dyDescent="0.25">
      <c r="A35" s="11" t="s">
        <v>45</v>
      </c>
      <c r="B35" s="12" t="s">
        <v>70</v>
      </c>
      <c r="C35" s="13" t="s">
        <v>56</v>
      </c>
      <c r="D35" s="14" t="s">
        <v>48</v>
      </c>
      <c r="E35" s="15">
        <v>31</v>
      </c>
      <c r="F35" s="16">
        <v>2.2999999999999998</v>
      </c>
      <c r="G35" s="14" t="s">
        <v>71</v>
      </c>
      <c r="H35" s="17"/>
      <c r="I35" s="17"/>
      <c r="J35" s="17"/>
      <c r="K35" s="17"/>
      <c r="L35" s="17">
        <v>8500</v>
      </c>
      <c r="M35" s="17">
        <v>8500</v>
      </c>
      <c r="N35" s="17">
        <v>8500</v>
      </c>
      <c r="O35" s="17">
        <v>8500</v>
      </c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17000</v>
      </c>
      <c r="AG35" s="19">
        <f>Programacion[[#This Row],[ENERO]]+Programacion[[#This Row],[FEBRERO]]+Programacion[[#This Row],[MARZO]]</f>
        <v>8500</v>
      </c>
      <c r="AH35" s="19">
        <f>Programacion[[#This Row],[DEVENGADO ENERO]]+Programacion[[#This Row],[DEVENGADO FEBRERO]]+Programacion[[#This Row],[DEVENGADO MARZO]]</f>
        <v>8500</v>
      </c>
      <c r="AI35" s="19">
        <f>Programacion[[#This Row],[ABRIL]]+Programacion[[#This Row],[MAYO]]+Programacion[[#This Row],[JUNIO]]</f>
        <v>8500</v>
      </c>
      <c r="AJ35" s="19">
        <f>Programacion[[#This Row],[DEVENGADO ABRIL]]+Programacion[[#This Row],[DEVENGADO MAYO]]+Programacion[[#This Row],[DEVENGADO JUNIO]]</f>
        <v>8500</v>
      </c>
      <c r="AK35" s="19">
        <f>Programacion[[#This Row],[JULIO]]+Programacion[[#This Row],[AGOSTO]]+Programacion[[#This Row],[SEPTIEMBRE]]</f>
        <v>0</v>
      </c>
      <c r="AL35" s="19">
        <f>Programacion[[#This Row],[DEVENGADO JULIO]]+Programacion[[#This Row],[DEVENGADO AGOSTO]]+Programacion[[#This Row],[DEVENGADO SEPTIEMBRE]]</f>
        <v>0</v>
      </c>
      <c r="AM35" s="19">
        <f>Programacion[[#This Row],[OCTUBRE]]+Programacion[[#This Row],[NOVIEMBRE]]+Programacion[[#This Row],[DICIEMBRE]]</f>
        <v>0</v>
      </c>
      <c r="AN35" s="20">
        <f>Programacion[[#This Row],[DEVENGADO OCTUBRE]]+Programacion[[#This Row],[DEVENGADO NOVIEMBRE]]+Programacion[[#This Row],[DEVENGADO DICIEMBRE]]</f>
        <v>0</v>
      </c>
      <c r="AO35" s="20">
        <f>Programacion[[#This Row],[ENERO]]+Programacion[[#This Row],[FEBRERO]]+Programacion[[#This Row],[MARZO]]+Programacion[[#This Row],[ABRIL]]+Programacion[[#This Row],[MAYO]]+Programacion[[#This Row],[JUNIO]]</f>
        <v>17000</v>
      </c>
      <c r="AP3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17000</v>
      </c>
      <c r="AQ3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17000</v>
      </c>
      <c r="AT35" s="116"/>
    </row>
    <row r="36" spans="1:46" x14ac:dyDescent="0.25">
      <c r="A36" s="11" t="s">
        <v>45</v>
      </c>
      <c r="B36" s="12" t="s">
        <v>70</v>
      </c>
      <c r="C36" s="13" t="s">
        <v>56</v>
      </c>
      <c r="D36" s="14" t="s">
        <v>48</v>
      </c>
      <c r="E36" s="15">
        <v>31</v>
      </c>
      <c r="F36" s="16">
        <v>2.2999999999999998</v>
      </c>
      <c r="G36" s="14" t="s">
        <v>71</v>
      </c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>
        <v>14400</v>
      </c>
      <c r="S36" s="17">
        <v>14400</v>
      </c>
      <c r="T36" s="17"/>
      <c r="U36" s="17"/>
      <c r="V36" s="17">
        <v>15600</v>
      </c>
      <c r="W36" s="17">
        <v>7800</v>
      </c>
      <c r="X36" s="17"/>
      <c r="Y36" s="17"/>
      <c r="Z36" s="17"/>
      <c r="AA36" s="17"/>
      <c r="AB36" s="17"/>
      <c r="AC36" s="17"/>
      <c r="AD36" s="17"/>
      <c r="AE36" s="17"/>
      <c r="AF3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36" s="19">
        <f>Programacion[[#This Row],[ENERO]]+Programacion[[#This Row],[FEBRERO]]+Programacion[[#This Row],[MARZO]]</f>
        <v>0</v>
      </c>
      <c r="AH36" s="19">
        <f>Programacion[[#This Row],[DEVENGADO ENERO]]+Programacion[[#This Row],[DEVENGADO FEBRERO]]+Programacion[[#This Row],[DEVENGADO MARZO]]</f>
        <v>0</v>
      </c>
      <c r="AI36" s="19">
        <f>Programacion[[#This Row],[ABRIL]]+Programacion[[#This Row],[MAYO]]+Programacion[[#This Row],[JUNIO]]</f>
        <v>14400</v>
      </c>
      <c r="AJ36" s="19">
        <f>Programacion[[#This Row],[DEVENGADO ABRIL]]+Programacion[[#This Row],[DEVENGADO MAYO]]+Programacion[[#This Row],[DEVENGADO JUNIO]]</f>
        <v>14400</v>
      </c>
      <c r="AK36" s="19">
        <f>Programacion[[#This Row],[JULIO]]+Programacion[[#This Row],[AGOSTO]]+Programacion[[#This Row],[SEPTIEMBRE]]</f>
        <v>15600</v>
      </c>
      <c r="AL36" s="19">
        <f>Programacion[[#This Row],[DEVENGADO JULIO]]+Programacion[[#This Row],[DEVENGADO AGOSTO]]+Programacion[[#This Row],[DEVENGADO SEPTIEMBRE]]</f>
        <v>7800</v>
      </c>
      <c r="AM36" s="19">
        <f>Programacion[[#This Row],[OCTUBRE]]+Programacion[[#This Row],[NOVIEMBRE]]+Programacion[[#This Row],[DICIEMBRE]]</f>
        <v>0</v>
      </c>
      <c r="AN36" s="20">
        <f>Programacion[[#This Row],[DEVENGADO OCTUBRE]]+Programacion[[#This Row],[DEVENGADO NOVIEMBRE]]+Programacion[[#This Row],[DEVENGADO DICIEMBRE]]</f>
        <v>0</v>
      </c>
      <c r="AO36" s="20">
        <f>Programacion[[#This Row],[ENERO]]+Programacion[[#This Row],[FEBRERO]]+Programacion[[#This Row],[MARZO]]+Programacion[[#This Row],[ABRIL]]+Programacion[[#This Row],[MAYO]]+Programacion[[#This Row],[JUNIO]]</f>
        <v>14400</v>
      </c>
      <c r="AP3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14400</v>
      </c>
      <c r="AQ36" s="20">
        <f>Programacion[[#This Row],[JULIO]]+Programacion[[#This Row],[AGOSTO]]+Programacion[[#This Row],[SEPTIEMBRE]]+Programacion[[#This Row],[OCTUBRE]]+Programacion[[#This Row],[NOVIEMBRE]]+Programacion[[#This Row],[DICIEMBRE]]</f>
        <v>15600</v>
      </c>
      <c r="AR3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7800</v>
      </c>
      <c r="AS3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22200</v>
      </c>
      <c r="AT36" s="116"/>
    </row>
    <row r="37" spans="1:46" x14ac:dyDescent="0.25">
      <c r="A37" s="11" t="s">
        <v>45</v>
      </c>
      <c r="B37" s="12" t="s">
        <v>70</v>
      </c>
      <c r="C37" s="13" t="s">
        <v>56</v>
      </c>
      <c r="D37" s="14" t="s">
        <v>48</v>
      </c>
      <c r="E37" s="15">
        <v>39</v>
      </c>
      <c r="F37" s="16">
        <v>2.2999999999999998</v>
      </c>
      <c r="G37" s="14" t="s">
        <v>71</v>
      </c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>
        <v>7500</v>
      </c>
      <c r="Y37" s="33"/>
      <c r="Z37" s="33">
        <v>7500</v>
      </c>
      <c r="AA37" s="33"/>
      <c r="AB37" s="33">
        <v>7500</v>
      </c>
      <c r="AC37" s="33"/>
      <c r="AD37" s="33">
        <v>7500</v>
      </c>
      <c r="AE37" s="33"/>
      <c r="AF3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37" s="33">
        <f>Programacion[[#This Row],[ENERO]]+Programacion[[#This Row],[FEBRERO]]+Programacion[[#This Row],[MARZO]]</f>
        <v>0</v>
      </c>
      <c r="AH37" s="33">
        <f>Programacion[[#This Row],[DEVENGADO ENERO]]+Programacion[[#This Row],[DEVENGADO FEBRERO]]+Programacion[[#This Row],[DEVENGADO MARZO]]</f>
        <v>0</v>
      </c>
      <c r="AI37" s="33">
        <f>Programacion[[#This Row],[ABRIL]]+Programacion[[#This Row],[MAYO]]+Programacion[[#This Row],[JUNIO]]</f>
        <v>0</v>
      </c>
      <c r="AJ37" s="33">
        <f>Programacion[[#This Row],[DEVENGADO ABRIL]]+Programacion[[#This Row],[DEVENGADO MAYO]]+Programacion[[#This Row],[DEVENGADO JUNIO]]</f>
        <v>0</v>
      </c>
      <c r="AK37" s="33">
        <f>Programacion[[#This Row],[JULIO]]+Programacion[[#This Row],[AGOSTO]]+Programacion[[#This Row],[SEPTIEMBRE]]</f>
        <v>7500</v>
      </c>
      <c r="AL37" s="33">
        <f>Programacion[[#This Row],[DEVENGADO JULIO]]+Programacion[[#This Row],[DEVENGADO AGOSTO]]+Programacion[[#This Row],[DEVENGADO SEPTIEMBRE]]</f>
        <v>0</v>
      </c>
      <c r="AM37" s="33">
        <f>Programacion[[#This Row],[OCTUBRE]]+Programacion[[#This Row],[NOVIEMBRE]]+Programacion[[#This Row],[DICIEMBRE]]</f>
        <v>22500</v>
      </c>
      <c r="AN37" s="21">
        <f>Programacion[[#This Row],[DEVENGADO OCTUBRE]]+Programacion[[#This Row],[DEVENGADO NOVIEMBRE]]+Programacion[[#This Row],[DEVENGADO DICIEMBRE]]</f>
        <v>0</v>
      </c>
      <c r="AO37" s="21">
        <f>Programacion[[#This Row],[ENERO]]+Programacion[[#This Row],[FEBRERO]]+Programacion[[#This Row],[MARZO]]+Programacion[[#This Row],[ABRIL]]+Programacion[[#This Row],[MAYO]]+Programacion[[#This Row],[JUNIO]]</f>
        <v>0</v>
      </c>
      <c r="AP3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7" s="21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3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37" s="116"/>
    </row>
    <row r="38" spans="1:46" ht="30" x14ac:dyDescent="0.25">
      <c r="A38" s="11" t="s">
        <v>45</v>
      </c>
      <c r="B38" s="12" t="s">
        <v>72</v>
      </c>
      <c r="C38" s="13" t="s">
        <v>56</v>
      </c>
      <c r="D38" s="14" t="s">
        <v>48</v>
      </c>
      <c r="E38" s="15">
        <v>31</v>
      </c>
      <c r="F38" s="16">
        <v>2.2999999999999998</v>
      </c>
      <c r="G38" s="14" t="s">
        <v>71</v>
      </c>
      <c r="H38" s="17"/>
      <c r="I38" s="17"/>
      <c r="J38" s="17"/>
      <c r="K38" s="17"/>
      <c r="L38" s="17"/>
      <c r="M38" s="17"/>
      <c r="N38" s="17">
        <v>4000</v>
      </c>
      <c r="O38" s="17">
        <v>4000</v>
      </c>
      <c r="P38" s="17"/>
      <c r="Q38" s="17"/>
      <c r="R38" s="17">
        <v>4000</v>
      </c>
      <c r="S38" s="17">
        <v>4000</v>
      </c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38" s="19">
        <f>Programacion[[#This Row],[ENERO]]+Programacion[[#This Row],[FEBRERO]]+Programacion[[#This Row],[MARZO]]</f>
        <v>0</v>
      </c>
      <c r="AH38" s="19">
        <f>Programacion[[#This Row],[DEVENGADO ENERO]]+Programacion[[#This Row],[DEVENGADO FEBRERO]]+Programacion[[#This Row],[DEVENGADO MARZO]]</f>
        <v>0</v>
      </c>
      <c r="AI38" s="19">
        <f>Programacion[[#This Row],[ABRIL]]+Programacion[[#This Row],[MAYO]]+Programacion[[#This Row],[JUNIO]]</f>
        <v>8000</v>
      </c>
      <c r="AJ38" s="19">
        <f>Programacion[[#This Row],[DEVENGADO ABRIL]]+Programacion[[#This Row],[DEVENGADO MAYO]]+Programacion[[#This Row],[DEVENGADO JUNIO]]</f>
        <v>8000</v>
      </c>
      <c r="AK38" s="19">
        <f>Programacion[[#This Row],[JULIO]]+Programacion[[#This Row],[AGOSTO]]+Programacion[[#This Row],[SEPTIEMBRE]]</f>
        <v>0</v>
      </c>
      <c r="AL38" s="19">
        <f>Programacion[[#This Row],[DEVENGADO JULIO]]+Programacion[[#This Row],[DEVENGADO AGOSTO]]+Programacion[[#This Row],[DEVENGADO SEPTIEMBRE]]</f>
        <v>0</v>
      </c>
      <c r="AM38" s="19">
        <f>Programacion[[#This Row],[OCTUBRE]]+Programacion[[#This Row],[NOVIEMBRE]]+Programacion[[#This Row],[DICIEMBRE]]</f>
        <v>0</v>
      </c>
      <c r="AN38" s="20">
        <f>Programacion[[#This Row],[DEVENGADO OCTUBRE]]+Programacion[[#This Row],[DEVENGADO NOVIEMBRE]]+Programacion[[#This Row],[DEVENGADO DICIEMBRE]]</f>
        <v>0</v>
      </c>
      <c r="AO38" s="20">
        <f>Programacion[[#This Row],[ENERO]]+Programacion[[#This Row],[FEBRERO]]+Programacion[[#This Row],[MARZO]]+Programacion[[#This Row],[ABRIL]]+Programacion[[#This Row],[MAYO]]+Programacion[[#This Row],[JUNIO]]</f>
        <v>8000</v>
      </c>
      <c r="AP3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8000</v>
      </c>
      <c r="AQ38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38" s="116"/>
    </row>
    <row r="39" spans="1:46" ht="30" x14ac:dyDescent="0.25">
      <c r="A39" s="11" t="s">
        <v>45</v>
      </c>
      <c r="B39" s="12" t="s">
        <v>73</v>
      </c>
      <c r="C39" s="13" t="s">
        <v>74</v>
      </c>
      <c r="D39" s="14" t="s">
        <v>48</v>
      </c>
      <c r="E39" s="15">
        <v>39</v>
      </c>
      <c r="F39" s="16">
        <v>2.2999999999999998</v>
      </c>
      <c r="G39" s="14" t="s">
        <v>75</v>
      </c>
      <c r="H39" s="17"/>
      <c r="I39" s="17"/>
      <c r="J39" s="17"/>
      <c r="K39" s="17"/>
      <c r="L39" s="17">
        <v>3640</v>
      </c>
      <c r="M39" s="17">
        <v>3640</v>
      </c>
      <c r="N39" s="17">
        <v>1820</v>
      </c>
      <c r="O39" s="17">
        <v>1820</v>
      </c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5460</v>
      </c>
      <c r="AG39" s="19">
        <f>Programacion[[#This Row],[ENERO]]+Programacion[[#This Row],[FEBRERO]]+Programacion[[#This Row],[MARZO]]</f>
        <v>3640</v>
      </c>
      <c r="AH39" s="19">
        <f>Programacion[[#This Row],[DEVENGADO ENERO]]+Programacion[[#This Row],[DEVENGADO FEBRERO]]+Programacion[[#This Row],[DEVENGADO MARZO]]</f>
        <v>3640</v>
      </c>
      <c r="AI39" s="19">
        <f>Programacion[[#This Row],[ABRIL]]+Programacion[[#This Row],[MAYO]]+Programacion[[#This Row],[JUNIO]]</f>
        <v>1820</v>
      </c>
      <c r="AJ39" s="19">
        <f>Programacion[[#This Row],[DEVENGADO ABRIL]]+Programacion[[#This Row],[DEVENGADO MAYO]]+Programacion[[#This Row],[DEVENGADO JUNIO]]</f>
        <v>1820</v>
      </c>
      <c r="AK39" s="19">
        <f>Programacion[[#This Row],[JULIO]]+Programacion[[#This Row],[AGOSTO]]+Programacion[[#This Row],[SEPTIEMBRE]]</f>
        <v>0</v>
      </c>
      <c r="AL39" s="19">
        <f>Programacion[[#This Row],[DEVENGADO JULIO]]+Programacion[[#This Row],[DEVENGADO AGOSTO]]+Programacion[[#This Row],[DEVENGADO SEPTIEMBRE]]</f>
        <v>0</v>
      </c>
      <c r="AM39" s="19">
        <f>Programacion[[#This Row],[OCTUBRE]]+Programacion[[#This Row],[NOVIEMBRE]]+Programacion[[#This Row],[DICIEMBRE]]</f>
        <v>0</v>
      </c>
      <c r="AN39" s="20">
        <f>Programacion[[#This Row],[DEVENGADO OCTUBRE]]+Programacion[[#This Row],[DEVENGADO NOVIEMBRE]]+Programacion[[#This Row],[DEVENGADO DICIEMBRE]]</f>
        <v>0</v>
      </c>
      <c r="AO39" s="20">
        <f>Programacion[[#This Row],[ENERO]]+Programacion[[#This Row],[FEBRERO]]+Programacion[[#This Row],[MARZO]]+Programacion[[#This Row],[ABRIL]]+Programacion[[#This Row],[MAYO]]+Programacion[[#This Row],[JUNIO]]</f>
        <v>5460</v>
      </c>
      <c r="AP3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5460</v>
      </c>
      <c r="AQ3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5460</v>
      </c>
      <c r="AT39" s="116"/>
    </row>
    <row r="40" spans="1:46" ht="30" x14ac:dyDescent="0.25">
      <c r="A40" s="11" t="s">
        <v>45</v>
      </c>
      <c r="B40" s="12" t="s">
        <v>76</v>
      </c>
      <c r="C40" s="13" t="s">
        <v>74</v>
      </c>
      <c r="D40" s="14" t="s">
        <v>48</v>
      </c>
      <c r="E40" s="15">
        <v>39</v>
      </c>
      <c r="F40" s="16">
        <v>2.2999999999999998</v>
      </c>
      <c r="G40" s="14" t="s">
        <v>75</v>
      </c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>
        <v>4000</v>
      </c>
      <c r="AA40" s="17"/>
      <c r="AB40" s="17"/>
      <c r="AC40" s="17"/>
      <c r="AD40" s="17"/>
      <c r="AE40" s="17"/>
      <c r="AF4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40" s="19">
        <f>Programacion[[#This Row],[ENERO]]+Programacion[[#This Row],[FEBRERO]]+Programacion[[#This Row],[MARZO]]</f>
        <v>0</v>
      </c>
      <c r="AH40" s="19">
        <f>Programacion[[#This Row],[DEVENGADO ENERO]]+Programacion[[#This Row],[DEVENGADO FEBRERO]]+Programacion[[#This Row],[DEVENGADO MARZO]]</f>
        <v>0</v>
      </c>
      <c r="AI40" s="19">
        <f>Programacion[[#This Row],[ABRIL]]+Programacion[[#This Row],[MAYO]]+Programacion[[#This Row],[JUNIO]]</f>
        <v>0</v>
      </c>
      <c r="AJ40" s="19">
        <f>Programacion[[#This Row],[DEVENGADO ABRIL]]+Programacion[[#This Row],[DEVENGADO MAYO]]+Programacion[[#This Row],[DEVENGADO JUNIO]]</f>
        <v>0</v>
      </c>
      <c r="AK40" s="19">
        <f>Programacion[[#This Row],[JULIO]]+Programacion[[#This Row],[AGOSTO]]+Programacion[[#This Row],[SEPTIEMBRE]]</f>
        <v>0</v>
      </c>
      <c r="AL40" s="19">
        <f>Programacion[[#This Row],[DEVENGADO JULIO]]+Programacion[[#This Row],[DEVENGADO AGOSTO]]+Programacion[[#This Row],[DEVENGADO SEPTIEMBRE]]</f>
        <v>0</v>
      </c>
      <c r="AM40" s="19">
        <f>Programacion[[#This Row],[OCTUBRE]]+Programacion[[#This Row],[NOVIEMBRE]]+Programacion[[#This Row],[DICIEMBRE]]</f>
        <v>4000</v>
      </c>
      <c r="AN40" s="20">
        <f>Programacion[[#This Row],[DEVENGADO OCTUBRE]]+Programacion[[#This Row],[DEVENGADO NOVIEMBRE]]+Programacion[[#This Row],[DEVENGADO DICIEMBRE]]</f>
        <v>0</v>
      </c>
      <c r="AO40" s="20">
        <f>Programacion[[#This Row],[ENERO]]+Programacion[[#This Row],[FEBRERO]]+Programacion[[#This Row],[MARZO]]+Programacion[[#This Row],[ABRIL]]+Programacion[[#This Row],[MAYO]]+Programacion[[#This Row],[JUNIO]]</f>
        <v>0</v>
      </c>
      <c r="AP4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0" s="2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4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0" s="116"/>
    </row>
    <row r="41" spans="1:46" ht="30" x14ac:dyDescent="0.25">
      <c r="A41" s="11" t="s">
        <v>45</v>
      </c>
      <c r="B41" s="12" t="s">
        <v>77</v>
      </c>
      <c r="C41" s="13" t="s">
        <v>74</v>
      </c>
      <c r="D41" s="14" t="s">
        <v>48</v>
      </c>
      <c r="E41" s="15">
        <v>39</v>
      </c>
      <c r="F41" s="16">
        <v>2.2999999999999998</v>
      </c>
      <c r="G41" s="14" t="s">
        <v>75</v>
      </c>
      <c r="H41" s="17"/>
      <c r="I41" s="17"/>
      <c r="J41" s="17"/>
      <c r="K41" s="17"/>
      <c r="L41" s="17">
        <v>690</v>
      </c>
      <c r="M41" s="17">
        <v>690</v>
      </c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690</v>
      </c>
      <c r="AG41" s="19">
        <f>Programacion[[#This Row],[ENERO]]+Programacion[[#This Row],[FEBRERO]]+Programacion[[#This Row],[MARZO]]</f>
        <v>690</v>
      </c>
      <c r="AH41" s="19">
        <f>Programacion[[#This Row],[DEVENGADO ENERO]]+Programacion[[#This Row],[DEVENGADO FEBRERO]]+Programacion[[#This Row],[DEVENGADO MARZO]]</f>
        <v>690</v>
      </c>
      <c r="AI41" s="19">
        <f>Programacion[[#This Row],[ABRIL]]+Programacion[[#This Row],[MAYO]]+Programacion[[#This Row],[JUNIO]]</f>
        <v>0</v>
      </c>
      <c r="AJ41" s="19">
        <f>Programacion[[#This Row],[DEVENGADO ABRIL]]+Programacion[[#This Row],[DEVENGADO MAYO]]+Programacion[[#This Row],[DEVENGADO JUNIO]]</f>
        <v>0</v>
      </c>
      <c r="AK41" s="19">
        <f>Programacion[[#This Row],[JULIO]]+Programacion[[#This Row],[AGOSTO]]+Programacion[[#This Row],[SEPTIEMBRE]]</f>
        <v>0</v>
      </c>
      <c r="AL41" s="19">
        <f>Programacion[[#This Row],[DEVENGADO JULIO]]+Programacion[[#This Row],[DEVENGADO AGOSTO]]+Programacion[[#This Row],[DEVENGADO SEPTIEMBRE]]</f>
        <v>0</v>
      </c>
      <c r="AM41" s="19">
        <f>Programacion[[#This Row],[OCTUBRE]]+Programacion[[#This Row],[NOVIEMBRE]]+Programacion[[#This Row],[DICIEMBRE]]</f>
        <v>0</v>
      </c>
      <c r="AN41" s="20">
        <f>Programacion[[#This Row],[DEVENGADO OCTUBRE]]+Programacion[[#This Row],[DEVENGADO NOVIEMBRE]]+Programacion[[#This Row],[DEVENGADO DICIEMBRE]]</f>
        <v>0</v>
      </c>
      <c r="AO41" s="20">
        <f>Programacion[[#This Row],[ENERO]]+Programacion[[#This Row],[FEBRERO]]+Programacion[[#This Row],[MARZO]]+Programacion[[#This Row],[ABRIL]]+Programacion[[#This Row],[MAYO]]+Programacion[[#This Row],[JUNIO]]</f>
        <v>690</v>
      </c>
      <c r="AP4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690</v>
      </c>
      <c r="AQ4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690</v>
      </c>
      <c r="AT41" s="116"/>
    </row>
    <row r="42" spans="1:46" ht="30" x14ac:dyDescent="0.25">
      <c r="A42" s="11" t="s">
        <v>45</v>
      </c>
      <c r="B42" s="12" t="s">
        <v>78</v>
      </c>
      <c r="C42" s="13" t="s">
        <v>74</v>
      </c>
      <c r="D42" s="14" t="s">
        <v>48</v>
      </c>
      <c r="E42" s="15">
        <v>39</v>
      </c>
      <c r="F42" s="16">
        <v>2.2999999999999998</v>
      </c>
      <c r="G42" s="14" t="s">
        <v>75</v>
      </c>
      <c r="H42" s="17"/>
      <c r="I42" s="17"/>
      <c r="J42" s="17"/>
      <c r="K42" s="17"/>
      <c r="L42" s="17"/>
      <c r="M42" s="17"/>
      <c r="N42" s="17"/>
      <c r="O42" s="17"/>
      <c r="P42" s="17">
        <v>500</v>
      </c>
      <c r="Q42" s="17">
        <v>500</v>
      </c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</v>
      </c>
      <c r="AG42" s="19">
        <f>Programacion[[#This Row],[ENERO]]+Programacion[[#This Row],[FEBRERO]]+Programacion[[#This Row],[MARZO]]</f>
        <v>0</v>
      </c>
      <c r="AH42" s="19">
        <f>Programacion[[#This Row],[DEVENGADO ENERO]]+Programacion[[#This Row],[DEVENGADO FEBRERO]]+Programacion[[#This Row],[DEVENGADO MARZO]]</f>
        <v>0</v>
      </c>
      <c r="AI42" s="19">
        <f>Programacion[[#This Row],[ABRIL]]+Programacion[[#This Row],[MAYO]]+Programacion[[#This Row],[JUNIO]]</f>
        <v>500</v>
      </c>
      <c r="AJ42" s="19">
        <f>Programacion[[#This Row],[DEVENGADO ABRIL]]+Programacion[[#This Row],[DEVENGADO MAYO]]+Programacion[[#This Row],[DEVENGADO JUNIO]]</f>
        <v>500</v>
      </c>
      <c r="AK42" s="19">
        <f>Programacion[[#This Row],[JULIO]]+Programacion[[#This Row],[AGOSTO]]+Programacion[[#This Row],[SEPTIEMBRE]]</f>
        <v>0</v>
      </c>
      <c r="AL42" s="19">
        <f>Programacion[[#This Row],[DEVENGADO JULIO]]+Programacion[[#This Row],[DEVENGADO AGOSTO]]+Programacion[[#This Row],[DEVENGADO SEPTIEMBRE]]</f>
        <v>0</v>
      </c>
      <c r="AM42" s="19">
        <f>Programacion[[#This Row],[OCTUBRE]]+Programacion[[#This Row],[NOVIEMBRE]]+Programacion[[#This Row],[DICIEMBRE]]</f>
        <v>0</v>
      </c>
      <c r="AN42" s="20">
        <f>Programacion[[#This Row],[DEVENGADO OCTUBRE]]+Programacion[[#This Row],[DEVENGADO NOVIEMBRE]]+Programacion[[#This Row],[DEVENGADO DICIEMBRE]]</f>
        <v>0</v>
      </c>
      <c r="AO42" s="20">
        <f>Programacion[[#This Row],[ENERO]]+Programacion[[#This Row],[FEBRERO]]+Programacion[[#This Row],[MARZO]]+Programacion[[#This Row],[ABRIL]]+Programacion[[#This Row],[MAYO]]+Programacion[[#This Row],[JUNIO]]</f>
        <v>500</v>
      </c>
      <c r="AP4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</v>
      </c>
      <c r="AQ4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</v>
      </c>
      <c r="AT42" s="116"/>
    </row>
    <row r="43" spans="1:46" ht="30" x14ac:dyDescent="0.25">
      <c r="A43" s="11" t="s">
        <v>45</v>
      </c>
      <c r="B43" s="12" t="s">
        <v>79</v>
      </c>
      <c r="C43" s="13" t="s">
        <v>74</v>
      </c>
      <c r="D43" s="14" t="s">
        <v>48</v>
      </c>
      <c r="E43" s="15">
        <v>39</v>
      </c>
      <c r="F43" s="16">
        <v>2.2999999999999998</v>
      </c>
      <c r="G43" s="14" t="s">
        <v>75</v>
      </c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>
        <v>7350</v>
      </c>
      <c r="U43" s="17">
        <v>7350</v>
      </c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7350</v>
      </c>
      <c r="AG43" s="19">
        <f>Programacion[[#This Row],[ENERO]]+Programacion[[#This Row],[FEBRERO]]+Programacion[[#This Row],[MARZO]]</f>
        <v>0</v>
      </c>
      <c r="AH43" s="19">
        <f>Programacion[[#This Row],[DEVENGADO ENERO]]+Programacion[[#This Row],[DEVENGADO FEBRERO]]+Programacion[[#This Row],[DEVENGADO MARZO]]</f>
        <v>0</v>
      </c>
      <c r="AI43" s="19">
        <f>Programacion[[#This Row],[ABRIL]]+Programacion[[#This Row],[MAYO]]+Programacion[[#This Row],[JUNIO]]</f>
        <v>0</v>
      </c>
      <c r="AJ43" s="19">
        <f>Programacion[[#This Row],[DEVENGADO ABRIL]]+Programacion[[#This Row],[DEVENGADO MAYO]]+Programacion[[#This Row],[DEVENGADO JUNIO]]</f>
        <v>0</v>
      </c>
      <c r="AK43" s="19">
        <f>Programacion[[#This Row],[JULIO]]+Programacion[[#This Row],[AGOSTO]]+Programacion[[#This Row],[SEPTIEMBRE]]</f>
        <v>7350</v>
      </c>
      <c r="AL43" s="19">
        <f>Programacion[[#This Row],[DEVENGADO JULIO]]+Programacion[[#This Row],[DEVENGADO AGOSTO]]+Programacion[[#This Row],[DEVENGADO SEPTIEMBRE]]</f>
        <v>7350</v>
      </c>
      <c r="AM43" s="19">
        <f>Programacion[[#This Row],[OCTUBRE]]+Programacion[[#This Row],[NOVIEMBRE]]+Programacion[[#This Row],[DICIEMBRE]]</f>
        <v>0</v>
      </c>
      <c r="AN43" s="20">
        <f>Programacion[[#This Row],[DEVENGADO OCTUBRE]]+Programacion[[#This Row],[DEVENGADO NOVIEMBRE]]+Programacion[[#This Row],[DEVENGADO DICIEMBRE]]</f>
        <v>0</v>
      </c>
      <c r="AO43" s="20">
        <f>Programacion[[#This Row],[ENERO]]+Programacion[[#This Row],[FEBRERO]]+Programacion[[#This Row],[MARZO]]+Programacion[[#This Row],[ABRIL]]+Programacion[[#This Row],[MAYO]]+Programacion[[#This Row],[JUNIO]]</f>
        <v>0</v>
      </c>
      <c r="AP4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3" s="20">
        <f>Programacion[[#This Row],[JULIO]]+Programacion[[#This Row],[AGOSTO]]+Programacion[[#This Row],[SEPTIEMBRE]]+Programacion[[#This Row],[OCTUBRE]]+Programacion[[#This Row],[NOVIEMBRE]]+Programacion[[#This Row],[DICIEMBRE]]</f>
        <v>7350</v>
      </c>
      <c r="AR4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7350</v>
      </c>
      <c r="AS4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7350</v>
      </c>
      <c r="AT43" s="116"/>
    </row>
    <row r="44" spans="1:46" ht="30" x14ac:dyDescent="0.25">
      <c r="A44" s="118" t="s">
        <v>45</v>
      </c>
      <c r="B44" s="118" t="s">
        <v>255</v>
      </c>
      <c r="C44" s="118" t="s">
        <v>256</v>
      </c>
      <c r="D44" s="119" t="s">
        <v>48</v>
      </c>
      <c r="E44" s="120">
        <v>39</v>
      </c>
      <c r="F44" s="120">
        <v>23</v>
      </c>
      <c r="G44" s="119" t="s">
        <v>75</v>
      </c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>
        <v>2000</v>
      </c>
      <c r="Y44" s="33"/>
      <c r="Z44" s="33"/>
      <c r="AA44" s="33"/>
      <c r="AB44" s="33"/>
      <c r="AC44" s="33"/>
      <c r="AD44" s="33"/>
      <c r="AE44" s="33"/>
      <c r="AF44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44" s="33">
        <f>Programacion[[#This Row],[ENERO]]+Programacion[[#This Row],[FEBRERO]]+Programacion[[#This Row],[MARZO]]</f>
        <v>0</v>
      </c>
      <c r="AH44" s="33">
        <f>Programacion[[#This Row],[DEVENGADO ENERO]]+Programacion[[#This Row],[DEVENGADO FEBRERO]]+Programacion[[#This Row],[DEVENGADO MARZO]]</f>
        <v>0</v>
      </c>
      <c r="AI44" s="33">
        <f>Programacion[[#This Row],[ABRIL]]+Programacion[[#This Row],[MAYO]]+Programacion[[#This Row],[JUNIO]]</f>
        <v>0</v>
      </c>
      <c r="AJ44" s="33">
        <f>Programacion[[#This Row],[DEVENGADO ABRIL]]+Programacion[[#This Row],[DEVENGADO MAYO]]+Programacion[[#This Row],[DEVENGADO JUNIO]]</f>
        <v>0</v>
      </c>
      <c r="AK44" s="33">
        <f>Programacion[[#This Row],[JULIO]]+Programacion[[#This Row],[AGOSTO]]+Programacion[[#This Row],[SEPTIEMBRE]]</f>
        <v>2000</v>
      </c>
      <c r="AL44" s="33">
        <f>Programacion[[#This Row],[DEVENGADO JULIO]]+Programacion[[#This Row],[DEVENGADO AGOSTO]]+Programacion[[#This Row],[DEVENGADO SEPTIEMBRE]]</f>
        <v>0</v>
      </c>
      <c r="AM44" s="33">
        <f>Programacion[[#This Row],[OCTUBRE]]+Programacion[[#This Row],[NOVIEMBRE]]+Programacion[[#This Row],[DICIEMBRE]]</f>
        <v>0</v>
      </c>
      <c r="AN44" s="21">
        <f>Programacion[[#This Row],[DEVENGADO OCTUBRE]]+Programacion[[#This Row],[DEVENGADO NOVIEMBRE]]+Programacion[[#This Row],[DEVENGADO DICIEMBRE]]</f>
        <v>0</v>
      </c>
      <c r="AO44" s="21">
        <f>Programacion[[#This Row],[ENERO]]+Programacion[[#This Row],[FEBRERO]]+Programacion[[#This Row],[MARZO]]+Programacion[[#This Row],[ABRIL]]+Programacion[[#This Row],[MAYO]]+Programacion[[#This Row],[JUNIO]]</f>
        <v>0</v>
      </c>
      <c r="AP4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4" s="21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4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4" s="116"/>
    </row>
    <row r="45" spans="1:46" ht="30" x14ac:dyDescent="0.25">
      <c r="A45" s="11" t="s">
        <v>45</v>
      </c>
      <c r="B45" s="12" t="s">
        <v>80</v>
      </c>
      <c r="C45" s="13" t="s">
        <v>74</v>
      </c>
      <c r="D45" s="14" t="s">
        <v>48</v>
      </c>
      <c r="E45" s="15">
        <v>39</v>
      </c>
      <c r="F45" s="16">
        <v>2.2999999999999998</v>
      </c>
      <c r="G45" s="14" t="s">
        <v>75</v>
      </c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>
        <v>880</v>
      </c>
      <c r="U45" s="17">
        <v>880</v>
      </c>
      <c r="V45" s="17"/>
      <c r="W45" s="17"/>
      <c r="X45" s="17">
        <v>880</v>
      </c>
      <c r="Y45" s="17"/>
      <c r="Z45" s="17"/>
      <c r="AA45" s="17"/>
      <c r="AB45" s="17"/>
      <c r="AC45" s="17"/>
      <c r="AD45" s="17">
        <v>880</v>
      </c>
      <c r="AE45" s="17"/>
      <c r="AF4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2640</v>
      </c>
      <c r="AG45" s="19">
        <f>Programacion[[#This Row],[ENERO]]+Programacion[[#This Row],[FEBRERO]]+Programacion[[#This Row],[MARZO]]</f>
        <v>0</v>
      </c>
      <c r="AH45" s="19">
        <f>Programacion[[#This Row],[DEVENGADO ENERO]]+Programacion[[#This Row],[DEVENGADO FEBRERO]]+Programacion[[#This Row],[DEVENGADO MARZO]]</f>
        <v>0</v>
      </c>
      <c r="AI45" s="19">
        <f>Programacion[[#This Row],[ABRIL]]+Programacion[[#This Row],[MAYO]]+Programacion[[#This Row],[JUNIO]]</f>
        <v>0</v>
      </c>
      <c r="AJ45" s="19">
        <f>Programacion[[#This Row],[DEVENGADO ABRIL]]+Programacion[[#This Row],[DEVENGADO MAYO]]+Programacion[[#This Row],[DEVENGADO JUNIO]]</f>
        <v>0</v>
      </c>
      <c r="AK45" s="19">
        <f>Programacion[[#This Row],[JULIO]]+Programacion[[#This Row],[AGOSTO]]+Programacion[[#This Row],[SEPTIEMBRE]]</f>
        <v>1760</v>
      </c>
      <c r="AL45" s="19">
        <f>Programacion[[#This Row],[DEVENGADO JULIO]]+Programacion[[#This Row],[DEVENGADO AGOSTO]]+Programacion[[#This Row],[DEVENGADO SEPTIEMBRE]]</f>
        <v>880</v>
      </c>
      <c r="AM45" s="19">
        <f>Programacion[[#This Row],[OCTUBRE]]+Programacion[[#This Row],[NOVIEMBRE]]+Programacion[[#This Row],[DICIEMBRE]]</f>
        <v>880</v>
      </c>
      <c r="AN45" s="20">
        <f>Programacion[[#This Row],[DEVENGADO OCTUBRE]]+Programacion[[#This Row],[DEVENGADO NOVIEMBRE]]+Programacion[[#This Row],[DEVENGADO DICIEMBRE]]</f>
        <v>0</v>
      </c>
      <c r="AO45" s="20">
        <f>Programacion[[#This Row],[ENERO]]+Programacion[[#This Row],[FEBRERO]]+Programacion[[#This Row],[MARZO]]+Programacion[[#This Row],[ABRIL]]+Programacion[[#This Row],[MAYO]]+Programacion[[#This Row],[JUNIO]]</f>
        <v>0</v>
      </c>
      <c r="AP4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5" s="20">
        <f>Programacion[[#This Row],[JULIO]]+Programacion[[#This Row],[AGOSTO]]+Programacion[[#This Row],[SEPTIEMBRE]]+Programacion[[#This Row],[OCTUBRE]]+Programacion[[#This Row],[NOVIEMBRE]]+Programacion[[#This Row],[DICIEMBRE]]</f>
        <v>2640</v>
      </c>
      <c r="AR4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</v>
      </c>
      <c r="AS4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</v>
      </c>
      <c r="AT45" s="116"/>
    </row>
    <row r="46" spans="1:46" x14ac:dyDescent="0.25">
      <c r="A46" s="118" t="s">
        <v>45</v>
      </c>
      <c r="B46" s="122" t="s">
        <v>257</v>
      </c>
      <c r="C46" s="118" t="s">
        <v>258</v>
      </c>
      <c r="D46" s="119" t="s">
        <v>48</v>
      </c>
      <c r="E46" s="123">
        <v>39</v>
      </c>
      <c r="F46" s="120">
        <v>23</v>
      </c>
      <c r="G46" s="124" t="s">
        <v>259</v>
      </c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>
        <v>5000</v>
      </c>
      <c r="W46" s="33"/>
      <c r="X46" s="33"/>
      <c r="Y46" s="33"/>
      <c r="Z46" s="33"/>
      <c r="AA46" s="33"/>
      <c r="AB46" s="33"/>
      <c r="AC46" s="33"/>
      <c r="AD46" s="33"/>
      <c r="AE46" s="33"/>
      <c r="AF4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5000</v>
      </c>
      <c r="AG46" s="33">
        <f>Programacion[[#This Row],[ENERO]]+Programacion[[#This Row],[FEBRERO]]+Programacion[[#This Row],[MARZO]]</f>
        <v>0</v>
      </c>
      <c r="AH46" s="33">
        <f>Programacion[[#This Row],[DEVENGADO ENERO]]+Programacion[[#This Row],[DEVENGADO FEBRERO]]+Programacion[[#This Row],[DEVENGADO MARZO]]</f>
        <v>0</v>
      </c>
      <c r="AI46" s="33">
        <f>Programacion[[#This Row],[ABRIL]]+Programacion[[#This Row],[MAYO]]+Programacion[[#This Row],[JUNIO]]</f>
        <v>0</v>
      </c>
      <c r="AJ46" s="33">
        <f>Programacion[[#This Row],[DEVENGADO ABRIL]]+Programacion[[#This Row],[DEVENGADO MAYO]]+Programacion[[#This Row],[DEVENGADO JUNIO]]</f>
        <v>0</v>
      </c>
      <c r="AK46" s="33">
        <f>Programacion[[#This Row],[JULIO]]+Programacion[[#This Row],[AGOSTO]]+Programacion[[#This Row],[SEPTIEMBRE]]</f>
        <v>5000</v>
      </c>
      <c r="AL46" s="33">
        <f>Programacion[[#This Row],[DEVENGADO JULIO]]+Programacion[[#This Row],[DEVENGADO AGOSTO]]+Programacion[[#This Row],[DEVENGADO SEPTIEMBRE]]</f>
        <v>0</v>
      </c>
      <c r="AM46" s="33">
        <f>Programacion[[#This Row],[OCTUBRE]]+Programacion[[#This Row],[NOVIEMBRE]]+Programacion[[#This Row],[DICIEMBRE]]</f>
        <v>0</v>
      </c>
      <c r="AN46" s="21">
        <f>Programacion[[#This Row],[DEVENGADO OCTUBRE]]+Programacion[[#This Row],[DEVENGADO NOVIEMBRE]]+Programacion[[#This Row],[DEVENGADO DICIEMBRE]]</f>
        <v>0</v>
      </c>
      <c r="AO46" s="21">
        <f>Programacion[[#This Row],[ENERO]]+Programacion[[#This Row],[FEBRERO]]+Programacion[[#This Row],[MARZO]]+Programacion[[#This Row],[ABRIL]]+Programacion[[#This Row],[MAYO]]+Programacion[[#This Row],[JUNIO]]</f>
        <v>0</v>
      </c>
      <c r="AP4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6" s="21">
        <f>Programacion[[#This Row],[JULIO]]+Programacion[[#This Row],[AGOSTO]]+Programacion[[#This Row],[SEPTIEMBRE]]+Programacion[[#This Row],[OCTUBRE]]+Programacion[[#This Row],[NOVIEMBRE]]+Programacion[[#This Row],[DICIEMBRE]]</f>
        <v>5000</v>
      </c>
      <c r="AR4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6" s="116"/>
    </row>
    <row r="47" spans="1:46" x14ac:dyDescent="0.25">
      <c r="A47" s="118" t="s">
        <v>45</v>
      </c>
      <c r="B47" s="122" t="s">
        <v>260</v>
      </c>
      <c r="C47" s="118" t="s">
        <v>258</v>
      </c>
      <c r="D47" s="119" t="s">
        <v>48</v>
      </c>
      <c r="E47" s="123">
        <v>39</v>
      </c>
      <c r="F47" s="120">
        <v>23</v>
      </c>
      <c r="G47" s="124" t="s">
        <v>68</v>
      </c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>
        <v>15000</v>
      </c>
      <c r="W47" s="33"/>
      <c r="X47" s="33"/>
      <c r="Y47" s="33"/>
      <c r="Z47" s="33"/>
      <c r="AA47" s="33"/>
      <c r="AB47" s="33"/>
      <c r="AC47" s="33"/>
      <c r="AD47" s="33"/>
      <c r="AE47" s="33"/>
      <c r="AF4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47" s="33">
        <f>Programacion[[#This Row],[ENERO]]+Programacion[[#This Row],[FEBRERO]]+Programacion[[#This Row],[MARZO]]</f>
        <v>0</v>
      </c>
      <c r="AH47" s="33">
        <f>Programacion[[#This Row],[DEVENGADO ENERO]]+Programacion[[#This Row],[DEVENGADO FEBRERO]]+Programacion[[#This Row],[DEVENGADO MARZO]]</f>
        <v>0</v>
      </c>
      <c r="AI47" s="33">
        <f>Programacion[[#This Row],[ABRIL]]+Programacion[[#This Row],[MAYO]]+Programacion[[#This Row],[JUNIO]]</f>
        <v>0</v>
      </c>
      <c r="AJ47" s="33">
        <f>Programacion[[#This Row],[DEVENGADO ABRIL]]+Programacion[[#This Row],[DEVENGADO MAYO]]+Programacion[[#This Row],[DEVENGADO JUNIO]]</f>
        <v>0</v>
      </c>
      <c r="AK47" s="33">
        <f>Programacion[[#This Row],[JULIO]]+Programacion[[#This Row],[AGOSTO]]+Programacion[[#This Row],[SEPTIEMBRE]]</f>
        <v>15000</v>
      </c>
      <c r="AL47" s="33">
        <f>Programacion[[#This Row],[DEVENGADO JULIO]]+Programacion[[#This Row],[DEVENGADO AGOSTO]]+Programacion[[#This Row],[DEVENGADO SEPTIEMBRE]]</f>
        <v>0</v>
      </c>
      <c r="AM47" s="33">
        <f>Programacion[[#This Row],[OCTUBRE]]+Programacion[[#This Row],[NOVIEMBRE]]+Programacion[[#This Row],[DICIEMBRE]]</f>
        <v>0</v>
      </c>
      <c r="AN47" s="21">
        <f>Programacion[[#This Row],[DEVENGADO OCTUBRE]]+Programacion[[#This Row],[DEVENGADO NOVIEMBRE]]+Programacion[[#This Row],[DEVENGADO DICIEMBRE]]</f>
        <v>0</v>
      </c>
      <c r="AO47" s="21">
        <f>Programacion[[#This Row],[ENERO]]+Programacion[[#This Row],[FEBRERO]]+Programacion[[#This Row],[MARZO]]+Programacion[[#This Row],[ABRIL]]+Programacion[[#This Row],[MAYO]]+Programacion[[#This Row],[JUNIO]]</f>
        <v>0</v>
      </c>
      <c r="AP4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7" s="21">
        <f>Programacion[[#This Row],[JULIO]]+Programacion[[#This Row],[AGOSTO]]+Programacion[[#This Row],[SEPTIEMBRE]]+Programacion[[#This Row],[OCTUBRE]]+Programacion[[#This Row],[NOVIEMBRE]]+Programacion[[#This Row],[DICIEMBRE]]</f>
        <v>15000</v>
      </c>
      <c r="AR4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7" s="116"/>
    </row>
    <row r="48" spans="1:46" x14ac:dyDescent="0.25">
      <c r="A48" s="147" t="s">
        <v>45</v>
      </c>
      <c r="B48" s="147" t="s">
        <v>278</v>
      </c>
      <c r="C48" s="147" t="s">
        <v>262</v>
      </c>
      <c r="D48" s="147" t="s">
        <v>48</v>
      </c>
      <c r="E48" s="147">
        <v>39</v>
      </c>
      <c r="F48" s="147">
        <v>26</v>
      </c>
      <c r="G48" s="147" t="s">
        <v>121</v>
      </c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>
        <v>18965.91</v>
      </c>
      <c r="Y48" s="33"/>
      <c r="Z48" s="33"/>
      <c r="AA48" s="33"/>
      <c r="AB48" s="33"/>
      <c r="AC48" s="33"/>
      <c r="AD48" s="33"/>
      <c r="AE48" s="33"/>
      <c r="AF4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18965.91</v>
      </c>
      <c r="AG48" s="33">
        <f>Programacion[[#This Row],[ENERO]]+Programacion[[#This Row],[FEBRERO]]+Programacion[[#This Row],[MARZO]]</f>
        <v>0</v>
      </c>
      <c r="AH48" s="33">
        <f>Programacion[[#This Row],[DEVENGADO ENERO]]+Programacion[[#This Row],[DEVENGADO FEBRERO]]+Programacion[[#This Row],[DEVENGADO MARZO]]</f>
        <v>0</v>
      </c>
      <c r="AI48" s="33">
        <f>Programacion[[#This Row],[ABRIL]]+Programacion[[#This Row],[MAYO]]+Programacion[[#This Row],[JUNIO]]</f>
        <v>0</v>
      </c>
      <c r="AJ48" s="33">
        <f>Programacion[[#This Row],[DEVENGADO ABRIL]]+Programacion[[#This Row],[DEVENGADO MAYO]]+Programacion[[#This Row],[DEVENGADO JUNIO]]</f>
        <v>0</v>
      </c>
      <c r="AK48" s="33">
        <f>Programacion[[#This Row],[JULIO]]+Programacion[[#This Row],[AGOSTO]]+Programacion[[#This Row],[SEPTIEMBRE]]</f>
        <v>18965.91</v>
      </c>
      <c r="AL48" s="33">
        <f>Programacion[[#This Row],[DEVENGADO JULIO]]+Programacion[[#This Row],[DEVENGADO AGOSTO]]+Programacion[[#This Row],[DEVENGADO SEPTIEMBRE]]</f>
        <v>0</v>
      </c>
      <c r="AM48" s="33">
        <f>Programacion[[#This Row],[OCTUBRE]]+Programacion[[#This Row],[NOVIEMBRE]]+Programacion[[#This Row],[DICIEMBRE]]</f>
        <v>0</v>
      </c>
      <c r="AN48" s="21">
        <f>Programacion[[#This Row],[DEVENGADO OCTUBRE]]+Programacion[[#This Row],[DEVENGADO NOVIEMBRE]]+Programacion[[#This Row],[DEVENGADO DICIEMBRE]]</f>
        <v>0</v>
      </c>
      <c r="AO48" s="21">
        <f>Programacion[[#This Row],[ENERO]]+Programacion[[#This Row],[FEBRERO]]+Programacion[[#This Row],[MARZO]]+Programacion[[#This Row],[ABRIL]]+Programacion[[#This Row],[MAYO]]+Programacion[[#This Row],[JUNIO]]</f>
        <v>0</v>
      </c>
      <c r="AP4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8" s="21">
        <f>Programacion[[#This Row],[JULIO]]+Programacion[[#This Row],[AGOSTO]]+Programacion[[#This Row],[SEPTIEMBRE]]+Programacion[[#This Row],[OCTUBRE]]+Programacion[[#This Row],[NOVIEMBRE]]+Programacion[[#This Row],[DICIEMBRE]]</f>
        <v>18965.91</v>
      </c>
      <c r="AR4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8" s="116"/>
    </row>
    <row r="49" spans="1:46" x14ac:dyDescent="0.25">
      <c r="A49" s="122" t="s">
        <v>45</v>
      </c>
      <c r="B49" s="122" t="s">
        <v>261</v>
      </c>
      <c r="C49" s="124" t="s">
        <v>262</v>
      </c>
      <c r="D49" s="119" t="s">
        <v>48</v>
      </c>
      <c r="E49" s="123">
        <v>3</v>
      </c>
      <c r="F49" s="123">
        <v>26</v>
      </c>
      <c r="G49" s="124" t="s">
        <v>121</v>
      </c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>
        <v>188000</v>
      </c>
      <c r="AA49" s="33"/>
      <c r="AB49" s="33"/>
      <c r="AC49" s="33"/>
      <c r="AD49" s="33"/>
      <c r="AE49" s="33"/>
      <c r="AF4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188000</v>
      </c>
      <c r="AG49" s="33">
        <f>Programacion[[#This Row],[ENERO]]+Programacion[[#This Row],[FEBRERO]]+Programacion[[#This Row],[MARZO]]</f>
        <v>0</v>
      </c>
      <c r="AH49" s="33">
        <f>Programacion[[#This Row],[DEVENGADO ENERO]]+Programacion[[#This Row],[DEVENGADO FEBRERO]]+Programacion[[#This Row],[DEVENGADO MARZO]]</f>
        <v>0</v>
      </c>
      <c r="AI49" s="33">
        <f>Programacion[[#This Row],[ABRIL]]+Programacion[[#This Row],[MAYO]]+Programacion[[#This Row],[JUNIO]]</f>
        <v>0</v>
      </c>
      <c r="AJ49" s="33">
        <f>Programacion[[#This Row],[DEVENGADO ABRIL]]+Programacion[[#This Row],[DEVENGADO MAYO]]+Programacion[[#This Row],[DEVENGADO JUNIO]]</f>
        <v>0</v>
      </c>
      <c r="AK49" s="33">
        <f>Programacion[[#This Row],[JULIO]]+Programacion[[#This Row],[AGOSTO]]+Programacion[[#This Row],[SEPTIEMBRE]]</f>
        <v>0</v>
      </c>
      <c r="AL49" s="33">
        <f>Programacion[[#This Row],[DEVENGADO JULIO]]+Programacion[[#This Row],[DEVENGADO AGOSTO]]+Programacion[[#This Row],[DEVENGADO SEPTIEMBRE]]</f>
        <v>0</v>
      </c>
      <c r="AM49" s="33">
        <f>Programacion[[#This Row],[OCTUBRE]]+Programacion[[#This Row],[NOVIEMBRE]]+Programacion[[#This Row],[DICIEMBRE]]</f>
        <v>188000</v>
      </c>
      <c r="AN49" s="21">
        <f>Programacion[[#This Row],[DEVENGADO OCTUBRE]]+Programacion[[#This Row],[DEVENGADO NOVIEMBRE]]+Programacion[[#This Row],[DEVENGADO DICIEMBRE]]</f>
        <v>0</v>
      </c>
      <c r="AO49" s="21">
        <f>Programacion[[#This Row],[ENERO]]+Programacion[[#This Row],[FEBRERO]]+Programacion[[#This Row],[MARZO]]+Programacion[[#This Row],[ABRIL]]+Programacion[[#This Row],[MAYO]]+Programacion[[#This Row],[JUNIO]]</f>
        <v>0</v>
      </c>
      <c r="AP4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9" s="21">
        <f>Programacion[[#This Row],[JULIO]]+Programacion[[#This Row],[AGOSTO]]+Programacion[[#This Row],[SEPTIEMBRE]]+Programacion[[#This Row],[OCTUBRE]]+Programacion[[#This Row],[NOVIEMBRE]]+Programacion[[#This Row],[DICIEMBRE]]</f>
        <v>188000</v>
      </c>
      <c r="AR4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9" s="116"/>
    </row>
    <row r="50" spans="1:46" x14ac:dyDescent="0.25">
      <c r="A50" s="22" t="s">
        <v>45</v>
      </c>
      <c r="B50" s="23" t="s">
        <v>225</v>
      </c>
      <c r="C50" s="13" t="s">
        <v>81</v>
      </c>
      <c r="D50" s="13" t="s">
        <v>48</v>
      </c>
      <c r="E50" s="24">
        <v>39</v>
      </c>
      <c r="F50" s="25">
        <v>2.6</v>
      </c>
      <c r="G50" s="13" t="s">
        <v>226</v>
      </c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>
        <v>2270</v>
      </c>
      <c r="U50" s="33">
        <v>2270</v>
      </c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2270</v>
      </c>
      <c r="AG50" s="33">
        <f>Programacion[[#This Row],[ENERO]]+Programacion[[#This Row],[FEBRERO]]+Programacion[[#This Row],[MARZO]]</f>
        <v>0</v>
      </c>
      <c r="AH50" s="33">
        <f>Programacion[[#This Row],[DEVENGADO ENERO]]+Programacion[[#This Row],[DEVENGADO FEBRERO]]+Programacion[[#This Row],[DEVENGADO MARZO]]</f>
        <v>0</v>
      </c>
      <c r="AI50" s="33">
        <f>Programacion[[#This Row],[ABRIL]]+Programacion[[#This Row],[MAYO]]+Programacion[[#This Row],[JUNIO]]</f>
        <v>0</v>
      </c>
      <c r="AJ50" s="33">
        <f>Programacion[[#This Row],[DEVENGADO ABRIL]]+Programacion[[#This Row],[DEVENGADO MAYO]]+Programacion[[#This Row],[DEVENGADO JUNIO]]</f>
        <v>0</v>
      </c>
      <c r="AK50" s="33">
        <f>Programacion[[#This Row],[JULIO]]+Programacion[[#This Row],[AGOSTO]]+Programacion[[#This Row],[SEPTIEMBRE]]</f>
        <v>2270</v>
      </c>
      <c r="AL50" s="33">
        <f>Programacion[[#This Row],[DEVENGADO JULIO]]+Programacion[[#This Row],[DEVENGADO AGOSTO]]+Programacion[[#This Row],[DEVENGADO SEPTIEMBRE]]</f>
        <v>2270</v>
      </c>
      <c r="AM50" s="33">
        <f>Programacion[[#This Row],[OCTUBRE]]+Programacion[[#This Row],[NOVIEMBRE]]+Programacion[[#This Row],[DICIEMBRE]]</f>
        <v>0</v>
      </c>
      <c r="AN50" s="21">
        <f>Programacion[[#This Row],[DEVENGADO OCTUBRE]]+Programacion[[#This Row],[DEVENGADO NOVIEMBRE]]+Programacion[[#This Row],[DEVENGADO DICIEMBRE]]</f>
        <v>0</v>
      </c>
      <c r="AO50" s="21">
        <f>Programacion[[#This Row],[ENERO]]+Programacion[[#This Row],[FEBRERO]]+Programacion[[#This Row],[MARZO]]+Programacion[[#This Row],[ABRIL]]+Programacion[[#This Row],[MAYO]]+Programacion[[#This Row],[JUNIO]]</f>
        <v>0</v>
      </c>
      <c r="AP5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0" s="21">
        <f>Programacion[[#This Row],[JULIO]]+Programacion[[#This Row],[AGOSTO]]+Programacion[[#This Row],[SEPTIEMBRE]]+Programacion[[#This Row],[OCTUBRE]]+Programacion[[#This Row],[NOVIEMBRE]]+Programacion[[#This Row],[DICIEMBRE]]</f>
        <v>2270</v>
      </c>
      <c r="AR5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2270</v>
      </c>
      <c r="AS5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2270</v>
      </c>
      <c r="AT50" s="116"/>
    </row>
    <row r="51" spans="1:46" x14ac:dyDescent="0.25">
      <c r="A51" s="22" t="s">
        <v>45</v>
      </c>
      <c r="B51" s="23" t="s">
        <v>237</v>
      </c>
      <c r="C51" s="13" t="s">
        <v>81</v>
      </c>
      <c r="D51" s="13" t="s">
        <v>48</v>
      </c>
      <c r="E51" s="24">
        <v>39</v>
      </c>
      <c r="F51" s="25">
        <v>2.6</v>
      </c>
      <c r="G51" s="13" t="s">
        <v>227</v>
      </c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>
        <v>1073</v>
      </c>
      <c r="Y51" s="115"/>
      <c r="Z51" s="115"/>
      <c r="AA51" s="115"/>
      <c r="AB51" s="115"/>
      <c r="AC51" s="115"/>
      <c r="AD51" s="115"/>
      <c r="AE51" s="115"/>
      <c r="AF5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1073</v>
      </c>
      <c r="AG51" s="19">
        <f>Programacion[[#This Row],[ENERO]]+Programacion[[#This Row],[FEBRERO]]+Programacion[[#This Row],[MARZO]]</f>
        <v>0</v>
      </c>
      <c r="AH51" s="19">
        <f>Programacion[[#This Row],[DEVENGADO ENERO]]+Programacion[[#This Row],[DEVENGADO FEBRERO]]+Programacion[[#This Row],[DEVENGADO MARZO]]</f>
        <v>0</v>
      </c>
      <c r="AI51" s="19">
        <f>Programacion[[#This Row],[ABRIL]]+Programacion[[#This Row],[MAYO]]+Programacion[[#This Row],[JUNIO]]</f>
        <v>0</v>
      </c>
      <c r="AJ51" s="19">
        <f>Programacion[[#This Row],[DEVENGADO ABRIL]]+Programacion[[#This Row],[DEVENGADO MAYO]]+Programacion[[#This Row],[DEVENGADO JUNIO]]</f>
        <v>0</v>
      </c>
      <c r="AK51" s="19">
        <f>Programacion[[#This Row],[JULIO]]+Programacion[[#This Row],[AGOSTO]]+Programacion[[#This Row],[SEPTIEMBRE]]</f>
        <v>1073</v>
      </c>
      <c r="AL51" s="19">
        <f>Programacion[[#This Row],[DEVENGADO JULIO]]+Programacion[[#This Row],[DEVENGADO AGOSTO]]+Programacion[[#This Row],[DEVENGADO SEPTIEMBRE]]</f>
        <v>0</v>
      </c>
      <c r="AM51" s="19">
        <f>Programacion[[#This Row],[OCTUBRE]]+Programacion[[#This Row],[NOVIEMBRE]]+Programacion[[#This Row],[DICIEMBRE]]</f>
        <v>0</v>
      </c>
      <c r="AN51" s="20">
        <f>Programacion[[#This Row],[DEVENGADO OCTUBRE]]+Programacion[[#This Row],[DEVENGADO NOVIEMBRE]]+Programacion[[#This Row],[DEVENGADO DICIEMBRE]]</f>
        <v>0</v>
      </c>
      <c r="AO51" s="20">
        <f>Programacion[[#This Row],[ENERO]]+Programacion[[#This Row],[FEBRERO]]+Programacion[[#This Row],[MARZO]]+Programacion[[#This Row],[ABRIL]]+Programacion[[#This Row],[MAYO]]+Programacion[[#This Row],[JUNIO]]</f>
        <v>0</v>
      </c>
      <c r="AP5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1" s="20">
        <f>Programacion[[#This Row],[JULIO]]+Programacion[[#This Row],[AGOSTO]]+Programacion[[#This Row],[SEPTIEMBRE]]+Programacion[[#This Row],[OCTUBRE]]+Programacion[[#This Row],[NOVIEMBRE]]+Programacion[[#This Row],[DICIEMBRE]]</f>
        <v>1073</v>
      </c>
      <c r="AR5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1" s="116"/>
    </row>
    <row r="52" spans="1:46" ht="30" x14ac:dyDescent="0.25">
      <c r="A52" s="26" t="s">
        <v>82</v>
      </c>
      <c r="B52" s="27" t="s">
        <v>83</v>
      </c>
      <c r="C52" s="28" t="s">
        <v>65</v>
      </c>
      <c r="D52" s="28" t="s">
        <v>48</v>
      </c>
      <c r="E52" s="29">
        <v>39</v>
      </c>
      <c r="F52" s="30">
        <v>2.2999999999999998</v>
      </c>
      <c r="G52" s="28" t="s">
        <v>66</v>
      </c>
      <c r="H52" s="31"/>
      <c r="I52" s="31"/>
      <c r="J52" s="31"/>
      <c r="K52" s="31"/>
      <c r="L52" s="31">
        <v>15803</v>
      </c>
      <c r="M52" s="31">
        <v>15803</v>
      </c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15803</v>
      </c>
      <c r="AG52" s="19">
        <f>Programacion[[#This Row],[ENERO]]+Programacion[[#This Row],[FEBRERO]]+Programacion[[#This Row],[MARZO]]</f>
        <v>15803</v>
      </c>
      <c r="AH52" s="19">
        <f>Programacion[[#This Row],[DEVENGADO ENERO]]+Programacion[[#This Row],[DEVENGADO FEBRERO]]+Programacion[[#This Row],[DEVENGADO MARZO]]</f>
        <v>15803</v>
      </c>
      <c r="AI52" s="19">
        <f>Programacion[[#This Row],[ABRIL]]+Programacion[[#This Row],[MAYO]]+Programacion[[#This Row],[JUNIO]]</f>
        <v>0</v>
      </c>
      <c r="AJ52" s="19">
        <f>Programacion[[#This Row],[DEVENGADO ABRIL]]+Programacion[[#This Row],[DEVENGADO MAYO]]+Programacion[[#This Row],[DEVENGADO JUNIO]]</f>
        <v>0</v>
      </c>
      <c r="AK52" s="19">
        <f>Programacion[[#This Row],[JULIO]]+Programacion[[#This Row],[AGOSTO]]+Programacion[[#This Row],[SEPTIEMBRE]]</f>
        <v>0</v>
      </c>
      <c r="AL52" s="19">
        <f>Programacion[[#This Row],[DEVENGADO JULIO]]+Programacion[[#This Row],[DEVENGADO AGOSTO]]+Programacion[[#This Row],[DEVENGADO SEPTIEMBRE]]</f>
        <v>0</v>
      </c>
      <c r="AM52" s="19">
        <f>Programacion[[#This Row],[OCTUBRE]]+Programacion[[#This Row],[NOVIEMBRE]]+Programacion[[#This Row],[DICIEMBRE]]</f>
        <v>0</v>
      </c>
      <c r="AN52" s="20">
        <f>Programacion[[#This Row],[DEVENGADO OCTUBRE]]+Programacion[[#This Row],[DEVENGADO NOVIEMBRE]]+Programacion[[#This Row],[DEVENGADO DICIEMBRE]]</f>
        <v>0</v>
      </c>
      <c r="AO52" s="20">
        <f>Programacion[[#This Row],[ENERO]]+Programacion[[#This Row],[FEBRERO]]+Programacion[[#This Row],[MARZO]]+Programacion[[#This Row],[ABRIL]]+Programacion[[#This Row],[MAYO]]+Programacion[[#This Row],[JUNIO]]</f>
        <v>15803</v>
      </c>
      <c r="AP5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15803</v>
      </c>
      <c r="AQ5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15803</v>
      </c>
      <c r="AT52" s="116"/>
    </row>
    <row r="53" spans="1:46" ht="30" x14ac:dyDescent="0.25">
      <c r="A53" s="26" t="s">
        <v>82</v>
      </c>
      <c r="B53" s="27" t="s">
        <v>229</v>
      </c>
      <c r="C53" s="28" t="s">
        <v>47</v>
      </c>
      <c r="D53" s="28" t="s">
        <v>48</v>
      </c>
      <c r="E53" s="29">
        <v>39</v>
      </c>
      <c r="F53" s="30">
        <v>2.2999999999999998</v>
      </c>
      <c r="G53" s="28" t="s">
        <v>49</v>
      </c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>
        <v>2000</v>
      </c>
      <c r="S53" s="31">
        <v>4000</v>
      </c>
      <c r="T53" s="31"/>
      <c r="U53" s="31"/>
      <c r="V53" s="31"/>
      <c r="W53" s="31"/>
      <c r="X53" s="31">
        <v>2000</v>
      </c>
      <c r="Y53" s="31"/>
      <c r="Z53" s="31"/>
      <c r="AA53" s="31"/>
      <c r="AB53" s="31">
        <v>2000</v>
      </c>
      <c r="AC53" s="31"/>
      <c r="AD53" s="31"/>
      <c r="AE53" s="31"/>
      <c r="AF5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53" s="19">
        <f>Programacion[[#This Row],[ENERO]]+Programacion[[#This Row],[FEBRERO]]+Programacion[[#This Row],[MARZO]]</f>
        <v>0</v>
      </c>
      <c r="AH53" s="19">
        <f>Programacion[[#This Row],[DEVENGADO ENERO]]+Programacion[[#This Row],[DEVENGADO FEBRERO]]+Programacion[[#This Row],[DEVENGADO MARZO]]</f>
        <v>0</v>
      </c>
      <c r="AI53" s="19">
        <f>Programacion[[#This Row],[ABRIL]]+Programacion[[#This Row],[MAYO]]+Programacion[[#This Row],[JUNIO]]</f>
        <v>2000</v>
      </c>
      <c r="AJ53" s="19">
        <f>Programacion[[#This Row],[DEVENGADO ABRIL]]+Programacion[[#This Row],[DEVENGADO MAYO]]+Programacion[[#This Row],[DEVENGADO JUNIO]]</f>
        <v>4000</v>
      </c>
      <c r="AK53" s="19">
        <f>Programacion[[#This Row],[JULIO]]+Programacion[[#This Row],[AGOSTO]]+Programacion[[#This Row],[SEPTIEMBRE]]</f>
        <v>2000</v>
      </c>
      <c r="AL53" s="19">
        <f>Programacion[[#This Row],[DEVENGADO JULIO]]+Programacion[[#This Row],[DEVENGADO AGOSTO]]+Programacion[[#This Row],[DEVENGADO SEPTIEMBRE]]</f>
        <v>0</v>
      </c>
      <c r="AM53" s="19">
        <f>Programacion[[#This Row],[OCTUBRE]]+Programacion[[#This Row],[NOVIEMBRE]]+Programacion[[#This Row],[DICIEMBRE]]</f>
        <v>2000</v>
      </c>
      <c r="AN53" s="20">
        <f>Programacion[[#This Row],[DEVENGADO OCTUBRE]]+Programacion[[#This Row],[DEVENGADO NOVIEMBRE]]+Programacion[[#This Row],[DEVENGADO DICIEMBRE]]</f>
        <v>0</v>
      </c>
      <c r="AO53" s="20">
        <f>Programacion[[#This Row],[ENERO]]+Programacion[[#This Row],[FEBRERO]]+Programacion[[#This Row],[MARZO]]+Programacion[[#This Row],[ABRIL]]+Programacion[[#This Row],[MAYO]]+Programacion[[#This Row],[JUNIO]]</f>
        <v>2000</v>
      </c>
      <c r="AP5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53" s="2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5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53" s="116"/>
    </row>
    <row r="54" spans="1:46" x14ac:dyDescent="0.25">
      <c r="A54" s="26" t="s">
        <v>82</v>
      </c>
      <c r="B54" s="27" t="s">
        <v>279</v>
      </c>
      <c r="C54" s="28" t="s">
        <v>47</v>
      </c>
      <c r="D54" s="28" t="s">
        <v>48</v>
      </c>
      <c r="E54" s="29">
        <v>39</v>
      </c>
      <c r="F54" s="30">
        <v>2.2999999999999998</v>
      </c>
      <c r="G54" s="28" t="s">
        <v>51</v>
      </c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>
        <v>1080</v>
      </c>
      <c r="S54" s="31">
        <v>4360</v>
      </c>
      <c r="T54" s="31"/>
      <c r="U54" s="31"/>
      <c r="V54" s="31"/>
      <c r="W54" s="31"/>
      <c r="X54" s="31">
        <v>1080</v>
      </c>
      <c r="Y54" s="31"/>
      <c r="Z54" s="31"/>
      <c r="AA54" s="31"/>
      <c r="AB54" s="31">
        <v>1080</v>
      </c>
      <c r="AC54" s="31"/>
      <c r="AD54" s="31"/>
      <c r="AE54" s="31"/>
      <c r="AF5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3240</v>
      </c>
      <c r="AG54" s="19">
        <f>Programacion[[#This Row],[ENERO]]+Programacion[[#This Row],[FEBRERO]]+Programacion[[#This Row],[MARZO]]</f>
        <v>0</v>
      </c>
      <c r="AH54" s="19">
        <f>Programacion[[#This Row],[DEVENGADO ENERO]]+Programacion[[#This Row],[DEVENGADO FEBRERO]]+Programacion[[#This Row],[DEVENGADO MARZO]]</f>
        <v>0</v>
      </c>
      <c r="AI54" s="19">
        <f>Programacion[[#This Row],[ABRIL]]+Programacion[[#This Row],[MAYO]]+Programacion[[#This Row],[JUNIO]]</f>
        <v>1080</v>
      </c>
      <c r="AJ54" s="19">
        <f>Programacion[[#This Row],[DEVENGADO ABRIL]]+Programacion[[#This Row],[DEVENGADO MAYO]]+Programacion[[#This Row],[DEVENGADO JUNIO]]</f>
        <v>4360</v>
      </c>
      <c r="AK54" s="19">
        <f>Programacion[[#This Row],[JULIO]]+Programacion[[#This Row],[AGOSTO]]+Programacion[[#This Row],[SEPTIEMBRE]]</f>
        <v>1080</v>
      </c>
      <c r="AL54" s="19">
        <f>Programacion[[#This Row],[DEVENGADO JULIO]]+Programacion[[#This Row],[DEVENGADO AGOSTO]]+Programacion[[#This Row],[DEVENGADO SEPTIEMBRE]]</f>
        <v>0</v>
      </c>
      <c r="AM54" s="19">
        <f>Programacion[[#This Row],[OCTUBRE]]+Programacion[[#This Row],[NOVIEMBRE]]+Programacion[[#This Row],[DICIEMBRE]]</f>
        <v>1080</v>
      </c>
      <c r="AN54" s="20">
        <f>Programacion[[#This Row],[DEVENGADO OCTUBRE]]+Programacion[[#This Row],[DEVENGADO NOVIEMBRE]]+Programacion[[#This Row],[DEVENGADO DICIEMBRE]]</f>
        <v>0</v>
      </c>
      <c r="AO54" s="20">
        <f>Programacion[[#This Row],[ENERO]]+Programacion[[#This Row],[FEBRERO]]+Programacion[[#This Row],[MARZO]]+Programacion[[#This Row],[ABRIL]]+Programacion[[#This Row],[MAYO]]+Programacion[[#This Row],[JUNIO]]</f>
        <v>1080</v>
      </c>
      <c r="AP5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4360</v>
      </c>
      <c r="AQ54" s="20">
        <f>Programacion[[#This Row],[JULIO]]+Programacion[[#This Row],[AGOSTO]]+Programacion[[#This Row],[SEPTIEMBRE]]+Programacion[[#This Row],[OCTUBRE]]+Programacion[[#This Row],[NOVIEMBRE]]+Programacion[[#This Row],[DICIEMBRE]]</f>
        <v>2160</v>
      </c>
      <c r="AR5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4360</v>
      </c>
      <c r="AT54" s="116"/>
    </row>
    <row r="55" spans="1:46" x14ac:dyDescent="0.25">
      <c r="A55" s="26" t="s">
        <v>82</v>
      </c>
      <c r="B55" s="27" t="s">
        <v>280</v>
      </c>
      <c r="C55" s="28" t="s">
        <v>47</v>
      </c>
      <c r="D55" s="28" t="s">
        <v>48</v>
      </c>
      <c r="E55" s="29">
        <v>39</v>
      </c>
      <c r="F55" s="30">
        <v>2.2999999999999998</v>
      </c>
      <c r="G55" s="28" t="s">
        <v>86</v>
      </c>
      <c r="H55" s="31"/>
      <c r="I55" s="31"/>
      <c r="J55" s="31"/>
      <c r="K55" s="31"/>
      <c r="L55" s="31">
        <v>800</v>
      </c>
      <c r="M55" s="31">
        <v>800</v>
      </c>
      <c r="N55" s="31">
        <v>400</v>
      </c>
      <c r="O55" s="31">
        <v>400</v>
      </c>
      <c r="P55" s="31">
        <v>400</v>
      </c>
      <c r="Q55" s="31">
        <v>400</v>
      </c>
      <c r="R55" s="31">
        <v>400</v>
      </c>
      <c r="S55" s="31">
        <v>400</v>
      </c>
      <c r="T55" s="31">
        <v>400</v>
      </c>
      <c r="U55" s="31"/>
      <c r="V55" s="31">
        <v>400</v>
      </c>
      <c r="W55" s="31"/>
      <c r="X55" s="31">
        <v>400</v>
      </c>
      <c r="Y55" s="31"/>
      <c r="Z55" s="31">
        <v>400</v>
      </c>
      <c r="AA55" s="31"/>
      <c r="AB55" s="31">
        <v>400</v>
      </c>
      <c r="AC55" s="31"/>
      <c r="AD55" s="31">
        <v>400</v>
      </c>
      <c r="AE55" s="31"/>
      <c r="AF5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</v>
      </c>
      <c r="AG55" s="19">
        <f>Programacion[[#This Row],[ENERO]]+Programacion[[#This Row],[FEBRERO]]+Programacion[[#This Row],[MARZO]]</f>
        <v>800</v>
      </c>
      <c r="AH55" s="19">
        <f>Programacion[[#This Row],[DEVENGADO ENERO]]+Programacion[[#This Row],[DEVENGADO FEBRERO]]+Programacion[[#This Row],[DEVENGADO MARZO]]</f>
        <v>800</v>
      </c>
      <c r="AI55" s="19">
        <f>Programacion[[#This Row],[ABRIL]]+Programacion[[#This Row],[MAYO]]+Programacion[[#This Row],[JUNIO]]</f>
        <v>1200</v>
      </c>
      <c r="AJ55" s="19">
        <f>Programacion[[#This Row],[DEVENGADO ABRIL]]+Programacion[[#This Row],[DEVENGADO MAYO]]+Programacion[[#This Row],[DEVENGADO JUNIO]]</f>
        <v>1200</v>
      </c>
      <c r="AK55" s="19">
        <f>Programacion[[#This Row],[JULIO]]+Programacion[[#This Row],[AGOSTO]]+Programacion[[#This Row],[SEPTIEMBRE]]</f>
        <v>1200</v>
      </c>
      <c r="AL55" s="19">
        <f>Programacion[[#This Row],[DEVENGADO JULIO]]+Programacion[[#This Row],[DEVENGADO AGOSTO]]+Programacion[[#This Row],[DEVENGADO SEPTIEMBRE]]</f>
        <v>0</v>
      </c>
      <c r="AM55" s="19">
        <f>Programacion[[#This Row],[OCTUBRE]]+Programacion[[#This Row],[NOVIEMBRE]]+Programacion[[#This Row],[DICIEMBRE]]</f>
        <v>1200</v>
      </c>
      <c r="AN55" s="20">
        <f>Programacion[[#This Row],[DEVENGADO OCTUBRE]]+Programacion[[#This Row],[DEVENGADO NOVIEMBRE]]+Programacion[[#This Row],[DEVENGADO DICIEMBRE]]</f>
        <v>0</v>
      </c>
      <c r="AO55" s="20">
        <f>Programacion[[#This Row],[ENERO]]+Programacion[[#This Row],[FEBRERO]]+Programacion[[#This Row],[MARZO]]+Programacion[[#This Row],[ABRIL]]+Programacion[[#This Row],[MAYO]]+Programacion[[#This Row],[JUNIO]]</f>
        <v>2000</v>
      </c>
      <c r="AP5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55" s="20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5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T55" s="116"/>
    </row>
    <row r="56" spans="1:46" x14ac:dyDescent="0.25">
      <c r="A56" s="26" t="s">
        <v>82</v>
      </c>
      <c r="B56" s="27" t="s">
        <v>281</v>
      </c>
      <c r="C56" s="28" t="s">
        <v>47</v>
      </c>
      <c r="D56" s="28" t="s">
        <v>48</v>
      </c>
      <c r="E56" s="29">
        <v>39</v>
      </c>
      <c r="F56" s="30">
        <v>2.2999999999999998</v>
      </c>
      <c r="G56" s="28" t="s">
        <v>51</v>
      </c>
      <c r="H56" s="31"/>
      <c r="I56" s="31"/>
      <c r="J56" s="31"/>
      <c r="K56" s="31"/>
      <c r="L56" s="31">
        <v>2000</v>
      </c>
      <c r="M56" s="31">
        <v>2000</v>
      </c>
      <c r="N56" s="31">
        <v>2000</v>
      </c>
      <c r="O56" s="31">
        <v>1600</v>
      </c>
      <c r="P56" s="31">
        <v>1200</v>
      </c>
      <c r="Q56" s="31">
        <v>1600</v>
      </c>
      <c r="R56" s="31">
        <v>1200</v>
      </c>
      <c r="S56" s="31">
        <v>1200</v>
      </c>
      <c r="T56" s="31">
        <v>1080</v>
      </c>
      <c r="U56" s="31"/>
      <c r="V56" s="31">
        <v>1080</v>
      </c>
      <c r="W56" s="31"/>
      <c r="X56" s="31">
        <v>1080</v>
      </c>
      <c r="Y56" s="31"/>
      <c r="Z56" s="31">
        <v>1080</v>
      </c>
      <c r="AA56" s="31"/>
      <c r="AB56" s="31">
        <v>1080</v>
      </c>
      <c r="AC56" s="31"/>
      <c r="AD56" s="31">
        <v>1080</v>
      </c>
      <c r="AE56" s="31"/>
      <c r="AF5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12880</v>
      </c>
      <c r="AG56" s="19">
        <f>Programacion[[#This Row],[ENERO]]+Programacion[[#This Row],[FEBRERO]]+Programacion[[#This Row],[MARZO]]</f>
        <v>2000</v>
      </c>
      <c r="AH56" s="19">
        <f>Programacion[[#This Row],[DEVENGADO ENERO]]+Programacion[[#This Row],[DEVENGADO FEBRERO]]+Programacion[[#This Row],[DEVENGADO MARZO]]</f>
        <v>2000</v>
      </c>
      <c r="AI56" s="19">
        <f>Programacion[[#This Row],[ABRIL]]+Programacion[[#This Row],[MAYO]]+Programacion[[#This Row],[JUNIO]]</f>
        <v>4400</v>
      </c>
      <c r="AJ56" s="19">
        <f>Programacion[[#This Row],[DEVENGADO ABRIL]]+Programacion[[#This Row],[DEVENGADO MAYO]]+Programacion[[#This Row],[DEVENGADO JUNIO]]</f>
        <v>4400</v>
      </c>
      <c r="AK56" s="19">
        <f>Programacion[[#This Row],[JULIO]]+Programacion[[#This Row],[AGOSTO]]+Programacion[[#This Row],[SEPTIEMBRE]]</f>
        <v>3240</v>
      </c>
      <c r="AL56" s="19">
        <f>Programacion[[#This Row],[DEVENGADO JULIO]]+Programacion[[#This Row],[DEVENGADO AGOSTO]]+Programacion[[#This Row],[DEVENGADO SEPTIEMBRE]]</f>
        <v>0</v>
      </c>
      <c r="AM56" s="19">
        <f>Programacion[[#This Row],[OCTUBRE]]+Programacion[[#This Row],[NOVIEMBRE]]+Programacion[[#This Row],[DICIEMBRE]]</f>
        <v>3240</v>
      </c>
      <c r="AN56" s="20">
        <f>Programacion[[#This Row],[DEVENGADO OCTUBRE]]+Programacion[[#This Row],[DEVENGADO NOVIEMBRE]]+Programacion[[#This Row],[DEVENGADO DICIEMBRE]]</f>
        <v>0</v>
      </c>
      <c r="AO56" s="20">
        <f>Programacion[[#This Row],[ENERO]]+Programacion[[#This Row],[FEBRERO]]+Programacion[[#This Row],[MARZO]]+Programacion[[#This Row],[ABRIL]]+Programacion[[#This Row],[MAYO]]+Programacion[[#This Row],[JUNIO]]</f>
        <v>6400</v>
      </c>
      <c r="AP5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6400</v>
      </c>
      <c r="AQ56" s="20">
        <f>Programacion[[#This Row],[JULIO]]+Programacion[[#This Row],[AGOSTO]]+Programacion[[#This Row],[SEPTIEMBRE]]+Programacion[[#This Row],[OCTUBRE]]+Programacion[[#This Row],[NOVIEMBRE]]+Programacion[[#This Row],[DICIEMBRE]]</f>
        <v>6480</v>
      </c>
      <c r="AR5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6400</v>
      </c>
      <c r="AT56" s="116"/>
    </row>
    <row r="57" spans="1:46" x14ac:dyDescent="0.25">
      <c r="A57" s="26" t="s">
        <v>82</v>
      </c>
      <c r="B57" s="27" t="s">
        <v>282</v>
      </c>
      <c r="C57" s="28" t="s">
        <v>47</v>
      </c>
      <c r="D57" s="28" t="s">
        <v>48</v>
      </c>
      <c r="E57" s="29">
        <v>39</v>
      </c>
      <c r="F57" s="30">
        <v>2.2999999999999998</v>
      </c>
      <c r="G57" s="28" t="s">
        <v>87</v>
      </c>
      <c r="H57" s="31"/>
      <c r="I57" s="31"/>
      <c r="J57" s="31"/>
      <c r="K57" s="31"/>
      <c r="L57" s="31">
        <v>60</v>
      </c>
      <c r="M57" s="31">
        <v>60</v>
      </c>
      <c r="N57" s="31">
        <v>60</v>
      </c>
      <c r="O57" s="31">
        <v>28.6</v>
      </c>
      <c r="P57" s="31">
        <v>60</v>
      </c>
      <c r="Q57" s="31">
        <v>60</v>
      </c>
      <c r="R57" s="31">
        <v>60</v>
      </c>
      <c r="S57" s="31">
        <v>18.59</v>
      </c>
      <c r="T57" s="31">
        <v>50</v>
      </c>
      <c r="U57" s="31">
        <v>-27.7</v>
      </c>
      <c r="V57" s="31">
        <v>50</v>
      </c>
      <c r="W57" s="31"/>
      <c r="X57" s="31">
        <v>50</v>
      </c>
      <c r="Y57" s="31"/>
      <c r="Z57" s="31">
        <v>50</v>
      </c>
      <c r="AA57" s="31"/>
      <c r="AB57" s="31">
        <v>50</v>
      </c>
      <c r="AC57" s="31"/>
      <c r="AD57" s="31">
        <v>50</v>
      </c>
      <c r="AE57" s="31"/>
      <c r="AF5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57" s="19">
        <f>Programacion[[#This Row],[ENERO]]+Programacion[[#This Row],[FEBRERO]]+Programacion[[#This Row],[MARZO]]</f>
        <v>60</v>
      </c>
      <c r="AH57" s="19">
        <f>Programacion[[#This Row],[DEVENGADO ENERO]]+Programacion[[#This Row],[DEVENGADO FEBRERO]]+Programacion[[#This Row],[DEVENGADO MARZO]]</f>
        <v>60</v>
      </c>
      <c r="AI57" s="19">
        <f>Programacion[[#This Row],[ABRIL]]+Programacion[[#This Row],[MAYO]]+Programacion[[#This Row],[JUNIO]]</f>
        <v>180</v>
      </c>
      <c r="AJ57" s="19">
        <f>Programacion[[#This Row],[DEVENGADO ABRIL]]+Programacion[[#This Row],[DEVENGADO MAYO]]+Programacion[[#This Row],[DEVENGADO JUNIO]]</f>
        <v>107.19</v>
      </c>
      <c r="AK57" s="19">
        <f>Programacion[[#This Row],[JULIO]]+Programacion[[#This Row],[AGOSTO]]+Programacion[[#This Row],[SEPTIEMBRE]]</f>
        <v>150</v>
      </c>
      <c r="AL57" s="19">
        <f>Programacion[[#This Row],[DEVENGADO JULIO]]+Programacion[[#This Row],[DEVENGADO AGOSTO]]+Programacion[[#This Row],[DEVENGADO SEPTIEMBRE]]</f>
        <v>-27.7</v>
      </c>
      <c r="AM57" s="19">
        <f>Programacion[[#This Row],[OCTUBRE]]+Programacion[[#This Row],[NOVIEMBRE]]+Programacion[[#This Row],[DICIEMBRE]]</f>
        <v>150</v>
      </c>
      <c r="AN57" s="20">
        <f>Programacion[[#This Row],[DEVENGADO OCTUBRE]]+Programacion[[#This Row],[DEVENGADO NOVIEMBRE]]+Programacion[[#This Row],[DEVENGADO DICIEMBRE]]</f>
        <v>0</v>
      </c>
      <c r="AO57" s="20">
        <f>Programacion[[#This Row],[ENERO]]+Programacion[[#This Row],[FEBRERO]]+Programacion[[#This Row],[MARZO]]+Programacion[[#This Row],[ABRIL]]+Programacion[[#This Row],[MAYO]]+Programacion[[#This Row],[JUNIO]]</f>
        <v>240</v>
      </c>
      <c r="AP5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167.19</v>
      </c>
      <c r="AQ57" s="20">
        <f>Programacion[[#This Row],[JULIO]]+Programacion[[#This Row],[AGOSTO]]+Programacion[[#This Row],[SEPTIEMBRE]]+Programacion[[#This Row],[OCTUBRE]]+Programacion[[#This Row],[NOVIEMBRE]]+Programacion[[#This Row],[DICIEMBRE]]</f>
        <v>300</v>
      </c>
      <c r="AR5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-27.7</v>
      </c>
      <c r="AS5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139.49</v>
      </c>
      <c r="AT57" s="116"/>
    </row>
    <row r="58" spans="1:46" x14ac:dyDescent="0.25">
      <c r="A58" s="26" t="s">
        <v>82</v>
      </c>
      <c r="B58" s="27" t="s">
        <v>88</v>
      </c>
      <c r="C58" s="28" t="s">
        <v>81</v>
      </c>
      <c r="D58" s="28" t="s">
        <v>48</v>
      </c>
      <c r="E58" s="29">
        <v>39</v>
      </c>
      <c r="F58" s="30">
        <v>2.6</v>
      </c>
      <c r="G58" s="28" t="s">
        <v>89</v>
      </c>
      <c r="H58" s="31"/>
      <c r="I58" s="31"/>
      <c r="J58" s="31"/>
      <c r="K58" s="31"/>
      <c r="L58" s="31"/>
      <c r="M58" s="31"/>
      <c r="N58" s="31"/>
      <c r="O58" s="31"/>
      <c r="P58" s="31">
        <v>43460</v>
      </c>
      <c r="Q58" s="31">
        <v>43460</v>
      </c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43460</v>
      </c>
      <c r="AG58" s="19">
        <f>Programacion[[#This Row],[ENERO]]+Programacion[[#This Row],[FEBRERO]]+Programacion[[#This Row],[MARZO]]</f>
        <v>0</v>
      </c>
      <c r="AH58" s="19">
        <f>Programacion[[#This Row],[DEVENGADO ENERO]]+Programacion[[#This Row],[DEVENGADO FEBRERO]]+Programacion[[#This Row],[DEVENGADO MARZO]]</f>
        <v>0</v>
      </c>
      <c r="AI58" s="19">
        <f>Programacion[[#This Row],[ABRIL]]+Programacion[[#This Row],[MAYO]]+Programacion[[#This Row],[JUNIO]]</f>
        <v>43460</v>
      </c>
      <c r="AJ58" s="19">
        <f>Programacion[[#This Row],[DEVENGADO ABRIL]]+Programacion[[#This Row],[DEVENGADO MAYO]]+Programacion[[#This Row],[DEVENGADO JUNIO]]</f>
        <v>43460</v>
      </c>
      <c r="AK58" s="19">
        <f>Programacion[[#This Row],[JULIO]]+Programacion[[#This Row],[AGOSTO]]+Programacion[[#This Row],[SEPTIEMBRE]]</f>
        <v>0</v>
      </c>
      <c r="AL58" s="19">
        <f>Programacion[[#This Row],[DEVENGADO JULIO]]+Programacion[[#This Row],[DEVENGADO AGOSTO]]+Programacion[[#This Row],[DEVENGADO SEPTIEMBRE]]</f>
        <v>0</v>
      </c>
      <c r="AM58" s="19">
        <f>Programacion[[#This Row],[OCTUBRE]]+Programacion[[#This Row],[NOVIEMBRE]]+Programacion[[#This Row],[DICIEMBRE]]</f>
        <v>0</v>
      </c>
      <c r="AN58" s="20">
        <f>Programacion[[#This Row],[DEVENGADO OCTUBRE]]+Programacion[[#This Row],[DEVENGADO NOVIEMBRE]]+Programacion[[#This Row],[DEVENGADO DICIEMBRE]]</f>
        <v>0</v>
      </c>
      <c r="AO58" s="20">
        <f>Programacion[[#This Row],[ENERO]]+Programacion[[#This Row],[FEBRERO]]+Programacion[[#This Row],[MARZO]]+Programacion[[#This Row],[ABRIL]]+Programacion[[#This Row],[MAYO]]+Programacion[[#This Row],[JUNIO]]</f>
        <v>43460</v>
      </c>
      <c r="AP5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43460</v>
      </c>
      <c r="AQ58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43460</v>
      </c>
      <c r="AT58" s="116"/>
    </row>
    <row r="59" spans="1:46" x14ac:dyDescent="0.25">
      <c r="A59" s="26" t="s">
        <v>82</v>
      </c>
      <c r="B59" s="27" t="s">
        <v>90</v>
      </c>
      <c r="C59" s="28" t="s">
        <v>65</v>
      </c>
      <c r="D59" s="28" t="s">
        <v>48</v>
      </c>
      <c r="E59" s="29">
        <v>39</v>
      </c>
      <c r="F59" s="30">
        <v>2.2999999999999998</v>
      </c>
      <c r="G59" s="28" t="s">
        <v>68</v>
      </c>
      <c r="H59" s="31"/>
      <c r="I59" s="31"/>
      <c r="J59" s="31"/>
      <c r="K59" s="31"/>
      <c r="L59" s="31">
        <v>28760</v>
      </c>
      <c r="M59" s="31">
        <v>28760</v>
      </c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28760</v>
      </c>
      <c r="AG59" s="19">
        <f>Programacion[[#This Row],[ENERO]]+Programacion[[#This Row],[FEBRERO]]+Programacion[[#This Row],[MARZO]]</f>
        <v>28760</v>
      </c>
      <c r="AH59" s="19">
        <f>Programacion[[#This Row],[DEVENGADO ENERO]]+Programacion[[#This Row],[DEVENGADO FEBRERO]]+Programacion[[#This Row],[DEVENGADO MARZO]]</f>
        <v>28760</v>
      </c>
      <c r="AI59" s="19">
        <f>Programacion[[#This Row],[ABRIL]]+Programacion[[#This Row],[MAYO]]+Programacion[[#This Row],[JUNIO]]</f>
        <v>0</v>
      </c>
      <c r="AJ59" s="19">
        <f>Programacion[[#This Row],[DEVENGADO ABRIL]]+Programacion[[#This Row],[DEVENGADO MAYO]]+Programacion[[#This Row],[DEVENGADO JUNIO]]</f>
        <v>0</v>
      </c>
      <c r="AK59" s="19">
        <f>Programacion[[#This Row],[JULIO]]+Programacion[[#This Row],[AGOSTO]]+Programacion[[#This Row],[SEPTIEMBRE]]</f>
        <v>0</v>
      </c>
      <c r="AL59" s="19">
        <f>Programacion[[#This Row],[DEVENGADO JULIO]]+Programacion[[#This Row],[DEVENGADO AGOSTO]]+Programacion[[#This Row],[DEVENGADO SEPTIEMBRE]]</f>
        <v>0</v>
      </c>
      <c r="AM59" s="19">
        <f>Programacion[[#This Row],[OCTUBRE]]+Programacion[[#This Row],[NOVIEMBRE]]+Programacion[[#This Row],[DICIEMBRE]]</f>
        <v>0</v>
      </c>
      <c r="AN59" s="20">
        <f>Programacion[[#This Row],[DEVENGADO OCTUBRE]]+Programacion[[#This Row],[DEVENGADO NOVIEMBRE]]+Programacion[[#This Row],[DEVENGADO DICIEMBRE]]</f>
        <v>0</v>
      </c>
      <c r="AO59" s="20">
        <f>Programacion[[#This Row],[ENERO]]+Programacion[[#This Row],[FEBRERO]]+Programacion[[#This Row],[MARZO]]+Programacion[[#This Row],[ABRIL]]+Programacion[[#This Row],[MAYO]]+Programacion[[#This Row],[JUNIO]]</f>
        <v>28760</v>
      </c>
      <c r="AP5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28760</v>
      </c>
      <c r="AQ5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28760</v>
      </c>
      <c r="AT59" s="116"/>
    </row>
    <row r="60" spans="1:46" x14ac:dyDescent="0.25">
      <c r="A60" s="26" t="s">
        <v>82</v>
      </c>
      <c r="B60" s="27" t="s">
        <v>91</v>
      </c>
      <c r="C60" s="28" t="s">
        <v>65</v>
      </c>
      <c r="D60" s="28" t="s">
        <v>48</v>
      </c>
      <c r="E60" s="29">
        <v>39</v>
      </c>
      <c r="F60" s="30">
        <v>2.2999999999999998</v>
      </c>
      <c r="G60" s="28" t="s">
        <v>66</v>
      </c>
      <c r="H60" s="31"/>
      <c r="I60" s="31"/>
      <c r="J60" s="31"/>
      <c r="K60" s="31"/>
      <c r="L60" s="31">
        <v>19580</v>
      </c>
      <c r="M60" s="31">
        <v>19580</v>
      </c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19580</v>
      </c>
      <c r="AG60" s="19">
        <f>Programacion[[#This Row],[ENERO]]+Programacion[[#This Row],[FEBRERO]]+Programacion[[#This Row],[MARZO]]</f>
        <v>19580</v>
      </c>
      <c r="AH60" s="19">
        <f>Programacion[[#This Row],[DEVENGADO ENERO]]+Programacion[[#This Row],[DEVENGADO FEBRERO]]+Programacion[[#This Row],[DEVENGADO MARZO]]</f>
        <v>19580</v>
      </c>
      <c r="AI60" s="19">
        <f>Programacion[[#This Row],[ABRIL]]+Programacion[[#This Row],[MAYO]]+Programacion[[#This Row],[JUNIO]]</f>
        <v>0</v>
      </c>
      <c r="AJ60" s="19">
        <f>Programacion[[#This Row],[DEVENGADO ABRIL]]+Programacion[[#This Row],[DEVENGADO MAYO]]+Programacion[[#This Row],[DEVENGADO JUNIO]]</f>
        <v>0</v>
      </c>
      <c r="AK60" s="19">
        <f>Programacion[[#This Row],[JULIO]]+Programacion[[#This Row],[AGOSTO]]+Programacion[[#This Row],[SEPTIEMBRE]]</f>
        <v>0</v>
      </c>
      <c r="AL60" s="19">
        <f>Programacion[[#This Row],[DEVENGADO JULIO]]+Programacion[[#This Row],[DEVENGADO AGOSTO]]+Programacion[[#This Row],[DEVENGADO SEPTIEMBRE]]</f>
        <v>0</v>
      </c>
      <c r="AM60" s="19">
        <f>Programacion[[#This Row],[OCTUBRE]]+Programacion[[#This Row],[NOVIEMBRE]]+Programacion[[#This Row],[DICIEMBRE]]</f>
        <v>0</v>
      </c>
      <c r="AN60" s="20">
        <f>Programacion[[#This Row],[DEVENGADO OCTUBRE]]+Programacion[[#This Row],[DEVENGADO NOVIEMBRE]]+Programacion[[#This Row],[DEVENGADO DICIEMBRE]]</f>
        <v>0</v>
      </c>
      <c r="AO60" s="20">
        <f>Programacion[[#This Row],[ENERO]]+Programacion[[#This Row],[FEBRERO]]+Programacion[[#This Row],[MARZO]]+Programacion[[#This Row],[ABRIL]]+Programacion[[#This Row],[MAYO]]+Programacion[[#This Row],[JUNIO]]</f>
        <v>19580</v>
      </c>
      <c r="AP6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19580</v>
      </c>
      <c r="AQ60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19580</v>
      </c>
      <c r="AT60" s="116"/>
    </row>
    <row r="61" spans="1:46" ht="30" x14ac:dyDescent="0.25">
      <c r="A61" s="26" t="s">
        <v>82</v>
      </c>
      <c r="B61" s="27" t="s">
        <v>92</v>
      </c>
      <c r="C61" s="28" t="s">
        <v>65</v>
      </c>
      <c r="D61" s="28" t="s">
        <v>48</v>
      </c>
      <c r="E61" s="29">
        <v>39</v>
      </c>
      <c r="F61" s="30">
        <v>2.2999999999999998</v>
      </c>
      <c r="G61" s="28" t="s">
        <v>66</v>
      </c>
      <c r="H61" s="31"/>
      <c r="I61" s="31"/>
      <c r="J61" s="31"/>
      <c r="K61" s="31"/>
      <c r="L61" s="31">
        <v>8760</v>
      </c>
      <c r="M61" s="31">
        <v>8760</v>
      </c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8760</v>
      </c>
      <c r="AG61" s="19">
        <f>Programacion[[#This Row],[ENERO]]+Programacion[[#This Row],[FEBRERO]]+Programacion[[#This Row],[MARZO]]</f>
        <v>8760</v>
      </c>
      <c r="AH61" s="19">
        <f>Programacion[[#This Row],[DEVENGADO ENERO]]+Programacion[[#This Row],[DEVENGADO FEBRERO]]+Programacion[[#This Row],[DEVENGADO MARZO]]</f>
        <v>8760</v>
      </c>
      <c r="AI61" s="19">
        <f>Programacion[[#This Row],[ABRIL]]+Programacion[[#This Row],[MAYO]]+Programacion[[#This Row],[JUNIO]]</f>
        <v>0</v>
      </c>
      <c r="AJ61" s="19">
        <f>Programacion[[#This Row],[DEVENGADO ABRIL]]+Programacion[[#This Row],[DEVENGADO MAYO]]+Programacion[[#This Row],[DEVENGADO JUNIO]]</f>
        <v>0</v>
      </c>
      <c r="AK61" s="19">
        <f>Programacion[[#This Row],[JULIO]]+Programacion[[#This Row],[AGOSTO]]+Programacion[[#This Row],[SEPTIEMBRE]]</f>
        <v>0</v>
      </c>
      <c r="AL61" s="19">
        <f>Programacion[[#This Row],[DEVENGADO JULIO]]+Programacion[[#This Row],[DEVENGADO AGOSTO]]+Programacion[[#This Row],[DEVENGADO SEPTIEMBRE]]</f>
        <v>0</v>
      </c>
      <c r="AM61" s="19">
        <f>Programacion[[#This Row],[OCTUBRE]]+Programacion[[#This Row],[NOVIEMBRE]]+Programacion[[#This Row],[DICIEMBRE]]</f>
        <v>0</v>
      </c>
      <c r="AN61" s="20">
        <f>Programacion[[#This Row],[DEVENGADO OCTUBRE]]+Programacion[[#This Row],[DEVENGADO NOVIEMBRE]]+Programacion[[#This Row],[DEVENGADO DICIEMBRE]]</f>
        <v>0</v>
      </c>
      <c r="AO61" s="20">
        <f>Programacion[[#This Row],[ENERO]]+Programacion[[#This Row],[FEBRERO]]+Programacion[[#This Row],[MARZO]]+Programacion[[#This Row],[ABRIL]]+Programacion[[#This Row],[MAYO]]+Programacion[[#This Row],[JUNIO]]</f>
        <v>8760</v>
      </c>
      <c r="AP6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8760</v>
      </c>
      <c r="AQ6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8760</v>
      </c>
      <c r="AT61" s="116"/>
    </row>
    <row r="62" spans="1:46" ht="30" x14ac:dyDescent="0.25">
      <c r="A62" s="26" t="s">
        <v>82</v>
      </c>
      <c r="B62" s="27" t="s">
        <v>93</v>
      </c>
      <c r="C62" s="28" t="s">
        <v>65</v>
      </c>
      <c r="D62" s="28" t="s">
        <v>48</v>
      </c>
      <c r="E62" s="29">
        <v>39</v>
      </c>
      <c r="F62" s="30">
        <v>2.2999999999999998</v>
      </c>
      <c r="G62" s="28" t="s">
        <v>66</v>
      </c>
      <c r="H62" s="31"/>
      <c r="I62" s="31"/>
      <c r="J62" s="31"/>
      <c r="K62" s="31"/>
      <c r="L62" s="31"/>
      <c r="M62" s="31"/>
      <c r="N62" s="31">
        <v>42000</v>
      </c>
      <c r="O62" s="31">
        <v>42000</v>
      </c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42000</v>
      </c>
      <c r="AG62" s="19">
        <f>Programacion[[#This Row],[ENERO]]+Programacion[[#This Row],[FEBRERO]]+Programacion[[#This Row],[MARZO]]</f>
        <v>0</v>
      </c>
      <c r="AH62" s="19">
        <f>Programacion[[#This Row],[DEVENGADO ENERO]]+Programacion[[#This Row],[DEVENGADO FEBRERO]]+Programacion[[#This Row],[DEVENGADO MARZO]]</f>
        <v>0</v>
      </c>
      <c r="AI62" s="19">
        <f>Programacion[[#This Row],[ABRIL]]+Programacion[[#This Row],[MAYO]]+Programacion[[#This Row],[JUNIO]]</f>
        <v>42000</v>
      </c>
      <c r="AJ62" s="19">
        <f>Programacion[[#This Row],[DEVENGADO ABRIL]]+Programacion[[#This Row],[DEVENGADO MAYO]]+Programacion[[#This Row],[DEVENGADO JUNIO]]</f>
        <v>42000</v>
      </c>
      <c r="AK62" s="19">
        <f>Programacion[[#This Row],[JULIO]]+Programacion[[#This Row],[AGOSTO]]+Programacion[[#This Row],[SEPTIEMBRE]]</f>
        <v>0</v>
      </c>
      <c r="AL62" s="19">
        <f>Programacion[[#This Row],[DEVENGADO JULIO]]+Programacion[[#This Row],[DEVENGADO AGOSTO]]+Programacion[[#This Row],[DEVENGADO SEPTIEMBRE]]</f>
        <v>0</v>
      </c>
      <c r="AM62" s="19">
        <f>Programacion[[#This Row],[OCTUBRE]]+Programacion[[#This Row],[NOVIEMBRE]]+Programacion[[#This Row],[DICIEMBRE]]</f>
        <v>0</v>
      </c>
      <c r="AN62" s="20">
        <f>Programacion[[#This Row],[DEVENGADO OCTUBRE]]+Programacion[[#This Row],[DEVENGADO NOVIEMBRE]]+Programacion[[#This Row],[DEVENGADO DICIEMBRE]]</f>
        <v>0</v>
      </c>
      <c r="AO62" s="20">
        <f>Programacion[[#This Row],[ENERO]]+Programacion[[#This Row],[FEBRERO]]+Programacion[[#This Row],[MARZO]]+Programacion[[#This Row],[ABRIL]]+Programacion[[#This Row],[MAYO]]+Programacion[[#This Row],[JUNIO]]</f>
        <v>42000</v>
      </c>
      <c r="AP6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42000</v>
      </c>
      <c r="AQ6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42000</v>
      </c>
      <c r="AT62" s="116"/>
    </row>
    <row r="63" spans="1:46" ht="30" x14ac:dyDescent="0.25">
      <c r="A63" s="26" t="s">
        <v>82</v>
      </c>
      <c r="B63" s="27" t="s">
        <v>94</v>
      </c>
      <c r="C63" s="28" t="s">
        <v>65</v>
      </c>
      <c r="D63" s="28" t="s">
        <v>48</v>
      </c>
      <c r="E63" s="29">
        <v>39</v>
      </c>
      <c r="F63" s="30">
        <v>2.2999999999999998</v>
      </c>
      <c r="G63" s="28" t="s">
        <v>66</v>
      </c>
      <c r="H63" s="31"/>
      <c r="I63" s="31"/>
      <c r="J63" s="31"/>
      <c r="K63" s="31"/>
      <c r="L63" s="31">
        <v>16800</v>
      </c>
      <c r="M63" s="31">
        <v>16800</v>
      </c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16800</v>
      </c>
      <c r="AG63" s="19">
        <f>Programacion[[#This Row],[ENERO]]+Programacion[[#This Row],[FEBRERO]]+Programacion[[#This Row],[MARZO]]</f>
        <v>16800</v>
      </c>
      <c r="AH63" s="19">
        <f>Programacion[[#This Row],[DEVENGADO ENERO]]+Programacion[[#This Row],[DEVENGADO FEBRERO]]+Programacion[[#This Row],[DEVENGADO MARZO]]</f>
        <v>16800</v>
      </c>
      <c r="AI63" s="19">
        <f>Programacion[[#This Row],[ABRIL]]+Programacion[[#This Row],[MAYO]]+Programacion[[#This Row],[JUNIO]]</f>
        <v>0</v>
      </c>
      <c r="AJ63" s="19">
        <f>Programacion[[#This Row],[DEVENGADO ABRIL]]+Programacion[[#This Row],[DEVENGADO MAYO]]+Programacion[[#This Row],[DEVENGADO JUNIO]]</f>
        <v>0</v>
      </c>
      <c r="AK63" s="19">
        <f>Programacion[[#This Row],[JULIO]]+Programacion[[#This Row],[AGOSTO]]+Programacion[[#This Row],[SEPTIEMBRE]]</f>
        <v>0</v>
      </c>
      <c r="AL63" s="19">
        <f>Programacion[[#This Row],[DEVENGADO JULIO]]+Programacion[[#This Row],[DEVENGADO AGOSTO]]+Programacion[[#This Row],[DEVENGADO SEPTIEMBRE]]</f>
        <v>0</v>
      </c>
      <c r="AM63" s="19">
        <f>Programacion[[#This Row],[OCTUBRE]]+Programacion[[#This Row],[NOVIEMBRE]]+Programacion[[#This Row],[DICIEMBRE]]</f>
        <v>0</v>
      </c>
      <c r="AN63" s="20">
        <f>Programacion[[#This Row],[DEVENGADO OCTUBRE]]+Programacion[[#This Row],[DEVENGADO NOVIEMBRE]]+Programacion[[#This Row],[DEVENGADO DICIEMBRE]]</f>
        <v>0</v>
      </c>
      <c r="AO63" s="20">
        <f>Programacion[[#This Row],[ENERO]]+Programacion[[#This Row],[FEBRERO]]+Programacion[[#This Row],[MARZO]]+Programacion[[#This Row],[ABRIL]]+Programacion[[#This Row],[MAYO]]+Programacion[[#This Row],[JUNIO]]</f>
        <v>16800</v>
      </c>
      <c r="AP6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16800</v>
      </c>
      <c r="AQ6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16800</v>
      </c>
      <c r="AT63" s="116"/>
    </row>
    <row r="64" spans="1:46" ht="30" x14ac:dyDescent="0.25">
      <c r="A64" s="26" t="s">
        <v>82</v>
      </c>
      <c r="B64" s="27" t="s">
        <v>95</v>
      </c>
      <c r="C64" s="28" t="s">
        <v>65</v>
      </c>
      <c r="D64" s="28" t="s">
        <v>48</v>
      </c>
      <c r="E64" s="29">
        <v>39</v>
      </c>
      <c r="F64" s="30">
        <v>2.2999999999999998</v>
      </c>
      <c r="G64" s="28" t="s">
        <v>66</v>
      </c>
      <c r="H64" s="31"/>
      <c r="I64" s="31"/>
      <c r="J64" s="31"/>
      <c r="K64" s="31"/>
      <c r="L64" s="31">
        <v>15000</v>
      </c>
      <c r="M64" s="31">
        <v>15000</v>
      </c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64" s="19">
        <f>Programacion[[#This Row],[ENERO]]+Programacion[[#This Row],[FEBRERO]]+Programacion[[#This Row],[MARZO]]</f>
        <v>15000</v>
      </c>
      <c r="AH64" s="19">
        <f>Programacion[[#This Row],[DEVENGADO ENERO]]+Programacion[[#This Row],[DEVENGADO FEBRERO]]+Programacion[[#This Row],[DEVENGADO MARZO]]</f>
        <v>15000</v>
      </c>
      <c r="AI64" s="19">
        <f>Programacion[[#This Row],[ABRIL]]+Programacion[[#This Row],[MAYO]]+Programacion[[#This Row],[JUNIO]]</f>
        <v>0</v>
      </c>
      <c r="AJ64" s="19">
        <f>Programacion[[#This Row],[DEVENGADO ABRIL]]+Programacion[[#This Row],[DEVENGADO MAYO]]+Programacion[[#This Row],[DEVENGADO JUNIO]]</f>
        <v>0</v>
      </c>
      <c r="AK64" s="19">
        <f>Programacion[[#This Row],[JULIO]]+Programacion[[#This Row],[AGOSTO]]+Programacion[[#This Row],[SEPTIEMBRE]]</f>
        <v>0</v>
      </c>
      <c r="AL64" s="19">
        <f>Programacion[[#This Row],[DEVENGADO JULIO]]+Programacion[[#This Row],[DEVENGADO AGOSTO]]+Programacion[[#This Row],[DEVENGADO SEPTIEMBRE]]</f>
        <v>0</v>
      </c>
      <c r="AM64" s="19">
        <f>Programacion[[#This Row],[OCTUBRE]]+Programacion[[#This Row],[NOVIEMBRE]]+Programacion[[#This Row],[DICIEMBRE]]</f>
        <v>0</v>
      </c>
      <c r="AN64" s="20">
        <f>Programacion[[#This Row],[DEVENGADO OCTUBRE]]+Programacion[[#This Row],[DEVENGADO NOVIEMBRE]]+Programacion[[#This Row],[DEVENGADO DICIEMBRE]]</f>
        <v>0</v>
      </c>
      <c r="AO64" s="20">
        <f>Programacion[[#This Row],[ENERO]]+Programacion[[#This Row],[FEBRERO]]+Programacion[[#This Row],[MARZO]]+Programacion[[#This Row],[ABRIL]]+Programacion[[#This Row],[MAYO]]+Programacion[[#This Row],[JUNIO]]</f>
        <v>15000</v>
      </c>
      <c r="AP6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6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64" s="116"/>
    </row>
    <row r="65" spans="1:46" x14ac:dyDescent="0.25">
      <c r="A65" s="26" t="s">
        <v>82</v>
      </c>
      <c r="B65" s="27" t="s">
        <v>96</v>
      </c>
      <c r="C65" s="28" t="s">
        <v>97</v>
      </c>
      <c r="D65" s="28" t="s">
        <v>48</v>
      </c>
      <c r="E65" s="29">
        <v>78</v>
      </c>
      <c r="F65" s="30">
        <v>2.2999999999999998</v>
      </c>
      <c r="G65" s="28" t="s">
        <v>98</v>
      </c>
      <c r="H65" s="31"/>
      <c r="I65" s="31"/>
      <c r="J65" s="31">
        <v>1160</v>
      </c>
      <c r="K65" s="31">
        <v>1160</v>
      </c>
      <c r="L65" s="31">
        <v>580</v>
      </c>
      <c r="M65" s="31">
        <v>580</v>
      </c>
      <c r="N65" s="31">
        <v>580</v>
      </c>
      <c r="O65" s="31">
        <v>580</v>
      </c>
      <c r="P65" s="31">
        <v>580</v>
      </c>
      <c r="Q65" s="31">
        <v>580</v>
      </c>
      <c r="R65" s="31">
        <v>580</v>
      </c>
      <c r="S65" s="31">
        <v>580</v>
      </c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3480</v>
      </c>
      <c r="AG65" s="19">
        <f>Programacion[[#This Row],[ENERO]]+Programacion[[#This Row],[FEBRERO]]+Programacion[[#This Row],[MARZO]]</f>
        <v>1740</v>
      </c>
      <c r="AH65" s="19">
        <f>Programacion[[#This Row],[DEVENGADO ENERO]]+Programacion[[#This Row],[DEVENGADO FEBRERO]]+Programacion[[#This Row],[DEVENGADO MARZO]]</f>
        <v>1740</v>
      </c>
      <c r="AI65" s="19">
        <f>Programacion[[#This Row],[ABRIL]]+Programacion[[#This Row],[MAYO]]+Programacion[[#This Row],[JUNIO]]</f>
        <v>1740</v>
      </c>
      <c r="AJ65" s="19">
        <f>Programacion[[#This Row],[DEVENGADO ABRIL]]+Programacion[[#This Row],[DEVENGADO MAYO]]+Programacion[[#This Row],[DEVENGADO JUNIO]]</f>
        <v>1740</v>
      </c>
      <c r="AK65" s="19">
        <f>Programacion[[#This Row],[JULIO]]+Programacion[[#This Row],[AGOSTO]]+Programacion[[#This Row],[SEPTIEMBRE]]</f>
        <v>0</v>
      </c>
      <c r="AL65" s="19">
        <f>Programacion[[#This Row],[DEVENGADO JULIO]]+Programacion[[#This Row],[DEVENGADO AGOSTO]]+Programacion[[#This Row],[DEVENGADO SEPTIEMBRE]]</f>
        <v>0</v>
      </c>
      <c r="AM65" s="19">
        <f>Programacion[[#This Row],[OCTUBRE]]+Programacion[[#This Row],[NOVIEMBRE]]+Programacion[[#This Row],[DICIEMBRE]]</f>
        <v>0</v>
      </c>
      <c r="AN65" s="20">
        <f>Programacion[[#This Row],[DEVENGADO OCTUBRE]]+Programacion[[#This Row],[DEVENGADO NOVIEMBRE]]+Programacion[[#This Row],[DEVENGADO DICIEMBRE]]</f>
        <v>0</v>
      </c>
      <c r="AO65" s="20">
        <f>Programacion[[#This Row],[ENERO]]+Programacion[[#This Row],[FEBRERO]]+Programacion[[#This Row],[MARZO]]+Programacion[[#This Row],[ABRIL]]+Programacion[[#This Row],[MAYO]]+Programacion[[#This Row],[JUNIO]]</f>
        <v>3480</v>
      </c>
      <c r="AP6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3480</v>
      </c>
      <c r="AQ6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3480</v>
      </c>
      <c r="AT65" s="116"/>
    </row>
    <row r="66" spans="1:46" x14ac:dyDescent="0.25">
      <c r="A66" s="26" t="s">
        <v>82</v>
      </c>
      <c r="B66" s="27" t="s">
        <v>99</v>
      </c>
      <c r="C66" s="28" t="s">
        <v>97</v>
      </c>
      <c r="D66" s="28" t="s">
        <v>48</v>
      </c>
      <c r="E66" s="29">
        <v>78</v>
      </c>
      <c r="F66" s="30">
        <v>2.2999999999999998</v>
      </c>
      <c r="G66" s="28" t="s">
        <v>98</v>
      </c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>
        <v>580</v>
      </c>
      <c r="U66" s="31">
        <v>580</v>
      </c>
      <c r="V66" s="31">
        <v>580</v>
      </c>
      <c r="W66" s="31">
        <v>580</v>
      </c>
      <c r="X66" s="31">
        <v>580</v>
      </c>
      <c r="Y66" s="31"/>
      <c r="Z66" s="31">
        <v>580</v>
      </c>
      <c r="AA66" s="31"/>
      <c r="AB66" s="31">
        <v>580</v>
      </c>
      <c r="AC66" s="31"/>
      <c r="AD66" s="31">
        <v>580</v>
      </c>
      <c r="AE66" s="31"/>
      <c r="AF6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3480</v>
      </c>
      <c r="AG66" s="19">
        <f>Programacion[[#This Row],[ENERO]]+Programacion[[#This Row],[FEBRERO]]+Programacion[[#This Row],[MARZO]]</f>
        <v>0</v>
      </c>
      <c r="AH66" s="19">
        <f>Programacion[[#This Row],[DEVENGADO ENERO]]+Programacion[[#This Row],[DEVENGADO FEBRERO]]+Programacion[[#This Row],[DEVENGADO MARZO]]</f>
        <v>0</v>
      </c>
      <c r="AI66" s="19">
        <f>Programacion[[#This Row],[ABRIL]]+Programacion[[#This Row],[MAYO]]+Programacion[[#This Row],[JUNIO]]</f>
        <v>0</v>
      </c>
      <c r="AJ66" s="19">
        <f>Programacion[[#This Row],[DEVENGADO ABRIL]]+Programacion[[#This Row],[DEVENGADO MAYO]]+Programacion[[#This Row],[DEVENGADO JUNIO]]</f>
        <v>0</v>
      </c>
      <c r="AK66" s="19">
        <f>Programacion[[#This Row],[JULIO]]+Programacion[[#This Row],[AGOSTO]]+Programacion[[#This Row],[SEPTIEMBRE]]</f>
        <v>1740</v>
      </c>
      <c r="AL66" s="19">
        <f>Programacion[[#This Row],[DEVENGADO JULIO]]+Programacion[[#This Row],[DEVENGADO AGOSTO]]+Programacion[[#This Row],[DEVENGADO SEPTIEMBRE]]</f>
        <v>1160</v>
      </c>
      <c r="AM66" s="19">
        <f>Programacion[[#This Row],[OCTUBRE]]+Programacion[[#This Row],[NOVIEMBRE]]+Programacion[[#This Row],[DICIEMBRE]]</f>
        <v>1740</v>
      </c>
      <c r="AN66" s="20">
        <f>Programacion[[#This Row],[DEVENGADO OCTUBRE]]+Programacion[[#This Row],[DEVENGADO NOVIEMBRE]]+Programacion[[#This Row],[DEVENGADO DICIEMBRE]]</f>
        <v>0</v>
      </c>
      <c r="AO66" s="20">
        <f>Programacion[[#This Row],[ENERO]]+Programacion[[#This Row],[FEBRERO]]+Programacion[[#This Row],[MARZO]]+Programacion[[#This Row],[ABRIL]]+Programacion[[#This Row],[MAYO]]+Programacion[[#This Row],[JUNIO]]</f>
        <v>0</v>
      </c>
      <c r="AP6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6" s="20">
        <f>Programacion[[#This Row],[JULIO]]+Programacion[[#This Row],[AGOSTO]]+Programacion[[#This Row],[SEPTIEMBRE]]+Programacion[[#This Row],[OCTUBRE]]+Programacion[[#This Row],[NOVIEMBRE]]+Programacion[[#This Row],[DICIEMBRE]]</f>
        <v>3480</v>
      </c>
      <c r="AR6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1160</v>
      </c>
      <c r="AS6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1160</v>
      </c>
      <c r="AT66" s="116"/>
    </row>
    <row r="67" spans="1:46" x14ac:dyDescent="0.25">
      <c r="A67" s="26" t="s">
        <v>82</v>
      </c>
      <c r="B67" s="27" t="s">
        <v>102</v>
      </c>
      <c r="C67" s="28" t="s">
        <v>56</v>
      </c>
      <c r="D67" s="28" t="s">
        <v>48</v>
      </c>
      <c r="E67" s="29">
        <v>3</v>
      </c>
      <c r="F67" s="30">
        <v>2.2999999999999998</v>
      </c>
      <c r="G67" s="28" t="s">
        <v>71</v>
      </c>
      <c r="H67" s="31"/>
      <c r="I67" s="31"/>
      <c r="J67" s="31">
        <v>5000</v>
      </c>
      <c r="K67" s="31">
        <v>5000</v>
      </c>
      <c r="L67" s="31">
        <v>5000</v>
      </c>
      <c r="M67" s="31">
        <v>5000</v>
      </c>
      <c r="N67" s="31">
        <v>5000</v>
      </c>
      <c r="O67" s="31">
        <v>5000</v>
      </c>
      <c r="P67" s="31">
        <v>5000</v>
      </c>
      <c r="Q67" s="31">
        <v>5000</v>
      </c>
      <c r="R67" s="31">
        <v>5000</v>
      </c>
      <c r="S67" s="31">
        <v>5000</v>
      </c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67" s="19">
        <f>Programacion[[#This Row],[ENERO]]+Programacion[[#This Row],[FEBRERO]]+Programacion[[#This Row],[MARZO]]</f>
        <v>10000</v>
      </c>
      <c r="AH67" s="19">
        <f>Programacion[[#This Row],[DEVENGADO ENERO]]+Programacion[[#This Row],[DEVENGADO FEBRERO]]+Programacion[[#This Row],[DEVENGADO MARZO]]</f>
        <v>10000</v>
      </c>
      <c r="AI67" s="19">
        <f>Programacion[[#This Row],[ABRIL]]+Programacion[[#This Row],[MAYO]]+Programacion[[#This Row],[JUNIO]]</f>
        <v>15000</v>
      </c>
      <c r="AJ67" s="19">
        <f>Programacion[[#This Row],[DEVENGADO ABRIL]]+Programacion[[#This Row],[DEVENGADO MAYO]]+Programacion[[#This Row],[DEVENGADO JUNIO]]</f>
        <v>15000</v>
      </c>
      <c r="AK67" s="19">
        <f>Programacion[[#This Row],[JULIO]]+Programacion[[#This Row],[AGOSTO]]+Programacion[[#This Row],[SEPTIEMBRE]]</f>
        <v>0</v>
      </c>
      <c r="AL67" s="19">
        <f>Programacion[[#This Row],[DEVENGADO JULIO]]+Programacion[[#This Row],[DEVENGADO AGOSTO]]+Programacion[[#This Row],[DEVENGADO SEPTIEMBRE]]</f>
        <v>0</v>
      </c>
      <c r="AM67" s="19">
        <f>Programacion[[#This Row],[OCTUBRE]]+Programacion[[#This Row],[NOVIEMBRE]]+Programacion[[#This Row],[DICIEMBRE]]</f>
        <v>0</v>
      </c>
      <c r="AN67" s="20">
        <f>Programacion[[#This Row],[DEVENGADO OCTUBRE]]+Programacion[[#This Row],[DEVENGADO NOVIEMBRE]]+Programacion[[#This Row],[DEVENGADO DICIEMBRE]]</f>
        <v>0</v>
      </c>
      <c r="AO67" s="20">
        <f>Programacion[[#This Row],[ENERO]]+Programacion[[#This Row],[FEBRERO]]+Programacion[[#This Row],[MARZO]]+Programacion[[#This Row],[ABRIL]]+Programacion[[#This Row],[MAYO]]+Programacion[[#This Row],[JUNIO]]</f>
        <v>25000</v>
      </c>
      <c r="AP6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6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67" s="116"/>
    </row>
    <row r="68" spans="1:46" x14ac:dyDescent="0.25">
      <c r="A68" s="26" t="s">
        <v>82</v>
      </c>
      <c r="B68" s="27" t="s">
        <v>103</v>
      </c>
      <c r="C68" s="28" t="s">
        <v>56</v>
      </c>
      <c r="D68" s="28" t="s">
        <v>48</v>
      </c>
      <c r="E68" s="29">
        <v>78</v>
      </c>
      <c r="F68" s="30">
        <v>2.2999999999999998</v>
      </c>
      <c r="G68" s="28" t="s">
        <v>71</v>
      </c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>
        <v>3000</v>
      </c>
      <c r="U68" s="31">
        <v>3000</v>
      </c>
      <c r="V68" s="31">
        <v>6000</v>
      </c>
      <c r="W68" s="31"/>
      <c r="X68" s="31">
        <v>6000</v>
      </c>
      <c r="Y68" s="31"/>
      <c r="Z68" s="31">
        <v>5000</v>
      </c>
      <c r="AA68" s="31"/>
      <c r="AB68" s="31">
        <v>5000</v>
      </c>
      <c r="AC68" s="31"/>
      <c r="AD68" s="31">
        <v>5000</v>
      </c>
      <c r="AE68" s="31"/>
      <c r="AF6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68" s="19">
        <f>Programacion[[#This Row],[ENERO]]+Programacion[[#This Row],[FEBRERO]]+Programacion[[#This Row],[MARZO]]</f>
        <v>0</v>
      </c>
      <c r="AH68" s="19">
        <f>Programacion[[#This Row],[DEVENGADO ENERO]]+Programacion[[#This Row],[DEVENGADO FEBRERO]]+Programacion[[#This Row],[DEVENGADO MARZO]]</f>
        <v>0</v>
      </c>
      <c r="AI68" s="19">
        <f>Programacion[[#This Row],[ABRIL]]+Programacion[[#This Row],[MAYO]]+Programacion[[#This Row],[JUNIO]]</f>
        <v>0</v>
      </c>
      <c r="AJ68" s="19">
        <f>Programacion[[#This Row],[DEVENGADO ABRIL]]+Programacion[[#This Row],[DEVENGADO MAYO]]+Programacion[[#This Row],[DEVENGADO JUNIO]]</f>
        <v>0</v>
      </c>
      <c r="AK68" s="19">
        <f>Programacion[[#This Row],[JULIO]]+Programacion[[#This Row],[AGOSTO]]+Programacion[[#This Row],[SEPTIEMBRE]]</f>
        <v>15000</v>
      </c>
      <c r="AL68" s="19">
        <f>Programacion[[#This Row],[DEVENGADO JULIO]]+Programacion[[#This Row],[DEVENGADO AGOSTO]]+Programacion[[#This Row],[DEVENGADO SEPTIEMBRE]]</f>
        <v>3000</v>
      </c>
      <c r="AM68" s="19">
        <f>Programacion[[#This Row],[OCTUBRE]]+Programacion[[#This Row],[NOVIEMBRE]]+Programacion[[#This Row],[DICIEMBRE]]</f>
        <v>15000</v>
      </c>
      <c r="AN68" s="20">
        <f>Programacion[[#This Row],[DEVENGADO OCTUBRE]]+Programacion[[#This Row],[DEVENGADO NOVIEMBRE]]+Programacion[[#This Row],[DEVENGADO DICIEMBRE]]</f>
        <v>0</v>
      </c>
      <c r="AO68" s="20">
        <f>Programacion[[#This Row],[ENERO]]+Programacion[[#This Row],[FEBRERO]]+Programacion[[#This Row],[MARZO]]+Programacion[[#This Row],[ABRIL]]+Programacion[[#This Row],[MAYO]]+Programacion[[#This Row],[JUNIO]]</f>
        <v>0</v>
      </c>
      <c r="AP6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8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6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S6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68" s="116"/>
    </row>
    <row r="69" spans="1:46" x14ac:dyDescent="0.25">
      <c r="A69" s="26" t="s">
        <v>82</v>
      </c>
      <c r="B69" s="27" t="s">
        <v>104</v>
      </c>
      <c r="C69" s="28" t="s">
        <v>56</v>
      </c>
      <c r="D69" s="28" t="s">
        <v>48</v>
      </c>
      <c r="E69" s="29">
        <v>3</v>
      </c>
      <c r="F69" s="30">
        <v>2.2999999999999998</v>
      </c>
      <c r="G69" s="28" t="s">
        <v>71</v>
      </c>
      <c r="H69" s="31"/>
      <c r="I69" s="31"/>
      <c r="J69" s="31">
        <v>5000</v>
      </c>
      <c r="K69" s="31">
        <v>5000</v>
      </c>
      <c r="L69" s="31">
        <v>5000</v>
      </c>
      <c r="M69" s="31">
        <v>5000</v>
      </c>
      <c r="N69" s="31">
        <v>5000</v>
      </c>
      <c r="O69" s="31">
        <v>5000</v>
      </c>
      <c r="P69" s="31">
        <v>5000</v>
      </c>
      <c r="Q69" s="31">
        <v>5000</v>
      </c>
      <c r="R69" s="31">
        <v>5000</v>
      </c>
      <c r="S69" s="31">
        <v>5000</v>
      </c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69" s="19">
        <f>Programacion[[#This Row],[ENERO]]+Programacion[[#This Row],[FEBRERO]]+Programacion[[#This Row],[MARZO]]</f>
        <v>10000</v>
      </c>
      <c r="AH69" s="19">
        <f>Programacion[[#This Row],[DEVENGADO ENERO]]+Programacion[[#This Row],[DEVENGADO FEBRERO]]+Programacion[[#This Row],[DEVENGADO MARZO]]</f>
        <v>10000</v>
      </c>
      <c r="AI69" s="19">
        <f>Programacion[[#This Row],[ABRIL]]+Programacion[[#This Row],[MAYO]]+Programacion[[#This Row],[JUNIO]]</f>
        <v>15000</v>
      </c>
      <c r="AJ69" s="19">
        <f>Programacion[[#This Row],[DEVENGADO ABRIL]]+Programacion[[#This Row],[DEVENGADO MAYO]]+Programacion[[#This Row],[DEVENGADO JUNIO]]</f>
        <v>15000</v>
      </c>
      <c r="AK69" s="19">
        <f>Programacion[[#This Row],[JULIO]]+Programacion[[#This Row],[AGOSTO]]+Programacion[[#This Row],[SEPTIEMBRE]]</f>
        <v>0</v>
      </c>
      <c r="AL69" s="19">
        <f>Programacion[[#This Row],[DEVENGADO JULIO]]+Programacion[[#This Row],[DEVENGADO AGOSTO]]+Programacion[[#This Row],[DEVENGADO SEPTIEMBRE]]</f>
        <v>0</v>
      </c>
      <c r="AM69" s="19">
        <f>Programacion[[#This Row],[OCTUBRE]]+Programacion[[#This Row],[NOVIEMBRE]]+Programacion[[#This Row],[DICIEMBRE]]</f>
        <v>0</v>
      </c>
      <c r="AN69" s="20">
        <f>Programacion[[#This Row],[DEVENGADO OCTUBRE]]+Programacion[[#This Row],[DEVENGADO NOVIEMBRE]]+Programacion[[#This Row],[DEVENGADO DICIEMBRE]]</f>
        <v>0</v>
      </c>
      <c r="AO69" s="20">
        <f>Programacion[[#This Row],[ENERO]]+Programacion[[#This Row],[FEBRERO]]+Programacion[[#This Row],[MARZO]]+Programacion[[#This Row],[ABRIL]]+Programacion[[#This Row],[MAYO]]+Programacion[[#This Row],[JUNIO]]</f>
        <v>25000</v>
      </c>
      <c r="AP6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6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69" s="116"/>
    </row>
    <row r="70" spans="1:46" x14ac:dyDescent="0.25">
      <c r="A70" s="26" t="s">
        <v>82</v>
      </c>
      <c r="B70" s="27" t="s">
        <v>105</v>
      </c>
      <c r="C70" s="28" t="s">
        <v>56</v>
      </c>
      <c r="D70" s="28" t="s">
        <v>48</v>
      </c>
      <c r="E70" s="29">
        <v>78</v>
      </c>
      <c r="F70" s="30">
        <v>2.2999999999999998</v>
      </c>
      <c r="G70" s="28" t="s">
        <v>71</v>
      </c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>
        <v>3000</v>
      </c>
      <c r="U70" s="31">
        <v>3000</v>
      </c>
      <c r="V70" s="31">
        <v>6000</v>
      </c>
      <c r="W70" s="31"/>
      <c r="X70" s="31">
        <v>6000</v>
      </c>
      <c r="Y70" s="31"/>
      <c r="Z70" s="31">
        <v>5000</v>
      </c>
      <c r="AA70" s="31"/>
      <c r="AB70" s="31">
        <v>5000</v>
      </c>
      <c r="AC70" s="31"/>
      <c r="AD70" s="31">
        <v>5000</v>
      </c>
      <c r="AE70" s="31"/>
      <c r="AF7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70" s="19">
        <f>Programacion[[#This Row],[ENERO]]+Programacion[[#This Row],[FEBRERO]]+Programacion[[#This Row],[MARZO]]</f>
        <v>0</v>
      </c>
      <c r="AH70" s="19">
        <f>Programacion[[#This Row],[DEVENGADO ENERO]]+Programacion[[#This Row],[DEVENGADO FEBRERO]]+Programacion[[#This Row],[DEVENGADO MARZO]]</f>
        <v>0</v>
      </c>
      <c r="AI70" s="19">
        <f>Programacion[[#This Row],[ABRIL]]+Programacion[[#This Row],[MAYO]]+Programacion[[#This Row],[JUNIO]]</f>
        <v>0</v>
      </c>
      <c r="AJ70" s="19">
        <f>Programacion[[#This Row],[DEVENGADO ABRIL]]+Programacion[[#This Row],[DEVENGADO MAYO]]+Programacion[[#This Row],[DEVENGADO JUNIO]]</f>
        <v>0</v>
      </c>
      <c r="AK70" s="19">
        <f>Programacion[[#This Row],[JULIO]]+Programacion[[#This Row],[AGOSTO]]+Programacion[[#This Row],[SEPTIEMBRE]]</f>
        <v>15000</v>
      </c>
      <c r="AL70" s="19">
        <f>Programacion[[#This Row],[DEVENGADO JULIO]]+Programacion[[#This Row],[DEVENGADO AGOSTO]]+Programacion[[#This Row],[DEVENGADO SEPTIEMBRE]]</f>
        <v>3000</v>
      </c>
      <c r="AM70" s="19">
        <f>Programacion[[#This Row],[OCTUBRE]]+Programacion[[#This Row],[NOVIEMBRE]]+Programacion[[#This Row],[DICIEMBRE]]</f>
        <v>15000</v>
      </c>
      <c r="AN70" s="20">
        <f>Programacion[[#This Row],[DEVENGADO OCTUBRE]]+Programacion[[#This Row],[DEVENGADO NOVIEMBRE]]+Programacion[[#This Row],[DEVENGADO DICIEMBRE]]</f>
        <v>0</v>
      </c>
      <c r="AO70" s="20">
        <f>Programacion[[#This Row],[ENERO]]+Programacion[[#This Row],[FEBRERO]]+Programacion[[#This Row],[MARZO]]+Programacion[[#This Row],[ABRIL]]+Programacion[[#This Row],[MAYO]]+Programacion[[#This Row],[JUNIO]]</f>
        <v>0</v>
      </c>
      <c r="AP7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0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7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S7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70" s="116"/>
    </row>
    <row r="71" spans="1:46" x14ac:dyDescent="0.25">
      <c r="A71" s="26" t="s">
        <v>82</v>
      </c>
      <c r="B71" s="32" t="s">
        <v>106</v>
      </c>
      <c r="C71" s="28" t="s">
        <v>56</v>
      </c>
      <c r="D71" s="28" t="s">
        <v>48</v>
      </c>
      <c r="E71" s="29">
        <v>3</v>
      </c>
      <c r="F71" s="30">
        <v>2.2999999999999998</v>
      </c>
      <c r="G71" s="28" t="s">
        <v>71</v>
      </c>
      <c r="H71" s="31"/>
      <c r="I71" s="31"/>
      <c r="J71" s="31"/>
      <c r="K71" s="31"/>
      <c r="L71" s="31">
        <v>5000</v>
      </c>
      <c r="M71" s="31">
        <v>5000</v>
      </c>
      <c r="N71" s="31">
        <v>5000</v>
      </c>
      <c r="O71" s="31">
        <v>5000</v>
      </c>
      <c r="P71" s="31">
        <v>5000</v>
      </c>
      <c r="Q71" s="31">
        <v>5000</v>
      </c>
      <c r="R71" s="31">
        <v>5000</v>
      </c>
      <c r="S71" s="31">
        <v>5000</v>
      </c>
      <c r="T71" s="31">
        <v>5000</v>
      </c>
      <c r="U71" s="31">
        <v>5000</v>
      </c>
      <c r="V71" s="31">
        <v>5000</v>
      </c>
      <c r="W71" s="31"/>
      <c r="X71" s="31"/>
      <c r="Y71" s="31"/>
      <c r="Z71" s="31"/>
      <c r="AA71" s="31"/>
      <c r="AB71" s="31"/>
      <c r="AC71" s="31"/>
      <c r="AD71" s="31"/>
      <c r="AE71" s="31"/>
      <c r="AF7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71" s="19">
        <f>Programacion[[#This Row],[ENERO]]+Programacion[[#This Row],[FEBRERO]]+Programacion[[#This Row],[MARZO]]</f>
        <v>5000</v>
      </c>
      <c r="AH71" s="19">
        <f>Programacion[[#This Row],[DEVENGADO ENERO]]+Programacion[[#This Row],[DEVENGADO FEBRERO]]+Programacion[[#This Row],[DEVENGADO MARZO]]</f>
        <v>5000</v>
      </c>
      <c r="AI71" s="19">
        <f>Programacion[[#This Row],[ABRIL]]+Programacion[[#This Row],[MAYO]]+Programacion[[#This Row],[JUNIO]]</f>
        <v>15000</v>
      </c>
      <c r="AJ71" s="19">
        <f>Programacion[[#This Row],[DEVENGADO ABRIL]]+Programacion[[#This Row],[DEVENGADO MAYO]]+Programacion[[#This Row],[DEVENGADO JUNIO]]</f>
        <v>15000</v>
      </c>
      <c r="AK71" s="19">
        <f>Programacion[[#This Row],[JULIO]]+Programacion[[#This Row],[AGOSTO]]+Programacion[[#This Row],[SEPTIEMBRE]]</f>
        <v>10000</v>
      </c>
      <c r="AL71" s="19">
        <f>Programacion[[#This Row],[DEVENGADO JULIO]]+Programacion[[#This Row],[DEVENGADO AGOSTO]]+Programacion[[#This Row],[DEVENGADO SEPTIEMBRE]]</f>
        <v>5000</v>
      </c>
      <c r="AM71" s="19">
        <f>Programacion[[#This Row],[OCTUBRE]]+Programacion[[#This Row],[NOVIEMBRE]]+Programacion[[#This Row],[DICIEMBRE]]</f>
        <v>0</v>
      </c>
      <c r="AN71" s="20">
        <f>Programacion[[#This Row],[DEVENGADO OCTUBRE]]+Programacion[[#This Row],[DEVENGADO NOVIEMBRE]]+Programacion[[#This Row],[DEVENGADO DICIEMBRE]]</f>
        <v>0</v>
      </c>
      <c r="AO71" s="20">
        <f>Programacion[[#This Row],[ENERO]]+Programacion[[#This Row],[FEBRERO]]+Programacion[[#This Row],[MARZO]]+Programacion[[#This Row],[ABRIL]]+Programacion[[#This Row],[MAYO]]+Programacion[[#This Row],[JUNIO]]</f>
        <v>20000</v>
      </c>
      <c r="AP7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71" s="20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7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7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71" s="116"/>
    </row>
    <row r="72" spans="1:46" x14ac:dyDescent="0.25">
      <c r="A72" s="26" t="s">
        <v>82</v>
      </c>
      <c r="B72" s="32" t="s">
        <v>106</v>
      </c>
      <c r="C72" s="28" t="s">
        <v>56</v>
      </c>
      <c r="D72" s="28" t="s">
        <v>48</v>
      </c>
      <c r="E72" s="29">
        <v>3</v>
      </c>
      <c r="F72" s="30">
        <v>2.2999999999999998</v>
      </c>
      <c r="G72" s="28" t="s">
        <v>71</v>
      </c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>
        <v>5000</v>
      </c>
      <c r="Y72" s="33"/>
      <c r="Z72" s="33">
        <v>5000</v>
      </c>
      <c r="AA72" s="33"/>
      <c r="AB72" s="33"/>
      <c r="AC72" s="33"/>
      <c r="AD72" s="33"/>
      <c r="AE72" s="33"/>
      <c r="AF7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72" s="33">
        <f>Programacion[[#This Row],[ENERO]]+Programacion[[#This Row],[FEBRERO]]+Programacion[[#This Row],[MARZO]]</f>
        <v>0</v>
      </c>
      <c r="AH72" s="33">
        <f>Programacion[[#This Row],[DEVENGADO ENERO]]+Programacion[[#This Row],[DEVENGADO FEBRERO]]+Programacion[[#This Row],[DEVENGADO MARZO]]</f>
        <v>0</v>
      </c>
      <c r="AI72" s="33">
        <f>Programacion[[#This Row],[ABRIL]]+Programacion[[#This Row],[MAYO]]+Programacion[[#This Row],[JUNIO]]</f>
        <v>0</v>
      </c>
      <c r="AJ72" s="33">
        <f>Programacion[[#This Row],[DEVENGADO ABRIL]]+Programacion[[#This Row],[DEVENGADO MAYO]]+Programacion[[#This Row],[DEVENGADO JUNIO]]</f>
        <v>0</v>
      </c>
      <c r="AK72" s="33">
        <f>Programacion[[#This Row],[JULIO]]+Programacion[[#This Row],[AGOSTO]]+Programacion[[#This Row],[SEPTIEMBRE]]</f>
        <v>5000</v>
      </c>
      <c r="AL72" s="33">
        <f>Programacion[[#This Row],[DEVENGADO JULIO]]+Programacion[[#This Row],[DEVENGADO AGOSTO]]+Programacion[[#This Row],[DEVENGADO SEPTIEMBRE]]</f>
        <v>0</v>
      </c>
      <c r="AM72" s="33">
        <f>Programacion[[#This Row],[OCTUBRE]]+Programacion[[#This Row],[NOVIEMBRE]]+Programacion[[#This Row],[DICIEMBRE]]</f>
        <v>5000</v>
      </c>
      <c r="AN72" s="21">
        <f>Programacion[[#This Row],[DEVENGADO OCTUBRE]]+Programacion[[#This Row],[DEVENGADO NOVIEMBRE]]+Programacion[[#This Row],[DEVENGADO DICIEMBRE]]</f>
        <v>0</v>
      </c>
      <c r="AO72" s="21">
        <f>Programacion[[#This Row],[ENERO]]+Programacion[[#This Row],[FEBRERO]]+Programacion[[#This Row],[MARZO]]+Programacion[[#This Row],[ABRIL]]+Programacion[[#This Row],[MAYO]]+Programacion[[#This Row],[JUNIO]]</f>
        <v>0</v>
      </c>
      <c r="AP7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2" s="21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7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72" s="116"/>
    </row>
    <row r="73" spans="1:46" x14ac:dyDescent="0.25">
      <c r="A73" s="26" t="s">
        <v>82</v>
      </c>
      <c r="B73" s="32" t="s">
        <v>243</v>
      </c>
      <c r="C73" s="28" t="s">
        <v>56</v>
      </c>
      <c r="D73" s="28" t="s">
        <v>48</v>
      </c>
      <c r="E73" s="29">
        <v>78</v>
      </c>
      <c r="F73" s="30">
        <v>2.2999999999999998</v>
      </c>
      <c r="G73" s="28" t="s">
        <v>71</v>
      </c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>
        <v>4000</v>
      </c>
      <c r="W73" s="31"/>
      <c r="X73" s="31">
        <v>4000</v>
      </c>
      <c r="Y73" s="31"/>
      <c r="Z73" s="31">
        <v>4000</v>
      </c>
      <c r="AA73" s="31"/>
      <c r="AB73" s="31">
        <v>4000</v>
      </c>
      <c r="AC73" s="31"/>
      <c r="AD73" s="31">
        <v>4000</v>
      </c>
      <c r="AE73" s="31"/>
      <c r="AF7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73" s="19">
        <f>Programacion[[#This Row],[ENERO]]+Programacion[[#This Row],[FEBRERO]]+Programacion[[#This Row],[MARZO]]</f>
        <v>0</v>
      </c>
      <c r="AH73" s="19">
        <f>Programacion[[#This Row],[DEVENGADO ENERO]]+Programacion[[#This Row],[DEVENGADO FEBRERO]]+Programacion[[#This Row],[DEVENGADO MARZO]]</f>
        <v>0</v>
      </c>
      <c r="AI73" s="19">
        <f>Programacion[[#This Row],[ABRIL]]+Programacion[[#This Row],[MAYO]]+Programacion[[#This Row],[JUNIO]]</f>
        <v>0</v>
      </c>
      <c r="AJ73" s="19">
        <f>Programacion[[#This Row],[DEVENGADO ABRIL]]+Programacion[[#This Row],[DEVENGADO MAYO]]+Programacion[[#This Row],[DEVENGADO JUNIO]]</f>
        <v>0</v>
      </c>
      <c r="AK73" s="19">
        <f>Programacion[[#This Row],[JULIO]]+Programacion[[#This Row],[AGOSTO]]+Programacion[[#This Row],[SEPTIEMBRE]]</f>
        <v>8000</v>
      </c>
      <c r="AL73" s="19">
        <f>Programacion[[#This Row],[DEVENGADO JULIO]]+Programacion[[#This Row],[DEVENGADO AGOSTO]]+Programacion[[#This Row],[DEVENGADO SEPTIEMBRE]]</f>
        <v>0</v>
      </c>
      <c r="AM73" s="19">
        <f>Programacion[[#This Row],[OCTUBRE]]+Programacion[[#This Row],[NOVIEMBRE]]+Programacion[[#This Row],[DICIEMBRE]]</f>
        <v>12000</v>
      </c>
      <c r="AN73" s="20">
        <f>Programacion[[#This Row],[DEVENGADO OCTUBRE]]+Programacion[[#This Row],[DEVENGADO NOVIEMBRE]]+Programacion[[#This Row],[DEVENGADO DICIEMBRE]]</f>
        <v>0</v>
      </c>
      <c r="AO73" s="20">
        <f>Programacion[[#This Row],[ENERO]]+Programacion[[#This Row],[FEBRERO]]+Programacion[[#This Row],[MARZO]]+Programacion[[#This Row],[ABRIL]]+Programacion[[#This Row],[MAYO]]+Programacion[[#This Row],[JUNIO]]</f>
        <v>0</v>
      </c>
      <c r="AP7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3" s="2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7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73" s="116"/>
    </row>
    <row r="74" spans="1:46" ht="30" x14ac:dyDescent="0.25">
      <c r="A74" s="101" t="s">
        <v>82</v>
      </c>
      <c r="B74" s="102" t="s">
        <v>238</v>
      </c>
      <c r="C74" s="28" t="s">
        <v>107</v>
      </c>
      <c r="D74" s="103" t="s">
        <v>48</v>
      </c>
      <c r="E74" s="104">
        <v>78</v>
      </c>
      <c r="F74" s="105">
        <v>2.2999999999999998</v>
      </c>
      <c r="G74" s="103" t="s">
        <v>123</v>
      </c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>
        <v>660</v>
      </c>
      <c r="AE74" s="33"/>
      <c r="AF74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660</v>
      </c>
      <c r="AG74" s="33">
        <f>Programacion[[#This Row],[ENERO]]+Programacion[[#This Row],[FEBRERO]]+Programacion[[#This Row],[MARZO]]</f>
        <v>0</v>
      </c>
      <c r="AH74" s="33">
        <f>Programacion[[#This Row],[DEVENGADO ENERO]]+Programacion[[#This Row],[DEVENGADO FEBRERO]]+Programacion[[#This Row],[DEVENGADO MARZO]]</f>
        <v>0</v>
      </c>
      <c r="AI74" s="33">
        <f>Programacion[[#This Row],[ABRIL]]+Programacion[[#This Row],[MAYO]]+Programacion[[#This Row],[JUNIO]]</f>
        <v>0</v>
      </c>
      <c r="AJ74" s="33">
        <f>Programacion[[#This Row],[DEVENGADO ABRIL]]+Programacion[[#This Row],[DEVENGADO MAYO]]+Programacion[[#This Row],[DEVENGADO JUNIO]]</f>
        <v>0</v>
      </c>
      <c r="AK74" s="33">
        <f>Programacion[[#This Row],[JULIO]]+Programacion[[#This Row],[AGOSTO]]+Programacion[[#This Row],[SEPTIEMBRE]]</f>
        <v>0</v>
      </c>
      <c r="AL74" s="33">
        <f>Programacion[[#This Row],[DEVENGADO JULIO]]+Programacion[[#This Row],[DEVENGADO AGOSTO]]+Programacion[[#This Row],[DEVENGADO SEPTIEMBRE]]</f>
        <v>0</v>
      </c>
      <c r="AM74" s="33">
        <f>Programacion[[#This Row],[OCTUBRE]]+Programacion[[#This Row],[NOVIEMBRE]]+Programacion[[#This Row],[DICIEMBRE]]</f>
        <v>660</v>
      </c>
      <c r="AN74" s="21">
        <f>Programacion[[#This Row],[DEVENGADO OCTUBRE]]+Programacion[[#This Row],[DEVENGADO NOVIEMBRE]]+Programacion[[#This Row],[DEVENGADO DICIEMBRE]]</f>
        <v>0</v>
      </c>
      <c r="AO74" s="21">
        <f>Programacion[[#This Row],[ENERO]]+Programacion[[#This Row],[FEBRERO]]+Programacion[[#This Row],[MARZO]]+Programacion[[#This Row],[ABRIL]]+Programacion[[#This Row],[MAYO]]+Programacion[[#This Row],[JUNIO]]</f>
        <v>0</v>
      </c>
      <c r="AP7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4" s="21">
        <f>Programacion[[#This Row],[JULIO]]+Programacion[[#This Row],[AGOSTO]]+Programacion[[#This Row],[SEPTIEMBRE]]+Programacion[[#This Row],[OCTUBRE]]+Programacion[[#This Row],[NOVIEMBRE]]+Programacion[[#This Row],[DICIEMBRE]]</f>
        <v>660</v>
      </c>
      <c r="AR7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74" s="116"/>
    </row>
    <row r="75" spans="1:46" ht="30" x14ac:dyDescent="0.25">
      <c r="A75" s="26" t="s">
        <v>82</v>
      </c>
      <c r="B75" s="32" t="s">
        <v>107</v>
      </c>
      <c r="C75" s="28" t="s">
        <v>107</v>
      </c>
      <c r="D75" s="28" t="s">
        <v>48</v>
      </c>
      <c r="E75" s="29">
        <v>78</v>
      </c>
      <c r="F75" s="30">
        <v>2.2999999999999998</v>
      </c>
      <c r="G75" s="28" t="s">
        <v>108</v>
      </c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>
        <v>602.66999999999996</v>
      </c>
      <c r="U75" s="31">
        <v>602.66999999999996</v>
      </c>
      <c r="V75" s="31">
        <v>1130</v>
      </c>
      <c r="W75" s="31"/>
      <c r="X75" s="31">
        <v>1130</v>
      </c>
      <c r="Y75" s="31"/>
      <c r="Z75" s="31">
        <v>1130</v>
      </c>
      <c r="AA75" s="31"/>
      <c r="AB75" s="31">
        <v>1130</v>
      </c>
      <c r="AC75" s="31"/>
      <c r="AD75" s="31">
        <v>1130</v>
      </c>
      <c r="AE75" s="31"/>
      <c r="AF7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6252.67</v>
      </c>
      <c r="AG75" s="19">
        <f>Programacion[[#This Row],[ENERO]]+Programacion[[#This Row],[FEBRERO]]+Programacion[[#This Row],[MARZO]]</f>
        <v>0</v>
      </c>
      <c r="AH75" s="19">
        <f>Programacion[[#This Row],[DEVENGADO ENERO]]+Programacion[[#This Row],[DEVENGADO FEBRERO]]+Programacion[[#This Row],[DEVENGADO MARZO]]</f>
        <v>0</v>
      </c>
      <c r="AI75" s="19">
        <f>Programacion[[#This Row],[ABRIL]]+Programacion[[#This Row],[MAYO]]+Programacion[[#This Row],[JUNIO]]</f>
        <v>0</v>
      </c>
      <c r="AJ75" s="19">
        <f>Programacion[[#This Row],[DEVENGADO ABRIL]]+Programacion[[#This Row],[DEVENGADO MAYO]]+Programacion[[#This Row],[DEVENGADO JUNIO]]</f>
        <v>0</v>
      </c>
      <c r="AK75" s="19">
        <f>Programacion[[#This Row],[JULIO]]+Programacion[[#This Row],[AGOSTO]]+Programacion[[#This Row],[SEPTIEMBRE]]</f>
        <v>2862.67</v>
      </c>
      <c r="AL75" s="19">
        <f>Programacion[[#This Row],[DEVENGADO JULIO]]+Programacion[[#This Row],[DEVENGADO AGOSTO]]+Programacion[[#This Row],[DEVENGADO SEPTIEMBRE]]</f>
        <v>602.66999999999996</v>
      </c>
      <c r="AM75" s="19">
        <f>Programacion[[#This Row],[OCTUBRE]]+Programacion[[#This Row],[NOVIEMBRE]]+Programacion[[#This Row],[DICIEMBRE]]</f>
        <v>3390</v>
      </c>
      <c r="AN75" s="20">
        <f>Programacion[[#This Row],[DEVENGADO OCTUBRE]]+Programacion[[#This Row],[DEVENGADO NOVIEMBRE]]+Programacion[[#This Row],[DEVENGADO DICIEMBRE]]</f>
        <v>0</v>
      </c>
      <c r="AO75" s="20">
        <f>Programacion[[#This Row],[ENERO]]+Programacion[[#This Row],[FEBRERO]]+Programacion[[#This Row],[MARZO]]+Programacion[[#This Row],[ABRIL]]+Programacion[[#This Row],[MAYO]]+Programacion[[#This Row],[JUNIO]]</f>
        <v>0</v>
      </c>
      <c r="AP7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5" s="20">
        <f>Programacion[[#This Row],[JULIO]]+Programacion[[#This Row],[AGOSTO]]+Programacion[[#This Row],[SEPTIEMBRE]]+Programacion[[#This Row],[OCTUBRE]]+Programacion[[#This Row],[NOVIEMBRE]]+Programacion[[#This Row],[DICIEMBRE]]</f>
        <v>6252.67</v>
      </c>
      <c r="AR7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602.66999999999996</v>
      </c>
      <c r="AS7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602.66999999999996</v>
      </c>
      <c r="AT75" s="116"/>
    </row>
    <row r="76" spans="1:46" x14ac:dyDescent="0.25">
      <c r="A76" s="26" t="s">
        <v>82</v>
      </c>
      <c r="B76" s="32" t="s">
        <v>109</v>
      </c>
      <c r="C76" s="28" t="s">
        <v>56</v>
      </c>
      <c r="D76" s="28" t="s">
        <v>48</v>
      </c>
      <c r="E76" s="29">
        <v>39</v>
      </c>
      <c r="F76" s="30">
        <v>2.2999999999999998</v>
      </c>
      <c r="G76" s="28" t="s">
        <v>71</v>
      </c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>
        <v>1130</v>
      </c>
      <c r="S76" s="31"/>
      <c r="T76" s="31"/>
      <c r="U76" s="31">
        <v>1130</v>
      </c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1130</v>
      </c>
      <c r="AG76" s="33">
        <f>Programacion[[#This Row],[ENERO]]+Programacion[[#This Row],[FEBRERO]]+Programacion[[#This Row],[MARZO]]</f>
        <v>0</v>
      </c>
      <c r="AH76" s="33">
        <f>Programacion[[#This Row],[DEVENGADO ENERO]]+Programacion[[#This Row],[DEVENGADO FEBRERO]]+Programacion[[#This Row],[DEVENGADO MARZO]]</f>
        <v>0</v>
      </c>
      <c r="AI76" s="33">
        <f>Programacion[[#This Row],[ABRIL]]+Programacion[[#This Row],[MAYO]]+Programacion[[#This Row],[JUNIO]]</f>
        <v>1130</v>
      </c>
      <c r="AJ76" s="33">
        <f>Programacion[[#This Row],[DEVENGADO ABRIL]]+Programacion[[#This Row],[DEVENGADO MAYO]]+Programacion[[#This Row],[DEVENGADO JUNIO]]</f>
        <v>0</v>
      </c>
      <c r="AK76" s="33">
        <f>Programacion[[#This Row],[JULIO]]+Programacion[[#This Row],[AGOSTO]]+Programacion[[#This Row],[SEPTIEMBRE]]</f>
        <v>0</v>
      </c>
      <c r="AL76" s="33">
        <f>Programacion[[#This Row],[DEVENGADO JULIO]]+Programacion[[#This Row],[DEVENGADO AGOSTO]]+Programacion[[#This Row],[DEVENGADO SEPTIEMBRE]]</f>
        <v>1130</v>
      </c>
      <c r="AM76" s="33">
        <f>Programacion[[#This Row],[OCTUBRE]]+Programacion[[#This Row],[NOVIEMBRE]]+Programacion[[#This Row],[DICIEMBRE]]</f>
        <v>0</v>
      </c>
      <c r="AN76" s="21">
        <f>Programacion[[#This Row],[DEVENGADO OCTUBRE]]+Programacion[[#This Row],[DEVENGADO NOVIEMBRE]]+Programacion[[#This Row],[DEVENGADO DICIEMBRE]]</f>
        <v>0</v>
      </c>
      <c r="AO76" s="21">
        <f>Programacion[[#This Row],[ENERO]]+Programacion[[#This Row],[FEBRERO]]+Programacion[[#This Row],[MARZO]]+Programacion[[#This Row],[ABRIL]]+Programacion[[#This Row],[MAYO]]+Programacion[[#This Row],[JUNIO]]</f>
        <v>1130</v>
      </c>
      <c r="AP7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6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1130</v>
      </c>
      <c r="AS7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1130</v>
      </c>
      <c r="AT76" s="116"/>
    </row>
    <row r="77" spans="1:46" ht="30" x14ac:dyDescent="0.25">
      <c r="A77" s="26" t="s">
        <v>82</v>
      </c>
      <c r="B77" s="114" t="s">
        <v>228</v>
      </c>
      <c r="C77" s="103" t="s">
        <v>47</v>
      </c>
      <c r="D77" s="28" t="s">
        <v>48</v>
      </c>
      <c r="E77" s="104">
        <v>78</v>
      </c>
      <c r="F77" s="30">
        <v>2.2999999999999998</v>
      </c>
      <c r="G77" s="28" t="s">
        <v>49</v>
      </c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1">
        <v>1550</v>
      </c>
      <c r="S77" s="33"/>
      <c r="T77" s="33"/>
      <c r="U77" s="33">
        <v>1123.99</v>
      </c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1550</v>
      </c>
      <c r="AG77" s="33">
        <f>Programacion[[#This Row],[ENERO]]+Programacion[[#This Row],[FEBRERO]]+Programacion[[#This Row],[MARZO]]</f>
        <v>0</v>
      </c>
      <c r="AH77" s="33">
        <f>Programacion[[#This Row],[DEVENGADO ENERO]]+Programacion[[#This Row],[DEVENGADO FEBRERO]]+Programacion[[#This Row],[DEVENGADO MARZO]]</f>
        <v>0</v>
      </c>
      <c r="AI77" s="33">
        <f>Programacion[[#This Row],[ABRIL]]+Programacion[[#This Row],[MAYO]]+Programacion[[#This Row],[JUNIO]]</f>
        <v>1550</v>
      </c>
      <c r="AJ77" s="33">
        <f>Programacion[[#This Row],[DEVENGADO ABRIL]]+Programacion[[#This Row],[DEVENGADO MAYO]]+Programacion[[#This Row],[DEVENGADO JUNIO]]</f>
        <v>0</v>
      </c>
      <c r="AK77" s="33">
        <f>Programacion[[#This Row],[JULIO]]+Programacion[[#This Row],[AGOSTO]]+Programacion[[#This Row],[SEPTIEMBRE]]</f>
        <v>0</v>
      </c>
      <c r="AL77" s="33">
        <f>Programacion[[#This Row],[DEVENGADO JULIO]]+Programacion[[#This Row],[DEVENGADO AGOSTO]]+Programacion[[#This Row],[DEVENGADO SEPTIEMBRE]]</f>
        <v>1123.99</v>
      </c>
      <c r="AM77" s="33">
        <f>Programacion[[#This Row],[OCTUBRE]]+Programacion[[#This Row],[NOVIEMBRE]]+Programacion[[#This Row],[DICIEMBRE]]</f>
        <v>0</v>
      </c>
      <c r="AN77" s="21">
        <f>Programacion[[#This Row],[DEVENGADO OCTUBRE]]+Programacion[[#This Row],[DEVENGADO NOVIEMBRE]]+Programacion[[#This Row],[DEVENGADO DICIEMBRE]]</f>
        <v>0</v>
      </c>
      <c r="AO77" s="21">
        <f>Programacion[[#This Row],[ENERO]]+Programacion[[#This Row],[FEBRERO]]+Programacion[[#This Row],[MARZO]]+Programacion[[#This Row],[ABRIL]]+Programacion[[#This Row],[MAYO]]+Programacion[[#This Row],[JUNIO]]</f>
        <v>1550</v>
      </c>
      <c r="AP7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7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1123.99</v>
      </c>
      <c r="AS7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1123.99</v>
      </c>
      <c r="AT77" s="116"/>
    </row>
    <row r="78" spans="1:46" x14ac:dyDescent="0.25">
      <c r="A78" s="26" t="s">
        <v>82</v>
      </c>
      <c r="B78" s="114" t="s">
        <v>283</v>
      </c>
      <c r="C78" s="103" t="s">
        <v>47</v>
      </c>
      <c r="D78" s="28" t="s">
        <v>48</v>
      </c>
      <c r="E78" s="104">
        <v>78</v>
      </c>
      <c r="F78" s="30">
        <v>2.2999999999999998</v>
      </c>
      <c r="G78" s="28" t="s">
        <v>51</v>
      </c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1">
        <v>3280</v>
      </c>
      <c r="S78" s="33"/>
      <c r="T78" s="33"/>
      <c r="U78" s="33">
        <v>2156</v>
      </c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3280</v>
      </c>
      <c r="AG78" s="33">
        <f>Programacion[[#This Row],[ENERO]]+Programacion[[#This Row],[FEBRERO]]+Programacion[[#This Row],[MARZO]]</f>
        <v>0</v>
      </c>
      <c r="AH78" s="33">
        <f>Programacion[[#This Row],[DEVENGADO ENERO]]+Programacion[[#This Row],[DEVENGADO FEBRERO]]+Programacion[[#This Row],[DEVENGADO MARZO]]</f>
        <v>0</v>
      </c>
      <c r="AI78" s="33">
        <f>Programacion[[#This Row],[ABRIL]]+Programacion[[#This Row],[MAYO]]+Programacion[[#This Row],[JUNIO]]</f>
        <v>3280</v>
      </c>
      <c r="AJ78" s="33">
        <f>Programacion[[#This Row],[DEVENGADO ABRIL]]+Programacion[[#This Row],[DEVENGADO MAYO]]+Programacion[[#This Row],[DEVENGADO JUNIO]]</f>
        <v>0</v>
      </c>
      <c r="AK78" s="33">
        <f>Programacion[[#This Row],[JULIO]]+Programacion[[#This Row],[AGOSTO]]+Programacion[[#This Row],[SEPTIEMBRE]]</f>
        <v>0</v>
      </c>
      <c r="AL78" s="33">
        <f>Programacion[[#This Row],[DEVENGADO JULIO]]+Programacion[[#This Row],[DEVENGADO AGOSTO]]+Programacion[[#This Row],[DEVENGADO SEPTIEMBRE]]</f>
        <v>2156</v>
      </c>
      <c r="AM78" s="33">
        <f>Programacion[[#This Row],[OCTUBRE]]+Programacion[[#This Row],[NOVIEMBRE]]+Programacion[[#This Row],[DICIEMBRE]]</f>
        <v>0</v>
      </c>
      <c r="AN78" s="21">
        <f>Programacion[[#This Row],[DEVENGADO OCTUBRE]]+Programacion[[#This Row],[DEVENGADO NOVIEMBRE]]+Programacion[[#This Row],[DEVENGADO DICIEMBRE]]</f>
        <v>0</v>
      </c>
      <c r="AO78" s="21">
        <f>Programacion[[#This Row],[ENERO]]+Programacion[[#This Row],[FEBRERO]]+Programacion[[#This Row],[MARZO]]+Programacion[[#This Row],[ABRIL]]+Programacion[[#This Row],[MAYO]]+Programacion[[#This Row],[JUNIO]]</f>
        <v>3280</v>
      </c>
      <c r="AP7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8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2156</v>
      </c>
      <c r="AS7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2156</v>
      </c>
      <c r="AT78" s="116"/>
    </row>
    <row r="79" spans="1:46" x14ac:dyDescent="0.25">
      <c r="A79" s="26" t="s">
        <v>82</v>
      </c>
      <c r="B79" s="114" t="s">
        <v>284</v>
      </c>
      <c r="C79" s="103" t="s">
        <v>47</v>
      </c>
      <c r="D79" s="28" t="s">
        <v>48</v>
      </c>
      <c r="E79" s="104">
        <v>78</v>
      </c>
      <c r="F79" s="30">
        <v>2.2999999999999998</v>
      </c>
      <c r="G79" s="28" t="s">
        <v>231</v>
      </c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1">
        <v>829</v>
      </c>
      <c r="S79" s="33">
        <v>829</v>
      </c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829</v>
      </c>
      <c r="AG79" s="33">
        <f>Programacion[[#This Row],[ENERO]]+Programacion[[#This Row],[FEBRERO]]+Programacion[[#This Row],[MARZO]]</f>
        <v>0</v>
      </c>
      <c r="AH79" s="33">
        <f>Programacion[[#This Row],[DEVENGADO ENERO]]+Programacion[[#This Row],[DEVENGADO FEBRERO]]+Programacion[[#This Row],[DEVENGADO MARZO]]</f>
        <v>0</v>
      </c>
      <c r="AI79" s="33">
        <f>Programacion[[#This Row],[ABRIL]]+Programacion[[#This Row],[MAYO]]+Programacion[[#This Row],[JUNIO]]</f>
        <v>829</v>
      </c>
      <c r="AJ79" s="33">
        <f>Programacion[[#This Row],[DEVENGADO ABRIL]]+Programacion[[#This Row],[DEVENGADO MAYO]]+Programacion[[#This Row],[DEVENGADO JUNIO]]</f>
        <v>829</v>
      </c>
      <c r="AK79" s="33">
        <f>Programacion[[#This Row],[JULIO]]+Programacion[[#This Row],[AGOSTO]]+Programacion[[#This Row],[SEPTIEMBRE]]</f>
        <v>0</v>
      </c>
      <c r="AL79" s="33">
        <f>Programacion[[#This Row],[DEVENGADO JULIO]]+Programacion[[#This Row],[DEVENGADO AGOSTO]]+Programacion[[#This Row],[DEVENGADO SEPTIEMBRE]]</f>
        <v>0</v>
      </c>
      <c r="AM79" s="33">
        <f>Programacion[[#This Row],[OCTUBRE]]+Programacion[[#This Row],[NOVIEMBRE]]+Programacion[[#This Row],[DICIEMBRE]]</f>
        <v>0</v>
      </c>
      <c r="AN79" s="21">
        <f>Programacion[[#This Row],[DEVENGADO OCTUBRE]]+Programacion[[#This Row],[DEVENGADO NOVIEMBRE]]+Programacion[[#This Row],[DEVENGADO DICIEMBRE]]</f>
        <v>0</v>
      </c>
      <c r="AO79" s="21">
        <f>Programacion[[#This Row],[ENERO]]+Programacion[[#This Row],[FEBRERO]]+Programacion[[#This Row],[MARZO]]+Programacion[[#This Row],[ABRIL]]+Programacion[[#This Row],[MAYO]]+Programacion[[#This Row],[JUNIO]]</f>
        <v>829</v>
      </c>
      <c r="AP7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829</v>
      </c>
      <c r="AQ79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829</v>
      </c>
      <c r="AT79" s="116"/>
    </row>
    <row r="80" spans="1:46" x14ac:dyDescent="0.25">
      <c r="A80" s="26" t="s">
        <v>82</v>
      </c>
      <c r="B80" s="114" t="s">
        <v>285</v>
      </c>
      <c r="C80" s="103" t="s">
        <v>47</v>
      </c>
      <c r="D80" s="28" t="s">
        <v>48</v>
      </c>
      <c r="E80" s="104">
        <v>78</v>
      </c>
      <c r="F80" s="30">
        <v>2.2999999999999998</v>
      </c>
      <c r="G80" s="28" t="s">
        <v>232</v>
      </c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1">
        <v>3500</v>
      </c>
      <c r="S80" s="33">
        <v>3500</v>
      </c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</v>
      </c>
      <c r="AG80" s="33">
        <f>Programacion[[#This Row],[ENERO]]+Programacion[[#This Row],[FEBRERO]]+Programacion[[#This Row],[MARZO]]</f>
        <v>0</v>
      </c>
      <c r="AH80" s="33">
        <f>Programacion[[#This Row],[DEVENGADO ENERO]]+Programacion[[#This Row],[DEVENGADO FEBRERO]]+Programacion[[#This Row],[DEVENGADO MARZO]]</f>
        <v>0</v>
      </c>
      <c r="AI80" s="33">
        <f>Programacion[[#This Row],[ABRIL]]+Programacion[[#This Row],[MAYO]]+Programacion[[#This Row],[JUNIO]]</f>
        <v>3500</v>
      </c>
      <c r="AJ80" s="33">
        <f>Programacion[[#This Row],[DEVENGADO ABRIL]]+Programacion[[#This Row],[DEVENGADO MAYO]]+Programacion[[#This Row],[DEVENGADO JUNIO]]</f>
        <v>3500</v>
      </c>
      <c r="AK80" s="33">
        <f>Programacion[[#This Row],[JULIO]]+Programacion[[#This Row],[AGOSTO]]+Programacion[[#This Row],[SEPTIEMBRE]]</f>
        <v>0</v>
      </c>
      <c r="AL80" s="33">
        <f>Programacion[[#This Row],[DEVENGADO JULIO]]+Programacion[[#This Row],[DEVENGADO AGOSTO]]+Programacion[[#This Row],[DEVENGADO SEPTIEMBRE]]</f>
        <v>0</v>
      </c>
      <c r="AM80" s="33">
        <f>Programacion[[#This Row],[OCTUBRE]]+Programacion[[#This Row],[NOVIEMBRE]]+Programacion[[#This Row],[DICIEMBRE]]</f>
        <v>0</v>
      </c>
      <c r="AN80" s="21">
        <f>Programacion[[#This Row],[DEVENGADO OCTUBRE]]+Programacion[[#This Row],[DEVENGADO NOVIEMBRE]]+Programacion[[#This Row],[DEVENGADO DICIEMBRE]]</f>
        <v>0</v>
      </c>
      <c r="AO80" s="21">
        <f>Programacion[[#This Row],[ENERO]]+Programacion[[#This Row],[FEBRERO]]+Programacion[[#This Row],[MARZO]]+Programacion[[#This Row],[ABRIL]]+Programacion[[#This Row],[MAYO]]+Programacion[[#This Row],[JUNIO]]</f>
        <v>3500</v>
      </c>
      <c r="AP8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3500</v>
      </c>
      <c r="AQ80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T80" s="116"/>
    </row>
    <row r="81" spans="1:46" x14ac:dyDescent="0.25">
      <c r="A81" s="26" t="s">
        <v>82</v>
      </c>
      <c r="B81" s="114" t="s">
        <v>280</v>
      </c>
      <c r="C81" s="103" t="s">
        <v>47</v>
      </c>
      <c r="D81" s="28" t="s">
        <v>48</v>
      </c>
      <c r="E81" s="104">
        <v>78</v>
      </c>
      <c r="F81" s="30">
        <v>2.2999999999999998</v>
      </c>
      <c r="G81" s="28" t="s">
        <v>86</v>
      </c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>
        <v>400</v>
      </c>
      <c r="U81" s="33">
        <v>400</v>
      </c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</v>
      </c>
      <c r="AG81" s="33">
        <f>Programacion[[#This Row],[ENERO]]+Programacion[[#This Row],[FEBRERO]]+Programacion[[#This Row],[MARZO]]</f>
        <v>0</v>
      </c>
      <c r="AH81" s="33">
        <f>Programacion[[#This Row],[DEVENGADO ENERO]]+Programacion[[#This Row],[DEVENGADO FEBRERO]]+Programacion[[#This Row],[DEVENGADO MARZO]]</f>
        <v>0</v>
      </c>
      <c r="AI81" s="33">
        <f>Programacion[[#This Row],[ABRIL]]+Programacion[[#This Row],[MAYO]]+Programacion[[#This Row],[JUNIO]]</f>
        <v>0</v>
      </c>
      <c r="AJ81" s="33">
        <f>Programacion[[#This Row],[DEVENGADO ABRIL]]+Programacion[[#This Row],[DEVENGADO MAYO]]+Programacion[[#This Row],[DEVENGADO JUNIO]]</f>
        <v>0</v>
      </c>
      <c r="AK81" s="33">
        <f>Programacion[[#This Row],[JULIO]]+Programacion[[#This Row],[AGOSTO]]+Programacion[[#This Row],[SEPTIEMBRE]]</f>
        <v>400</v>
      </c>
      <c r="AL81" s="33">
        <f>Programacion[[#This Row],[DEVENGADO JULIO]]+Programacion[[#This Row],[DEVENGADO AGOSTO]]+Programacion[[#This Row],[DEVENGADO SEPTIEMBRE]]</f>
        <v>400</v>
      </c>
      <c r="AM81" s="33">
        <f>Programacion[[#This Row],[OCTUBRE]]+Programacion[[#This Row],[NOVIEMBRE]]+Programacion[[#This Row],[DICIEMBRE]]</f>
        <v>0</v>
      </c>
      <c r="AN81" s="21">
        <f>Programacion[[#This Row],[DEVENGADO OCTUBRE]]+Programacion[[#This Row],[DEVENGADO NOVIEMBRE]]+Programacion[[#This Row],[DEVENGADO DICIEMBRE]]</f>
        <v>0</v>
      </c>
      <c r="AO81" s="21">
        <f>Programacion[[#This Row],[ENERO]]+Programacion[[#This Row],[FEBRERO]]+Programacion[[#This Row],[MARZO]]+Programacion[[#This Row],[ABRIL]]+Programacion[[#This Row],[MAYO]]+Programacion[[#This Row],[JUNIO]]</f>
        <v>0</v>
      </c>
      <c r="AP8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1" s="21">
        <f>Programacion[[#This Row],[JULIO]]+Programacion[[#This Row],[AGOSTO]]+Programacion[[#This Row],[SEPTIEMBRE]]+Programacion[[#This Row],[OCTUBRE]]+Programacion[[#This Row],[NOVIEMBRE]]+Programacion[[#This Row],[DICIEMBRE]]</f>
        <v>400</v>
      </c>
      <c r="AR8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S8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81" s="116"/>
    </row>
    <row r="82" spans="1:46" x14ac:dyDescent="0.25">
      <c r="A82" s="26" t="s">
        <v>82</v>
      </c>
      <c r="B82" s="114" t="s">
        <v>286</v>
      </c>
      <c r="C82" s="103" t="s">
        <v>47</v>
      </c>
      <c r="D82" s="28" t="s">
        <v>48</v>
      </c>
      <c r="E82" s="104">
        <v>78</v>
      </c>
      <c r="F82" s="30">
        <v>2.2999999999999998</v>
      </c>
      <c r="G82" s="28" t="s">
        <v>87</v>
      </c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>
        <v>50</v>
      </c>
      <c r="U82" s="33">
        <v>14.3</v>
      </c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</v>
      </c>
      <c r="AG82" s="33">
        <f>Programacion[[#This Row],[ENERO]]+Programacion[[#This Row],[FEBRERO]]+Programacion[[#This Row],[MARZO]]</f>
        <v>0</v>
      </c>
      <c r="AH82" s="33">
        <f>Programacion[[#This Row],[DEVENGADO ENERO]]+Programacion[[#This Row],[DEVENGADO FEBRERO]]+Programacion[[#This Row],[DEVENGADO MARZO]]</f>
        <v>0</v>
      </c>
      <c r="AI82" s="33">
        <f>Programacion[[#This Row],[ABRIL]]+Programacion[[#This Row],[MAYO]]+Programacion[[#This Row],[JUNIO]]</f>
        <v>0</v>
      </c>
      <c r="AJ82" s="33">
        <f>Programacion[[#This Row],[DEVENGADO ABRIL]]+Programacion[[#This Row],[DEVENGADO MAYO]]+Programacion[[#This Row],[DEVENGADO JUNIO]]</f>
        <v>0</v>
      </c>
      <c r="AK82" s="33">
        <f>Programacion[[#This Row],[JULIO]]+Programacion[[#This Row],[AGOSTO]]+Programacion[[#This Row],[SEPTIEMBRE]]</f>
        <v>50</v>
      </c>
      <c r="AL82" s="33">
        <f>Programacion[[#This Row],[DEVENGADO JULIO]]+Programacion[[#This Row],[DEVENGADO AGOSTO]]+Programacion[[#This Row],[DEVENGADO SEPTIEMBRE]]</f>
        <v>14.3</v>
      </c>
      <c r="AM82" s="33">
        <f>Programacion[[#This Row],[OCTUBRE]]+Programacion[[#This Row],[NOVIEMBRE]]+Programacion[[#This Row],[DICIEMBRE]]</f>
        <v>0</v>
      </c>
      <c r="AN82" s="21">
        <f>Programacion[[#This Row],[DEVENGADO OCTUBRE]]+Programacion[[#This Row],[DEVENGADO NOVIEMBRE]]+Programacion[[#This Row],[DEVENGADO DICIEMBRE]]</f>
        <v>0</v>
      </c>
      <c r="AO82" s="21">
        <f>Programacion[[#This Row],[ENERO]]+Programacion[[#This Row],[FEBRERO]]+Programacion[[#This Row],[MARZO]]+Programacion[[#This Row],[ABRIL]]+Programacion[[#This Row],[MAYO]]+Programacion[[#This Row],[JUNIO]]</f>
        <v>0</v>
      </c>
      <c r="AP8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2" s="21">
        <f>Programacion[[#This Row],[JULIO]]+Programacion[[#This Row],[AGOSTO]]+Programacion[[#This Row],[SEPTIEMBRE]]+Programacion[[#This Row],[OCTUBRE]]+Programacion[[#This Row],[NOVIEMBRE]]+Programacion[[#This Row],[DICIEMBRE]]</f>
        <v>50</v>
      </c>
      <c r="AR8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14.3</v>
      </c>
      <c r="AS8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14.3</v>
      </c>
      <c r="AT82" s="116"/>
    </row>
    <row r="83" spans="1:46" ht="30" x14ac:dyDescent="0.25">
      <c r="A83" s="26" t="s">
        <v>82</v>
      </c>
      <c r="B83" s="114" t="s">
        <v>229</v>
      </c>
      <c r="C83" s="103" t="s">
        <v>47</v>
      </c>
      <c r="D83" s="28" t="s">
        <v>48</v>
      </c>
      <c r="E83" s="104">
        <v>78</v>
      </c>
      <c r="F83" s="30">
        <v>2.2999999999999998</v>
      </c>
      <c r="G83" s="28" t="s">
        <v>49</v>
      </c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1">
        <v>3000</v>
      </c>
      <c r="U83" s="33">
        <v>3000</v>
      </c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83" s="33">
        <f>Programacion[[#This Row],[ENERO]]+Programacion[[#This Row],[FEBRERO]]+Programacion[[#This Row],[MARZO]]</f>
        <v>0</v>
      </c>
      <c r="AH83" s="33">
        <f>Programacion[[#This Row],[DEVENGADO ENERO]]+Programacion[[#This Row],[DEVENGADO FEBRERO]]+Programacion[[#This Row],[DEVENGADO MARZO]]</f>
        <v>0</v>
      </c>
      <c r="AI83" s="33">
        <f>Programacion[[#This Row],[ABRIL]]+Programacion[[#This Row],[MAYO]]+Programacion[[#This Row],[JUNIO]]</f>
        <v>0</v>
      </c>
      <c r="AJ83" s="33">
        <f>Programacion[[#This Row],[DEVENGADO ABRIL]]+Programacion[[#This Row],[DEVENGADO MAYO]]+Programacion[[#This Row],[DEVENGADO JUNIO]]</f>
        <v>0</v>
      </c>
      <c r="AK83" s="33">
        <f>Programacion[[#This Row],[JULIO]]+Programacion[[#This Row],[AGOSTO]]+Programacion[[#This Row],[SEPTIEMBRE]]</f>
        <v>3000</v>
      </c>
      <c r="AL83" s="33">
        <f>Programacion[[#This Row],[DEVENGADO JULIO]]+Programacion[[#This Row],[DEVENGADO AGOSTO]]+Programacion[[#This Row],[DEVENGADO SEPTIEMBRE]]</f>
        <v>3000</v>
      </c>
      <c r="AM83" s="33">
        <f>Programacion[[#This Row],[OCTUBRE]]+Programacion[[#This Row],[NOVIEMBRE]]+Programacion[[#This Row],[DICIEMBRE]]</f>
        <v>0</v>
      </c>
      <c r="AN83" s="21">
        <f>Programacion[[#This Row],[DEVENGADO OCTUBRE]]+Programacion[[#This Row],[DEVENGADO NOVIEMBRE]]+Programacion[[#This Row],[DEVENGADO DICIEMBRE]]</f>
        <v>0</v>
      </c>
      <c r="AO83" s="21">
        <f>Programacion[[#This Row],[ENERO]]+Programacion[[#This Row],[FEBRERO]]+Programacion[[#This Row],[MARZO]]+Programacion[[#This Row],[ABRIL]]+Programacion[[#This Row],[MAYO]]+Programacion[[#This Row],[JUNIO]]</f>
        <v>0</v>
      </c>
      <c r="AP8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3" s="21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8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S8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83" s="116"/>
    </row>
    <row r="84" spans="1:46" x14ac:dyDescent="0.25">
      <c r="A84" s="26" t="s">
        <v>82</v>
      </c>
      <c r="B84" s="114" t="s">
        <v>287</v>
      </c>
      <c r="C84" s="103" t="s">
        <v>47</v>
      </c>
      <c r="D84" s="28" t="s">
        <v>48</v>
      </c>
      <c r="E84" s="104">
        <v>78</v>
      </c>
      <c r="F84" s="30">
        <v>2.2999999999999998</v>
      </c>
      <c r="G84" s="28" t="s">
        <v>51</v>
      </c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1">
        <v>2064</v>
      </c>
      <c r="U84" s="33">
        <v>2064</v>
      </c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2064</v>
      </c>
      <c r="AG84" s="33">
        <f>Programacion[[#This Row],[ENERO]]+Programacion[[#This Row],[FEBRERO]]+Programacion[[#This Row],[MARZO]]</f>
        <v>0</v>
      </c>
      <c r="AH84" s="33">
        <f>Programacion[[#This Row],[DEVENGADO ENERO]]+Programacion[[#This Row],[DEVENGADO FEBRERO]]+Programacion[[#This Row],[DEVENGADO MARZO]]</f>
        <v>0</v>
      </c>
      <c r="AI84" s="33">
        <f>Programacion[[#This Row],[ABRIL]]+Programacion[[#This Row],[MAYO]]+Programacion[[#This Row],[JUNIO]]</f>
        <v>0</v>
      </c>
      <c r="AJ84" s="33">
        <f>Programacion[[#This Row],[DEVENGADO ABRIL]]+Programacion[[#This Row],[DEVENGADO MAYO]]+Programacion[[#This Row],[DEVENGADO JUNIO]]</f>
        <v>0</v>
      </c>
      <c r="AK84" s="33">
        <f>Programacion[[#This Row],[JULIO]]+Programacion[[#This Row],[AGOSTO]]+Programacion[[#This Row],[SEPTIEMBRE]]</f>
        <v>2064</v>
      </c>
      <c r="AL84" s="33">
        <f>Programacion[[#This Row],[DEVENGADO JULIO]]+Programacion[[#This Row],[DEVENGADO AGOSTO]]+Programacion[[#This Row],[DEVENGADO SEPTIEMBRE]]</f>
        <v>2064</v>
      </c>
      <c r="AM84" s="33">
        <f>Programacion[[#This Row],[OCTUBRE]]+Programacion[[#This Row],[NOVIEMBRE]]+Programacion[[#This Row],[DICIEMBRE]]</f>
        <v>0</v>
      </c>
      <c r="AN84" s="21">
        <f>Programacion[[#This Row],[DEVENGADO OCTUBRE]]+Programacion[[#This Row],[DEVENGADO NOVIEMBRE]]+Programacion[[#This Row],[DEVENGADO DICIEMBRE]]</f>
        <v>0</v>
      </c>
      <c r="AO84" s="21">
        <f>Programacion[[#This Row],[ENERO]]+Programacion[[#This Row],[FEBRERO]]+Programacion[[#This Row],[MARZO]]+Programacion[[#This Row],[ABRIL]]+Programacion[[#This Row],[MAYO]]+Programacion[[#This Row],[JUNIO]]</f>
        <v>0</v>
      </c>
      <c r="AP8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4" s="21">
        <f>Programacion[[#This Row],[JULIO]]+Programacion[[#This Row],[AGOSTO]]+Programacion[[#This Row],[SEPTIEMBRE]]+Programacion[[#This Row],[OCTUBRE]]+Programacion[[#This Row],[NOVIEMBRE]]+Programacion[[#This Row],[DICIEMBRE]]</f>
        <v>2064</v>
      </c>
      <c r="AR8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2064</v>
      </c>
      <c r="AS8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2064</v>
      </c>
      <c r="AT84" s="116"/>
    </row>
    <row r="85" spans="1:46" ht="30" x14ac:dyDescent="0.25">
      <c r="A85" s="26" t="s">
        <v>82</v>
      </c>
      <c r="B85" s="114" t="s">
        <v>288</v>
      </c>
      <c r="C85" s="103" t="s">
        <v>47</v>
      </c>
      <c r="D85" s="28" t="s">
        <v>48</v>
      </c>
      <c r="E85" s="104">
        <v>78</v>
      </c>
      <c r="F85" s="30">
        <v>2.2999999999999998</v>
      </c>
      <c r="G85" s="28" t="s">
        <v>49</v>
      </c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>
        <v>3000</v>
      </c>
      <c r="W85" s="33"/>
      <c r="X85" s="33"/>
      <c r="Y85" s="33"/>
      <c r="Z85" s="33"/>
      <c r="AA85" s="33"/>
      <c r="AB85" s="33"/>
      <c r="AC85" s="33"/>
      <c r="AD85" s="33"/>
      <c r="AE85" s="33"/>
      <c r="AF8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85" s="33">
        <f>Programacion[[#This Row],[ENERO]]+Programacion[[#This Row],[FEBRERO]]+Programacion[[#This Row],[MARZO]]</f>
        <v>0</v>
      </c>
      <c r="AH85" s="33">
        <f>Programacion[[#This Row],[DEVENGADO ENERO]]+Programacion[[#This Row],[DEVENGADO FEBRERO]]+Programacion[[#This Row],[DEVENGADO MARZO]]</f>
        <v>0</v>
      </c>
      <c r="AI85" s="33">
        <f>Programacion[[#This Row],[ABRIL]]+Programacion[[#This Row],[MAYO]]+Programacion[[#This Row],[JUNIO]]</f>
        <v>0</v>
      </c>
      <c r="AJ85" s="33">
        <f>Programacion[[#This Row],[DEVENGADO ABRIL]]+Programacion[[#This Row],[DEVENGADO MAYO]]+Programacion[[#This Row],[DEVENGADO JUNIO]]</f>
        <v>0</v>
      </c>
      <c r="AK85" s="33">
        <f>Programacion[[#This Row],[JULIO]]+Programacion[[#This Row],[AGOSTO]]+Programacion[[#This Row],[SEPTIEMBRE]]</f>
        <v>3000</v>
      </c>
      <c r="AL85" s="33">
        <f>Programacion[[#This Row],[DEVENGADO JULIO]]+Programacion[[#This Row],[DEVENGADO AGOSTO]]+Programacion[[#This Row],[DEVENGADO SEPTIEMBRE]]</f>
        <v>0</v>
      </c>
      <c r="AM85" s="33">
        <f>Programacion[[#This Row],[OCTUBRE]]+Programacion[[#This Row],[NOVIEMBRE]]+Programacion[[#This Row],[DICIEMBRE]]</f>
        <v>0</v>
      </c>
      <c r="AN85" s="21">
        <f>Programacion[[#This Row],[DEVENGADO OCTUBRE]]+Programacion[[#This Row],[DEVENGADO NOVIEMBRE]]+Programacion[[#This Row],[DEVENGADO DICIEMBRE]]</f>
        <v>0</v>
      </c>
      <c r="AO85" s="21">
        <f>Programacion[[#This Row],[ENERO]]+Programacion[[#This Row],[FEBRERO]]+Programacion[[#This Row],[MARZO]]+Programacion[[#This Row],[ABRIL]]+Programacion[[#This Row],[MAYO]]+Programacion[[#This Row],[JUNIO]]</f>
        <v>0</v>
      </c>
      <c r="AP8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5" s="21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8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85" s="116"/>
    </row>
    <row r="86" spans="1:46" x14ac:dyDescent="0.25">
      <c r="A86" s="26" t="s">
        <v>82</v>
      </c>
      <c r="B86" s="114" t="s">
        <v>289</v>
      </c>
      <c r="C86" s="103" t="s">
        <v>47</v>
      </c>
      <c r="D86" s="28" t="s">
        <v>48</v>
      </c>
      <c r="E86" s="104">
        <v>78</v>
      </c>
      <c r="F86" s="30">
        <v>2.2999999999999998</v>
      </c>
      <c r="G86" s="28" t="s">
        <v>51</v>
      </c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>
        <v>2936</v>
      </c>
      <c r="W86" s="33">
        <v>2080</v>
      </c>
      <c r="X86" s="33"/>
      <c r="Y86" s="33"/>
      <c r="Z86" s="33"/>
      <c r="AA86" s="33"/>
      <c r="AB86" s="33"/>
      <c r="AC86" s="33"/>
      <c r="AD86" s="33"/>
      <c r="AE86" s="33"/>
      <c r="AF8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2936</v>
      </c>
      <c r="AG86" s="33">
        <f>Programacion[[#This Row],[ENERO]]+Programacion[[#This Row],[FEBRERO]]+Programacion[[#This Row],[MARZO]]</f>
        <v>0</v>
      </c>
      <c r="AH86" s="33">
        <f>Programacion[[#This Row],[DEVENGADO ENERO]]+Programacion[[#This Row],[DEVENGADO FEBRERO]]+Programacion[[#This Row],[DEVENGADO MARZO]]</f>
        <v>0</v>
      </c>
      <c r="AI86" s="33">
        <f>Programacion[[#This Row],[ABRIL]]+Programacion[[#This Row],[MAYO]]+Programacion[[#This Row],[JUNIO]]</f>
        <v>0</v>
      </c>
      <c r="AJ86" s="33">
        <f>Programacion[[#This Row],[DEVENGADO ABRIL]]+Programacion[[#This Row],[DEVENGADO MAYO]]+Programacion[[#This Row],[DEVENGADO JUNIO]]</f>
        <v>0</v>
      </c>
      <c r="AK86" s="33">
        <f>Programacion[[#This Row],[JULIO]]+Programacion[[#This Row],[AGOSTO]]+Programacion[[#This Row],[SEPTIEMBRE]]</f>
        <v>2936</v>
      </c>
      <c r="AL86" s="33">
        <f>Programacion[[#This Row],[DEVENGADO JULIO]]+Programacion[[#This Row],[DEVENGADO AGOSTO]]+Programacion[[#This Row],[DEVENGADO SEPTIEMBRE]]</f>
        <v>2080</v>
      </c>
      <c r="AM86" s="33">
        <f>Programacion[[#This Row],[OCTUBRE]]+Programacion[[#This Row],[NOVIEMBRE]]+Programacion[[#This Row],[DICIEMBRE]]</f>
        <v>0</v>
      </c>
      <c r="AN86" s="21">
        <f>Programacion[[#This Row],[DEVENGADO OCTUBRE]]+Programacion[[#This Row],[DEVENGADO NOVIEMBRE]]+Programacion[[#This Row],[DEVENGADO DICIEMBRE]]</f>
        <v>0</v>
      </c>
      <c r="AO86" s="21">
        <f>Programacion[[#This Row],[ENERO]]+Programacion[[#This Row],[FEBRERO]]+Programacion[[#This Row],[MARZO]]+Programacion[[#This Row],[ABRIL]]+Programacion[[#This Row],[MAYO]]+Programacion[[#This Row],[JUNIO]]</f>
        <v>0</v>
      </c>
      <c r="AP8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6" s="21">
        <f>Programacion[[#This Row],[JULIO]]+Programacion[[#This Row],[AGOSTO]]+Programacion[[#This Row],[SEPTIEMBRE]]+Programacion[[#This Row],[OCTUBRE]]+Programacion[[#This Row],[NOVIEMBRE]]+Programacion[[#This Row],[DICIEMBRE]]</f>
        <v>2936</v>
      </c>
      <c r="AR8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2080</v>
      </c>
      <c r="AS8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2080</v>
      </c>
      <c r="AT86" s="116"/>
    </row>
    <row r="87" spans="1:46" ht="30" x14ac:dyDescent="0.25">
      <c r="A87" s="26" t="s">
        <v>82</v>
      </c>
      <c r="B87" s="114" t="s">
        <v>230</v>
      </c>
      <c r="C87" s="103" t="s">
        <v>65</v>
      </c>
      <c r="D87" s="28" t="s">
        <v>48</v>
      </c>
      <c r="E87" s="104">
        <v>78</v>
      </c>
      <c r="F87" s="30">
        <v>2.2999999999999998</v>
      </c>
      <c r="G87" s="28" t="s">
        <v>66</v>
      </c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1">
        <v>14000</v>
      </c>
      <c r="U87" s="33">
        <v>14000</v>
      </c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87" s="33">
        <f>Programacion[[#This Row],[ENERO]]+Programacion[[#This Row],[FEBRERO]]+Programacion[[#This Row],[MARZO]]</f>
        <v>0</v>
      </c>
      <c r="AH87" s="33">
        <f>Programacion[[#This Row],[DEVENGADO ENERO]]+Programacion[[#This Row],[DEVENGADO FEBRERO]]+Programacion[[#This Row],[DEVENGADO MARZO]]</f>
        <v>0</v>
      </c>
      <c r="AI87" s="33">
        <f>Programacion[[#This Row],[ABRIL]]+Programacion[[#This Row],[MAYO]]+Programacion[[#This Row],[JUNIO]]</f>
        <v>0</v>
      </c>
      <c r="AJ87" s="33">
        <f>Programacion[[#This Row],[DEVENGADO ABRIL]]+Programacion[[#This Row],[DEVENGADO MAYO]]+Programacion[[#This Row],[DEVENGADO JUNIO]]</f>
        <v>0</v>
      </c>
      <c r="AK87" s="33">
        <f>Programacion[[#This Row],[JULIO]]+Programacion[[#This Row],[AGOSTO]]+Programacion[[#This Row],[SEPTIEMBRE]]</f>
        <v>14000</v>
      </c>
      <c r="AL87" s="33">
        <f>Programacion[[#This Row],[DEVENGADO JULIO]]+Programacion[[#This Row],[DEVENGADO AGOSTO]]+Programacion[[#This Row],[DEVENGADO SEPTIEMBRE]]</f>
        <v>14000</v>
      </c>
      <c r="AM87" s="33">
        <f>Programacion[[#This Row],[OCTUBRE]]+Programacion[[#This Row],[NOVIEMBRE]]+Programacion[[#This Row],[DICIEMBRE]]</f>
        <v>0</v>
      </c>
      <c r="AN87" s="21">
        <f>Programacion[[#This Row],[DEVENGADO OCTUBRE]]+Programacion[[#This Row],[DEVENGADO NOVIEMBRE]]+Programacion[[#This Row],[DEVENGADO DICIEMBRE]]</f>
        <v>0</v>
      </c>
      <c r="AO87" s="21">
        <f>Programacion[[#This Row],[ENERO]]+Programacion[[#This Row],[FEBRERO]]+Programacion[[#This Row],[MARZO]]+Programacion[[#This Row],[ABRIL]]+Programacion[[#This Row],[MAYO]]+Programacion[[#This Row],[JUNIO]]</f>
        <v>0</v>
      </c>
      <c r="AP8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7" s="21">
        <f>Programacion[[#This Row],[JULIO]]+Programacion[[#This Row],[AGOSTO]]+Programacion[[#This Row],[SEPTIEMBRE]]+Programacion[[#This Row],[OCTUBRE]]+Programacion[[#This Row],[NOVIEMBRE]]+Programacion[[#This Row],[DICIEMBRE]]</f>
        <v>14000</v>
      </c>
      <c r="AR8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S8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T87" s="116"/>
    </row>
    <row r="88" spans="1:46" x14ac:dyDescent="0.25">
      <c r="A88" s="125" t="s">
        <v>82</v>
      </c>
      <c r="B88" s="125" t="s">
        <v>263</v>
      </c>
      <c r="C88" s="125" t="s">
        <v>262</v>
      </c>
      <c r="D88" s="126" t="s">
        <v>48</v>
      </c>
      <c r="E88" s="127">
        <v>78</v>
      </c>
      <c r="F88" s="127">
        <v>26</v>
      </c>
      <c r="G88" s="126" t="s">
        <v>264</v>
      </c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>
        <v>8000</v>
      </c>
      <c r="Y88" s="33"/>
      <c r="Z88" s="33"/>
      <c r="AA88" s="33"/>
      <c r="AB88" s="33"/>
      <c r="AC88" s="33"/>
      <c r="AD88" s="33"/>
      <c r="AE88" s="33"/>
      <c r="AF8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88" s="33">
        <f>Programacion[[#This Row],[ENERO]]+Programacion[[#This Row],[FEBRERO]]+Programacion[[#This Row],[MARZO]]</f>
        <v>0</v>
      </c>
      <c r="AH88" s="33">
        <f>Programacion[[#This Row],[DEVENGADO ENERO]]+Programacion[[#This Row],[DEVENGADO FEBRERO]]+Programacion[[#This Row],[DEVENGADO MARZO]]</f>
        <v>0</v>
      </c>
      <c r="AI88" s="33">
        <f>Programacion[[#This Row],[ABRIL]]+Programacion[[#This Row],[MAYO]]+Programacion[[#This Row],[JUNIO]]</f>
        <v>0</v>
      </c>
      <c r="AJ88" s="33">
        <f>Programacion[[#This Row],[DEVENGADO ABRIL]]+Programacion[[#This Row],[DEVENGADO MAYO]]+Programacion[[#This Row],[DEVENGADO JUNIO]]</f>
        <v>0</v>
      </c>
      <c r="AK88" s="33">
        <f>Programacion[[#This Row],[JULIO]]+Programacion[[#This Row],[AGOSTO]]+Programacion[[#This Row],[SEPTIEMBRE]]</f>
        <v>8000</v>
      </c>
      <c r="AL88" s="33">
        <f>Programacion[[#This Row],[DEVENGADO JULIO]]+Programacion[[#This Row],[DEVENGADO AGOSTO]]+Programacion[[#This Row],[DEVENGADO SEPTIEMBRE]]</f>
        <v>0</v>
      </c>
      <c r="AM88" s="33">
        <f>Programacion[[#This Row],[OCTUBRE]]+Programacion[[#This Row],[NOVIEMBRE]]+Programacion[[#This Row],[DICIEMBRE]]</f>
        <v>0</v>
      </c>
      <c r="AN88" s="21">
        <f>Programacion[[#This Row],[DEVENGADO OCTUBRE]]+Programacion[[#This Row],[DEVENGADO NOVIEMBRE]]+Programacion[[#This Row],[DEVENGADO DICIEMBRE]]</f>
        <v>0</v>
      </c>
      <c r="AO88" s="21">
        <f>Programacion[[#This Row],[ENERO]]+Programacion[[#This Row],[FEBRERO]]+Programacion[[#This Row],[MARZO]]+Programacion[[#This Row],[ABRIL]]+Programacion[[#This Row],[MAYO]]+Programacion[[#This Row],[JUNIO]]</f>
        <v>0</v>
      </c>
      <c r="AP8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8" s="21">
        <f>Programacion[[#This Row],[JULIO]]+Programacion[[#This Row],[AGOSTO]]+Programacion[[#This Row],[SEPTIEMBRE]]+Programacion[[#This Row],[OCTUBRE]]+Programacion[[#This Row],[NOVIEMBRE]]+Programacion[[#This Row],[DICIEMBRE]]</f>
        <v>8000</v>
      </c>
      <c r="AR8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88" s="116"/>
    </row>
    <row r="89" spans="1:46" ht="30" x14ac:dyDescent="0.25">
      <c r="A89" s="26" t="s">
        <v>82</v>
      </c>
      <c r="B89" s="114" t="s">
        <v>100</v>
      </c>
      <c r="C89" s="103" t="s">
        <v>81</v>
      </c>
      <c r="D89" s="28" t="s">
        <v>48</v>
      </c>
      <c r="E89" s="104">
        <v>78</v>
      </c>
      <c r="F89" s="105">
        <v>2.6</v>
      </c>
      <c r="G89" s="28" t="s">
        <v>101</v>
      </c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1">
        <v>13865</v>
      </c>
      <c r="U89" s="33">
        <v>13865</v>
      </c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13865</v>
      </c>
      <c r="AG89" s="33">
        <f>Programacion[[#This Row],[ENERO]]+Programacion[[#This Row],[FEBRERO]]+Programacion[[#This Row],[MARZO]]</f>
        <v>0</v>
      </c>
      <c r="AH89" s="33">
        <f>Programacion[[#This Row],[DEVENGADO ENERO]]+Programacion[[#This Row],[DEVENGADO FEBRERO]]+Programacion[[#This Row],[DEVENGADO MARZO]]</f>
        <v>0</v>
      </c>
      <c r="AI89" s="33">
        <f>Programacion[[#This Row],[ABRIL]]+Programacion[[#This Row],[MAYO]]+Programacion[[#This Row],[JUNIO]]</f>
        <v>0</v>
      </c>
      <c r="AJ89" s="33">
        <f>Programacion[[#This Row],[DEVENGADO ABRIL]]+Programacion[[#This Row],[DEVENGADO MAYO]]+Programacion[[#This Row],[DEVENGADO JUNIO]]</f>
        <v>0</v>
      </c>
      <c r="AK89" s="33">
        <f>Programacion[[#This Row],[JULIO]]+Programacion[[#This Row],[AGOSTO]]+Programacion[[#This Row],[SEPTIEMBRE]]</f>
        <v>13865</v>
      </c>
      <c r="AL89" s="33">
        <f>Programacion[[#This Row],[DEVENGADO JULIO]]+Programacion[[#This Row],[DEVENGADO AGOSTO]]+Programacion[[#This Row],[DEVENGADO SEPTIEMBRE]]</f>
        <v>13865</v>
      </c>
      <c r="AM89" s="33">
        <f>Programacion[[#This Row],[OCTUBRE]]+Programacion[[#This Row],[NOVIEMBRE]]+Programacion[[#This Row],[DICIEMBRE]]</f>
        <v>0</v>
      </c>
      <c r="AN89" s="21">
        <f>Programacion[[#This Row],[DEVENGADO OCTUBRE]]+Programacion[[#This Row],[DEVENGADO NOVIEMBRE]]+Programacion[[#This Row],[DEVENGADO DICIEMBRE]]</f>
        <v>0</v>
      </c>
      <c r="AO89" s="21">
        <f>Programacion[[#This Row],[ENERO]]+Programacion[[#This Row],[FEBRERO]]+Programacion[[#This Row],[MARZO]]+Programacion[[#This Row],[ABRIL]]+Programacion[[#This Row],[MAYO]]+Programacion[[#This Row],[JUNIO]]</f>
        <v>0</v>
      </c>
      <c r="AP8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9" s="21">
        <f>Programacion[[#This Row],[JULIO]]+Programacion[[#This Row],[AGOSTO]]+Programacion[[#This Row],[SEPTIEMBRE]]+Programacion[[#This Row],[OCTUBRE]]+Programacion[[#This Row],[NOVIEMBRE]]+Programacion[[#This Row],[DICIEMBRE]]</f>
        <v>13865</v>
      </c>
      <c r="AR8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13865</v>
      </c>
      <c r="AS8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13865</v>
      </c>
      <c r="AT89" s="116"/>
    </row>
    <row r="90" spans="1:46" x14ac:dyDescent="0.25">
      <c r="A90" s="34" t="s">
        <v>110</v>
      </c>
      <c r="B90" s="35" t="s">
        <v>111</v>
      </c>
      <c r="C90" s="36" t="s">
        <v>47</v>
      </c>
      <c r="D90" s="36" t="s">
        <v>48</v>
      </c>
      <c r="E90" s="37">
        <v>39</v>
      </c>
      <c r="F90" s="38">
        <v>2.2999999999999998</v>
      </c>
      <c r="G90" s="36" t="s">
        <v>49</v>
      </c>
      <c r="H90" s="39"/>
      <c r="I90" s="39"/>
      <c r="J90" s="39"/>
      <c r="K90" s="39"/>
      <c r="L90" s="39"/>
      <c r="M90" s="39"/>
      <c r="N90" s="39">
        <v>1220</v>
      </c>
      <c r="O90" s="39">
        <v>1047.3399999999999</v>
      </c>
      <c r="P90" s="39">
        <v>2000</v>
      </c>
      <c r="Q90" s="39">
        <v>1344.22</v>
      </c>
      <c r="R90" s="39">
        <v>2000</v>
      </c>
      <c r="S90" s="39">
        <v>1369.12</v>
      </c>
      <c r="T90" s="39">
        <v>2000</v>
      </c>
      <c r="U90" s="39">
        <v>2000</v>
      </c>
      <c r="V90" s="39"/>
      <c r="W90" s="39"/>
      <c r="X90" s="39"/>
      <c r="Y90" s="39"/>
      <c r="Z90" s="39"/>
      <c r="AA90" s="39"/>
      <c r="AB90" s="39"/>
      <c r="AC90" s="39"/>
      <c r="AD90" s="39"/>
      <c r="AE90" s="39"/>
      <c r="AF9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7220</v>
      </c>
      <c r="AG90" s="19">
        <f>Programacion[[#This Row],[ENERO]]+Programacion[[#This Row],[FEBRERO]]+Programacion[[#This Row],[MARZO]]</f>
        <v>0</v>
      </c>
      <c r="AH90" s="19">
        <f>Programacion[[#This Row],[DEVENGADO ENERO]]+Programacion[[#This Row],[DEVENGADO FEBRERO]]+Programacion[[#This Row],[DEVENGADO MARZO]]</f>
        <v>0</v>
      </c>
      <c r="AI90" s="19">
        <f>Programacion[[#This Row],[ABRIL]]+Programacion[[#This Row],[MAYO]]+Programacion[[#This Row],[JUNIO]]</f>
        <v>5220</v>
      </c>
      <c r="AJ90" s="19">
        <f>Programacion[[#This Row],[DEVENGADO ABRIL]]+Programacion[[#This Row],[DEVENGADO MAYO]]+Programacion[[#This Row],[DEVENGADO JUNIO]]</f>
        <v>3760.68</v>
      </c>
      <c r="AK90" s="19">
        <f>Programacion[[#This Row],[JULIO]]+Programacion[[#This Row],[AGOSTO]]+Programacion[[#This Row],[SEPTIEMBRE]]</f>
        <v>2000</v>
      </c>
      <c r="AL90" s="19">
        <f>Programacion[[#This Row],[DEVENGADO JULIO]]+Programacion[[#This Row],[DEVENGADO AGOSTO]]+Programacion[[#This Row],[DEVENGADO SEPTIEMBRE]]</f>
        <v>2000</v>
      </c>
      <c r="AM90" s="19">
        <f>Programacion[[#This Row],[OCTUBRE]]+Programacion[[#This Row],[NOVIEMBRE]]+Programacion[[#This Row],[DICIEMBRE]]</f>
        <v>0</v>
      </c>
      <c r="AN90" s="20">
        <f>Programacion[[#This Row],[DEVENGADO OCTUBRE]]+Programacion[[#This Row],[DEVENGADO NOVIEMBRE]]+Programacion[[#This Row],[DEVENGADO DICIEMBRE]]</f>
        <v>0</v>
      </c>
      <c r="AO90" s="20">
        <f>Programacion[[#This Row],[ENERO]]+Programacion[[#This Row],[FEBRERO]]+Programacion[[#This Row],[MARZO]]+Programacion[[#This Row],[ABRIL]]+Programacion[[#This Row],[MAYO]]+Programacion[[#This Row],[JUNIO]]</f>
        <v>5220</v>
      </c>
      <c r="AP9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3760.68</v>
      </c>
      <c r="AQ90" s="20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9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S9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5760.68</v>
      </c>
      <c r="AT90" s="116"/>
    </row>
    <row r="91" spans="1:46" x14ac:dyDescent="0.25">
      <c r="A91" s="40" t="s">
        <v>110</v>
      </c>
      <c r="B91" s="35" t="s">
        <v>239</v>
      </c>
      <c r="C91" s="36" t="s">
        <v>47</v>
      </c>
      <c r="D91" s="36" t="s">
        <v>48</v>
      </c>
      <c r="E91" s="37">
        <v>39</v>
      </c>
      <c r="F91" s="38">
        <v>2.2999999999999998</v>
      </c>
      <c r="G91" s="36" t="s">
        <v>51</v>
      </c>
      <c r="H91" s="39"/>
      <c r="I91" s="39"/>
      <c r="J91" s="39"/>
      <c r="K91" s="39"/>
      <c r="L91" s="39"/>
      <c r="M91" s="39"/>
      <c r="N91" s="39">
        <v>1340</v>
      </c>
      <c r="O91" s="39">
        <v>513</v>
      </c>
      <c r="P91" s="39">
        <v>1080</v>
      </c>
      <c r="Q91" s="39">
        <v>1982.4</v>
      </c>
      <c r="R91" s="39">
        <v>1080</v>
      </c>
      <c r="S91" s="39">
        <v>1080</v>
      </c>
      <c r="T91" s="39">
        <v>1080</v>
      </c>
      <c r="U91" s="39">
        <v>540</v>
      </c>
      <c r="V91" s="39"/>
      <c r="W91" s="39"/>
      <c r="X91" s="39"/>
      <c r="Y91" s="39"/>
      <c r="Z91" s="39"/>
      <c r="AA91" s="39"/>
      <c r="AB91" s="39"/>
      <c r="AC91" s="39"/>
      <c r="AD91" s="39"/>
      <c r="AE91" s="39"/>
      <c r="AF9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4580</v>
      </c>
      <c r="AG91" s="19">
        <f>Programacion[[#This Row],[ENERO]]+Programacion[[#This Row],[FEBRERO]]+Programacion[[#This Row],[MARZO]]</f>
        <v>0</v>
      </c>
      <c r="AH91" s="19">
        <f>Programacion[[#This Row],[DEVENGADO ENERO]]+Programacion[[#This Row],[DEVENGADO FEBRERO]]+Programacion[[#This Row],[DEVENGADO MARZO]]</f>
        <v>0</v>
      </c>
      <c r="AI91" s="19">
        <f>Programacion[[#This Row],[ABRIL]]+Programacion[[#This Row],[MAYO]]+Programacion[[#This Row],[JUNIO]]</f>
        <v>3500</v>
      </c>
      <c r="AJ91" s="19">
        <f>Programacion[[#This Row],[DEVENGADO ABRIL]]+Programacion[[#This Row],[DEVENGADO MAYO]]+Programacion[[#This Row],[DEVENGADO JUNIO]]</f>
        <v>3575.4</v>
      </c>
      <c r="AK91" s="19">
        <f>Programacion[[#This Row],[JULIO]]+Programacion[[#This Row],[AGOSTO]]+Programacion[[#This Row],[SEPTIEMBRE]]</f>
        <v>1080</v>
      </c>
      <c r="AL91" s="19">
        <f>Programacion[[#This Row],[DEVENGADO JULIO]]+Programacion[[#This Row],[DEVENGADO AGOSTO]]+Programacion[[#This Row],[DEVENGADO SEPTIEMBRE]]</f>
        <v>540</v>
      </c>
      <c r="AM91" s="19">
        <f>Programacion[[#This Row],[OCTUBRE]]+Programacion[[#This Row],[NOVIEMBRE]]+Programacion[[#This Row],[DICIEMBRE]]</f>
        <v>0</v>
      </c>
      <c r="AN91" s="20">
        <f>Programacion[[#This Row],[DEVENGADO OCTUBRE]]+Programacion[[#This Row],[DEVENGADO NOVIEMBRE]]+Programacion[[#This Row],[DEVENGADO DICIEMBRE]]</f>
        <v>0</v>
      </c>
      <c r="AO91" s="20">
        <f>Programacion[[#This Row],[ENERO]]+Programacion[[#This Row],[FEBRERO]]+Programacion[[#This Row],[MARZO]]+Programacion[[#This Row],[ABRIL]]+Programacion[[#This Row],[MAYO]]+Programacion[[#This Row],[JUNIO]]</f>
        <v>3500</v>
      </c>
      <c r="AP9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3575.4</v>
      </c>
      <c r="AQ91" s="20">
        <f>Programacion[[#This Row],[JULIO]]+Programacion[[#This Row],[AGOSTO]]+Programacion[[#This Row],[SEPTIEMBRE]]+Programacion[[#This Row],[OCTUBRE]]+Programacion[[#This Row],[NOVIEMBRE]]+Programacion[[#This Row],[DICIEMBRE]]</f>
        <v>1080</v>
      </c>
      <c r="AR9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S9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4115.3999999999996</v>
      </c>
      <c r="AT91" s="116"/>
    </row>
    <row r="92" spans="1:46" x14ac:dyDescent="0.25">
      <c r="A92" s="34" t="s">
        <v>110</v>
      </c>
      <c r="B92" s="35" t="s">
        <v>240</v>
      </c>
      <c r="C92" s="36" t="s">
        <v>47</v>
      </c>
      <c r="D92" s="36" t="s">
        <v>48</v>
      </c>
      <c r="E92" s="37">
        <v>39</v>
      </c>
      <c r="F92" s="38">
        <v>2.2999999999999998</v>
      </c>
      <c r="G92" s="36" t="s">
        <v>49</v>
      </c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9">
        <v>2000</v>
      </c>
      <c r="S92" s="33">
        <v>2000</v>
      </c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92" s="33">
        <f>Programacion[[#This Row],[ENERO]]+Programacion[[#This Row],[FEBRERO]]+Programacion[[#This Row],[MARZO]]</f>
        <v>0</v>
      </c>
      <c r="AH92" s="33">
        <f>Programacion[[#This Row],[DEVENGADO ENERO]]+Programacion[[#This Row],[DEVENGADO FEBRERO]]+Programacion[[#This Row],[DEVENGADO MARZO]]</f>
        <v>0</v>
      </c>
      <c r="AI92" s="33">
        <f>Programacion[[#This Row],[ABRIL]]+Programacion[[#This Row],[MAYO]]+Programacion[[#This Row],[JUNIO]]</f>
        <v>2000</v>
      </c>
      <c r="AJ92" s="33">
        <f>Programacion[[#This Row],[DEVENGADO ABRIL]]+Programacion[[#This Row],[DEVENGADO MAYO]]+Programacion[[#This Row],[DEVENGADO JUNIO]]</f>
        <v>2000</v>
      </c>
      <c r="AK92" s="33">
        <f>Programacion[[#This Row],[JULIO]]+Programacion[[#This Row],[AGOSTO]]+Programacion[[#This Row],[SEPTIEMBRE]]</f>
        <v>0</v>
      </c>
      <c r="AL92" s="33">
        <f>Programacion[[#This Row],[DEVENGADO JULIO]]+Programacion[[#This Row],[DEVENGADO AGOSTO]]+Programacion[[#This Row],[DEVENGADO SEPTIEMBRE]]</f>
        <v>0</v>
      </c>
      <c r="AM92" s="33">
        <f>Programacion[[#This Row],[OCTUBRE]]+Programacion[[#This Row],[NOVIEMBRE]]+Programacion[[#This Row],[DICIEMBRE]]</f>
        <v>0</v>
      </c>
      <c r="AN92" s="21">
        <f>Programacion[[#This Row],[DEVENGADO OCTUBRE]]+Programacion[[#This Row],[DEVENGADO NOVIEMBRE]]+Programacion[[#This Row],[DEVENGADO DICIEMBRE]]</f>
        <v>0</v>
      </c>
      <c r="AO92" s="21">
        <f>Programacion[[#This Row],[ENERO]]+Programacion[[#This Row],[FEBRERO]]+Programacion[[#This Row],[MARZO]]+Programacion[[#This Row],[ABRIL]]+Programacion[[#This Row],[MAYO]]+Programacion[[#This Row],[JUNIO]]</f>
        <v>2000</v>
      </c>
      <c r="AP9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92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T92" s="116"/>
    </row>
    <row r="93" spans="1:46" x14ac:dyDescent="0.25">
      <c r="A93" s="40" t="s">
        <v>110</v>
      </c>
      <c r="B93" s="35" t="s">
        <v>241</v>
      </c>
      <c r="C93" s="36" t="s">
        <v>47</v>
      </c>
      <c r="D93" s="36" t="s">
        <v>48</v>
      </c>
      <c r="E93" s="37">
        <v>39</v>
      </c>
      <c r="F93" s="38">
        <v>2.2999999999999998</v>
      </c>
      <c r="G93" s="36" t="s">
        <v>51</v>
      </c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9">
        <v>1080</v>
      </c>
      <c r="S93" s="33">
        <v>1080</v>
      </c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93" s="33">
        <f>Programacion[[#This Row],[ENERO]]+Programacion[[#This Row],[FEBRERO]]+Programacion[[#This Row],[MARZO]]</f>
        <v>0</v>
      </c>
      <c r="AH93" s="33">
        <f>Programacion[[#This Row],[DEVENGADO ENERO]]+Programacion[[#This Row],[DEVENGADO FEBRERO]]+Programacion[[#This Row],[DEVENGADO MARZO]]</f>
        <v>0</v>
      </c>
      <c r="AI93" s="33">
        <f>Programacion[[#This Row],[ABRIL]]+Programacion[[#This Row],[MAYO]]+Programacion[[#This Row],[JUNIO]]</f>
        <v>1080</v>
      </c>
      <c r="AJ93" s="33">
        <f>Programacion[[#This Row],[DEVENGADO ABRIL]]+Programacion[[#This Row],[DEVENGADO MAYO]]+Programacion[[#This Row],[DEVENGADO JUNIO]]</f>
        <v>1080</v>
      </c>
      <c r="AK93" s="33">
        <f>Programacion[[#This Row],[JULIO]]+Programacion[[#This Row],[AGOSTO]]+Programacion[[#This Row],[SEPTIEMBRE]]</f>
        <v>0</v>
      </c>
      <c r="AL93" s="33">
        <f>Programacion[[#This Row],[DEVENGADO JULIO]]+Programacion[[#This Row],[DEVENGADO AGOSTO]]+Programacion[[#This Row],[DEVENGADO SEPTIEMBRE]]</f>
        <v>0</v>
      </c>
      <c r="AM93" s="33">
        <f>Programacion[[#This Row],[OCTUBRE]]+Programacion[[#This Row],[NOVIEMBRE]]+Programacion[[#This Row],[DICIEMBRE]]</f>
        <v>0</v>
      </c>
      <c r="AN93" s="21">
        <f>Programacion[[#This Row],[DEVENGADO OCTUBRE]]+Programacion[[#This Row],[DEVENGADO NOVIEMBRE]]+Programacion[[#This Row],[DEVENGADO DICIEMBRE]]</f>
        <v>0</v>
      </c>
      <c r="AO93" s="21">
        <f>Programacion[[#This Row],[ENERO]]+Programacion[[#This Row],[FEBRERO]]+Programacion[[#This Row],[MARZO]]+Programacion[[#This Row],[ABRIL]]+Programacion[[#This Row],[MAYO]]+Programacion[[#This Row],[JUNIO]]</f>
        <v>1080</v>
      </c>
      <c r="AP9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93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93" s="116"/>
    </row>
    <row r="94" spans="1:46" x14ac:dyDescent="0.25">
      <c r="A94" s="40" t="s">
        <v>110</v>
      </c>
      <c r="B94" s="35" t="s">
        <v>112</v>
      </c>
      <c r="C94" s="36" t="s">
        <v>56</v>
      </c>
      <c r="D94" s="36" t="s">
        <v>48</v>
      </c>
      <c r="E94" s="37">
        <v>31</v>
      </c>
      <c r="F94" s="38">
        <v>2.2999999999999998</v>
      </c>
      <c r="G94" s="36" t="s">
        <v>71</v>
      </c>
      <c r="H94" s="39"/>
      <c r="I94" s="39"/>
      <c r="J94" s="39"/>
      <c r="K94" s="39"/>
      <c r="L94" s="39">
        <v>10000</v>
      </c>
      <c r="M94" s="39">
        <v>10000</v>
      </c>
      <c r="N94" s="39">
        <v>5000</v>
      </c>
      <c r="O94" s="39">
        <v>5000</v>
      </c>
      <c r="P94" s="39">
        <v>5000</v>
      </c>
      <c r="Q94" s="39">
        <v>5000</v>
      </c>
      <c r="R94" s="39">
        <v>5000</v>
      </c>
      <c r="S94" s="39">
        <v>5000</v>
      </c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94" s="19">
        <f>Programacion[[#This Row],[ENERO]]+Programacion[[#This Row],[FEBRERO]]+Programacion[[#This Row],[MARZO]]</f>
        <v>10000</v>
      </c>
      <c r="AH94" s="19">
        <f>Programacion[[#This Row],[DEVENGADO ENERO]]+Programacion[[#This Row],[DEVENGADO FEBRERO]]+Programacion[[#This Row],[DEVENGADO MARZO]]</f>
        <v>10000</v>
      </c>
      <c r="AI94" s="19">
        <f>Programacion[[#This Row],[ABRIL]]+Programacion[[#This Row],[MAYO]]+Programacion[[#This Row],[JUNIO]]</f>
        <v>15000</v>
      </c>
      <c r="AJ94" s="19">
        <f>Programacion[[#This Row],[DEVENGADO ABRIL]]+Programacion[[#This Row],[DEVENGADO MAYO]]+Programacion[[#This Row],[DEVENGADO JUNIO]]</f>
        <v>15000</v>
      </c>
      <c r="AK94" s="19">
        <f>Programacion[[#This Row],[JULIO]]+Programacion[[#This Row],[AGOSTO]]+Programacion[[#This Row],[SEPTIEMBRE]]</f>
        <v>0</v>
      </c>
      <c r="AL94" s="19">
        <f>Programacion[[#This Row],[DEVENGADO JULIO]]+Programacion[[#This Row],[DEVENGADO AGOSTO]]+Programacion[[#This Row],[DEVENGADO SEPTIEMBRE]]</f>
        <v>0</v>
      </c>
      <c r="AM94" s="19">
        <f>Programacion[[#This Row],[OCTUBRE]]+Programacion[[#This Row],[NOVIEMBRE]]+Programacion[[#This Row],[DICIEMBRE]]</f>
        <v>0</v>
      </c>
      <c r="AN94" s="20">
        <f>Programacion[[#This Row],[DEVENGADO OCTUBRE]]+Programacion[[#This Row],[DEVENGADO NOVIEMBRE]]+Programacion[[#This Row],[DEVENGADO DICIEMBRE]]</f>
        <v>0</v>
      </c>
      <c r="AO94" s="20">
        <f>Programacion[[#This Row],[ENERO]]+Programacion[[#This Row],[FEBRERO]]+Programacion[[#This Row],[MARZO]]+Programacion[[#This Row],[ABRIL]]+Programacion[[#This Row],[MAYO]]+Programacion[[#This Row],[JUNIO]]</f>
        <v>25000</v>
      </c>
      <c r="AP9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9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94" s="116"/>
    </row>
    <row r="95" spans="1:46" x14ac:dyDescent="0.25">
      <c r="A95" s="40" t="s">
        <v>110</v>
      </c>
      <c r="B95" s="35" t="s">
        <v>112</v>
      </c>
      <c r="C95" s="36" t="s">
        <v>56</v>
      </c>
      <c r="D95" s="36" t="s">
        <v>48</v>
      </c>
      <c r="E95" s="37">
        <v>31</v>
      </c>
      <c r="F95" s="38">
        <v>2.2999999999999998</v>
      </c>
      <c r="G95" s="36" t="s">
        <v>71</v>
      </c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>
        <v>5000</v>
      </c>
      <c r="U95" s="39">
        <v>5000</v>
      </c>
      <c r="V95" s="39">
        <v>5000</v>
      </c>
      <c r="W95" s="39"/>
      <c r="X95" s="39">
        <v>5000</v>
      </c>
      <c r="Y95" s="39"/>
      <c r="Z95" s="39">
        <v>5000</v>
      </c>
      <c r="AA95" s="39"/>
      <c r="AB95" s="39">
        <v>5000</v>
      </c>
      <c r="AC95" s="39"/>
      <c r="AD95" s="39">
        <v>5000</v>
      </c>
      <c r="AE95" s="39"/>
      <c r="AF9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95" s="19">
        <f>Programacion[[#This Row],[ENERO]]+Programacion[[#This Row],[FEBRERO]]+Programacion[[#This Row],[MARZO]]</f>
        <v>0</v>
      </c>
      <c r="AH95" s="19">
        <f>Programacion[[#This Row],[DEVENGADO ENERO]]+Programacion[[#This Row],[DEVENGADO FEBRERO]]+Programacion[[#This Row],[DEVENGADO MARZO]]</f>
        <v>0</v>
      </c>
      <c r="AI95" s="19">
        <f>Programacion[[#This Row],[ABRIL]]+Programacion[[#This Row],[MAYO]]+Programacion[[#This Row],[JUNIO]]</f>
        <v>0</v>
      </c>
      <c r="AJ95" s="19">
        <f>Programacion[[#This Row],[DEVENGADO ABRIL]]+Programacion[[#This Row],[DEVENGADO MAYO]]+Programacion[[#This Row],[DEVENGADO JUNIO]]</f>
        <v>0</v>
      </c>
      <c r="AK95" s="19">
        <f>Programacion[[#This Row],[JULIO]]+Programacion[[#This Row],[AGOSTO]]+Programacion[[#This Row],[SEPTIEMBRE]]</f>
        <v>15000</v>
      </c>
      <c r="AL95" s="19">
        <f>Programacion[[#This Row],[DEVENGADO JULIO]]+Programacion[[#This Row],[DEVENGADO AGOSTO]]+Programacion[[#This Row],[DEVENGADO SEPTIEMBRE]]</f>
        <v>5000</v>
      </c>
      <c r="AM95" s="19">
        <f>Programacion[[#This Row],[OCTUBRE]]+Programacion[[#This Row],[NOVIEMBRE]]+Programacion[[#This Row],[DICIEMBRE]]</f>
        <v>15000</v>
      </c>
      <c r="AN95" s="20">
        <f>Programacion[[#This Row],[DEVENGADO OCTUBRE]]+Programacion[[#This Row],[DEVENGADO NOVIEMBRE]]+Programacion[[#This Row],[DEVENGADO DICIEMBRE]]</f>
        <v>0</v>
      </c>
      <c r="AO95" s="20">
        <f>Programacion[[#This Row],[ENERO]]+Programacion[[#This Row],[FEBRERO]]+Programacion[[#This Row],[MARZO]]+Programacion[[#This Row],[ABRIL]]+Programacion[[#This Row],[MAYO]]+Programacion[[#This Row],[JUNIO]]</f>
        <v>0</v>
      </c>
      <c r="AP9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5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9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9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95" s="116"/>
    </row>
    <row r="96" spans="1:46" ht="30" x14ac:dyDescent="0.25">
      <c r="A96" s="40" t="s">
        <v>110</v>
      </c>
      <c r="B96" s="35" t="s">
        <v>113</v>
      </c>
      <c r="C96" s="36" t="s">
        <v>56</v>
      </c>
      <c r="D96" s="36" t="s">
        <v>48</v>
      </c>
      <c r="E96" s="37">
        <v>31</v>
      </c>
      <c r="F96" s="38">
        <v>2.2999999999999998</v>
      </c>
      <c r="G96" s="36" t="s">
        <v>71</v>
      </c>
      <c r="H96" s="39"/>
      <c r="I96" s="39"/>
      <c r="J96" s="39"/>
      <c r="K96" s="39"/>
      <c r="L96" s="39">
        <v>10000</v>
      </c>
      <c r="M96" s="39">
        <v>10000</v>
      </c>
      <c r="N96" s="39">
        <v>5000</v>
      </c>
      <c r="O96" s="39">
        <v>5000</v>
      </c>
      <c r="P96" s="39">
        <v>5000</v>
      </c>
      <c r="Q96" s="39">
        <v>5000</v>
      </c>
      <c r="R96" s="39">
        <v>5000</v>
      </c>
      <c r="S96" s="39">
        <v>5000</v>
      </c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96" s="19">
        <f>Programacion[[#This Row],[ENERO]]+Programacion[[#This Row],[FEBRERO]]+Programacion[[#This Row],[MARZO]]</f>
        <v>10000</v>
      </c>
      <c r="AH96" s="19">
        <f>Programacion[[#This Row],[DEVENGADO ENERO]]+Programacion[[#This Row],[DEVENGADO FEBRERO]]+Programacion[[#This Row],[DEVENGADO MARZO]]</f>
        <v>10000</v>
      </c>
      <c r="AI96" s="19">
        <f>Programacion[[#This Row],[ABRIL]]+Programacion[[#This Row],[MAYO]]+Programacion[[#This Row],[JUNIO]]</f>
        <v>15000</v>
      </c>
      <c r="AJ96" s="19">
        <f>Programacion[[#This Row],[DEVENGADO ABRIL]]+Programacion[[#This Row],[DEVENGADO MAYO]]+Programacion[[#This Row],[DEVENGADO JUNIO]]</f>
        <v>15000</v>
      </c>
      <c r="AK96" s="19">
        <f>Programacion[[#This Row],[JULIO]]+Programacion[[#This Row],[AGOSTO]]+Programacion[[#This Row],[SEPTIEMBRE]]</f>
        <v>0</v>
      </c>
      <c r="AL96" s="19">
        <f>Programacion[[#This Row],[DEVENGADO JULIO]]+Programacion[[#This Row],[DEVENGADO AGOSTO]]+Programacion[[#This Row],[DEVENGADO SEPTIEMBRE]]</f>
        <v>0</v>
      </c>
      <c r="AM96" s="19">
        <f>Programacion[[#This Row],[OCTUBRE]]+Programacion[[#This Row],[NOVIEMBRE]]+Programacion[[#This Row],[DICIEMBRE]]</f>
        <v>0</v>
      </c>
      <c r="AN96" s="20">
        <f>Programacion[[#This Row],[DEVENGADO OCTUBRE]]+Programacion[[#This Row],[DEVENGADO NOVIEMBRE]]+Programacion[[#This Row],[DEVENGADO DICIEMBRE]]</f>
        <v>0</v>
      </c>
      <c r="AO96" s="20">
        <f>Programacion[[#This Row],[ENERO]]+Programacion[[#This Row],[FEBRERO]]+Programacion[[#This Row],[MARZO]]+Programacion[[#This Row],[ABRIL]]+Programacion[[#This Row],[MAYO]]+Programacion[[#This Row],[JUNIO]]</f>
        <v>25000</v>
      </c>
      <c r="AP9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96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96" s="116"/>
    </row>
    <row r="97" spans="1:46" ht="30" x14ac:dyDescent="0.25">
      <c r="A97" s="40" t="s">
        <v>110</v>
      </c>
      <c r="B97" s="35" t="s">
        <v>114</v>
      </c>
      <c r="C97" s="36" t="s">
        <v>56</v>
      </c>
      <c r="D97" s="36" t="s">
        <v>48</v>
      </c>
      <c r="E97" s="37">
        <v>31</v>
      </c>
      <c r="F97" s="38">
        <v>2.2999999999999998</v>
      </c>
      <c r="G97" s="36" t="s">
        <v>71</v>
      </c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>
        <v>5000</v>
      </c>
      <c r="U97" s="33">
        <v>5000</v>
      </c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5000</v>
      </c>
      <c r="AG97" s="33">
        <f>Programacion[[#This Row],[ENERO]]+Programacion[[#This Row],[FEBRERO]]+Programacion[[#This Row],[MARZO]]</f>
        <v>0</v>
      </c>
      <c r="AH97" s="33">
        <f>Programacion[[#This Row],[DEVENGADO ENERO]]+Programacion[[#This Row],[DEVENGADO FEBRERO]]+Programacion[[#This Row],[DEVENGADO MARZO]]</f>
        <v>0</v>
      </c>
      <c r="AI97" s="33">
        <f>Programacion[[#This Row],[ABRIL]]+Programacion[[#This Row],[MAYO]]+Programacion[[#This Row],[JUNIO]]</f>
        <v>0</v>
      </c>
      <c r="AJ97" s="33">
        <f>Programacion[[#This Row],[DEVENGADO ABRIL]]+Programacion[[#This Row],[DEVENGADO MAYO]]+Programacion[[#This Row],[DEVENGADO JUNIO]]</f>
        <v>0</v>
      </c>
      <c r="AK97" s="33">
        <f>Programacion[[#This Row],[JULIO]]+Programacion[[#This Row],[AGOSTO]]+Programacion[[#This Row],[SEPTIEMBRE]]</f>
        <v>5000</v>
      </c>
      <c r="AL97" s="33">
        <f>Programacion[[#This Row],[DEVENGADO JULIO]]+Programacion[[#This Row],[DEVENGADO AGOSTO]]+Programacion[[#This Row],[DEVENGADO SEPTIEMBRE]]</f>
        <v>5000</v>
      </c>
      <c r="AM97" s="33">
        <f>Programacion[[#This Row],[OCTUBRE]]+Programacion[[#This Row],[NOVIEMBRE]]+Programacion[[#This Row],[DICIEMBRE]]</f>
        <v>0</v>
      </c>
      <c r="AN97" s="21">
        <f>Programacion[[#This Row],[DEVENGADO OCTUBRE]]+Programacion[[#This Row],[DEVENGADO NOVIEMBRE]]+Programacion[[#This Row],[DEVENGADO DICIEMBRE]]</f>
        <v>0</v>
      </c>
      <c r="AO97" s="21">
        <f>Programacion[[#This Row],[ENERO]]+Programacion[[#This Row],[FEBRERO]]+Programacion[[#This Row],[MARZO]]+Programacion[[#This Row],[ABRIL]]+Programacion[[#This Row],[MAYO]]+Programacion[[#This Row],[JUNIO]]</f>
        <v>0</v>
      </c>
      <c r="AP9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7" s="21">
        <f>Programacion[[#This Row],[JULIO]]+Programacion[[#This Row],[AGOSTO]]+Programacion[[#This Row],[SEPTIEMBRE]]+Programacion[[#This Row],[OCTUBRE]]+Programacion[[#This Row],[NOVIEMBRE]]+Programacion[[#This Row],[DICIEMBRE]]</f>
        <v>5000</v>
      </c>
      <c r="AR9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9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97" s="116"/>
    </row>
    <row r="98" spans="1:46" ht="30.75" customHeight="1" x14ac:dyDescent="0.25">
      <c r="A98" s="40" t="s">
        <v>110</v>
      </c>
      <c r="B98" s="35" t="s">
        <v>114</v>
      </c>
      <c r="C98" s="36" t="s">
        <v>56</v>
      </c>
      <c r="D98" s="36" t="s">
        <v>48</v>
      </c>
      <c r="E98" s="37">
        <v>31</v>
      </c>
      <c r="F98" s="38">
        <v>2.2999999999999998</v>
      </c>
      <c r="G98" s="36" t="s">
        <v>71</v>
      </c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>
        <v>5000</v>
      </c>
      <c r="W98" s="39"/>
      <c r="X98" s="39">
        <v>5000</v>
      </c>
      <c r="Y98" s="39"/>
      <c r="Z98" s="39"/>
      <c r="AA98" s="39"/>
      <c r="AB98" s="39"/>
      <c r="AC98" s="39"/>
      <c r="AD98" s="39"/>
      <c r="AE98" s="39"/>
      <c r="AF9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98" s="19">
        <f>Programacion[[#This Row],[ENERO]]+Programacion[[#This Row],[FEBRERO]]+Programacion[[#This Row],[MARZO]]</f>
        <v>0</v>
      </c>
      <c r="AH98" s="19">
        <f>Programacion[[#This Row],[DEVENGADO ENERO]]+Programacion[[#This Row],[DEVENGADO FEBRERO]]+Programacion[[#This Row],[DEVENGADO MARZO]]</f>
        <v>0</v>
      </c>
      <c r="AI98" s="19">
        <f>Programacion[[#This Row],[ABRIL]]+Programacion[[#This Row],[MAYO]]+Programacion[[#This Row],[JUNIO]]</f>
        <v>0</v>
      </c>
      <c r="AJ98" s="19">
        <f>Programacion[[#This Row],[DEVENGADO ABRIL]]+Programacion[[#This Row],[DEVENGADO MAYO]]+Programacion[[#This Row],[DEVENGADO JUNIO]]</f>
        <v>0</v>
      </c>
      <c r="AK98" s="19">
        <f>Programacion[[#This Row],[JULIO]]+Programacion[[#This Row],[AGOSTO]]+Programacion[[#This Row],[SEPTIEMBRE]]</f>
        <v>10000</v>
      </c>
      <c r="AL98" s="19">
        <f>Programacion[[#This Row],[DEVENGADO JULIO]]+Programacion[[#This Row],[DEVENGADO AGOSTO]]+Programacion[[#This Row],[DEVENGADO SEPTIEMBRE]]</f>
        <v>0</v>
      </c>
      <c r="AM98" s="19">
        <f>Programacion[[#This Row],[OCTUBRE]]+Programacion[[#This Row],[NOVIEMBRE]]+Programacion[[#This Row],[DICIEMBRE]]</f>
        <v>0</v>
      </c>
      <c r="AN98" s="20">
        <f>Programacion[[#This Row],[DEVENGADO OCTUBRE]]+Programacion[[#This Row],[DEVENGADO NOVIEMBRE]]+Programacion[[#This Row],[DEVENGADO DICIEMBRE]]</f>
        <v>0</v>
      </c>
      <c r="AO98" s="20">
        <f>Programacion[[#This Row],[ENERO]]+Programacion[[#This Row],[FEBRERO]]+Programacion[[#This Row],[MARZO]]+Programacion[[#This Row],[ABRIL]]+Programacion[[#This Row],[MAYO]]+Programacion[[#This Row],[JUNIO]]</f>
        <v>0</v>
      </c>
      <c r="AP9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8" s="20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9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8" s="116"/>
    </row>
    <row r="99" spans="1:46" ht="30" x14ac:dyDescent="0.25">
      <c r="A99" s="40" t="s">
        <v>110</v>
      </c>
      <c r="B99" s="35" t="s">
        <v>117</v>
      </c>
      <c r="C99" s="36" t="s">
        <v>74</v>
      </c>
      <c r="D99" s="36" t="s">
        <v>48</v>
      </c>
      <c r="E99" s="37">
        <v>39</v>
      </c>
      <c r="F99" s="38">
        <v>2.2999999999999998</v>
      </c>
      <c r="G99" s="36" t="s">
        <v>75</v>
      </c>
      <c r="H99" s="39"/>
      <c r="I99" s="39"/>
      <c r="J99" s="39"/>
      <c r="K99" s="39"/>
      <c r="L99" s="39"/>
      <c r="M99" s="39"/>
      <c r="N99" s="39">
        <v>2500</v>
      </c>
      <c r="O99" s="39"/>
      <c r="P99" s="39"/>
      <c r="Q99" s="39">
        <v>2500</v>
      </c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</v>
      </c>
      <c r="AG99" s="19">
        <f>Programacion[[#This Row],[ENERO]]+Programacion[[#This Row],[FEBRERO]]+Programacion[[#This Row],[MARZO]]</f>
        <v>0</v>
      </c>
      <c r="AH99" s="19">
        <f>Programacion[[#This Row],[DEVENGADO ENERO]]+Programacion[[#This Row],[DEVENGADO FEBRERO]]+Programacion[[#This Row],[DEVENGADO MARZO]]</f>
        <v>0</v>
      </c>
      <c r="AI99" s="19">
        <f>Programacion[[#This Row],[ABRIL]]+Programacion[[#This Row],[MAYO]]+Programacion[[#This Row],[JUNIO]]</f>
        <v>2500</v>
      </c>
      <c r="AJ99" s="19">
        <f>Programacion[[#This Row],[DEVENGADO ABRIL]]+Programacion[[#This Row],[DEVENGADO MAYO]]+Programacion[[#This Row],[DEVENGADO JUNIO]]</f>
        <v>2500</v>
      </c>
      <c r="AK99" s="19">
        <f>Programacion[[#This Row],[JULIO]]+Programacion[[#This Row],[AGOSTO]]+Programacion[[#This Row],[SEPTIEMBRE]]</f>
        <v>0</v>
      </c>
      <c r="AL99" s="19">
        <f>Programacion[[#This Row],[DEVENGADO JULIO]]+Programacion[[#This Row],[DEVENGADO AGOSTO]]+Programacion[[#This Row],[DEVENGADO SEPTIEMBRE]]</f>
        <v>0</v>
      </c>
      <c r="AM99" s="19">
        <f>Programacion[[#This Row],[OCTUBRE]]+Programacion[[#This Row],[NOVIEMBRE]]+Programacion[[#This Row],[DICIEMBRE]]</f>
        <v>0</v>
      </c>
      <c r="AN99" s="20">
        <f>Programacion[[#This Row],[DEVENGADO OCTUBRE]]+Programacion[[#This Row],[DEVENGADO NOVIEMBRE]]+Programacion[[#This Row],[DEVENGADO DICIEMBRE]]</f>
        <v>0</v>
      </c>
      <c r="AO99" s="20">
        <f>Programacion[[#This Row],[ENERO]]+Programacion[[#This Row],[FEBRERO]]+Programacion[[#This Row],[MARZO]]+Programacion[[#This Row],[ABRIL]]+Programacion[[#This Row],[MAYO]]+Programacion[[#This Row],[JUNIO]]</f>
        <v>2500</v>
      </c>
      <c r="AP9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</v>
      </c>
      <c r="AQ9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</v>
      </c>
      <c r="AT99" s="116"/>
    </row>
    <row r="100" spans="1:46" ht="30" x14ac:dyDescent="0.25">
      <c r="A100" s="40" t="s">
        <v>110</v>
      </c>
      <c r="B100" s="35" t="s">
        <v>118</v>
      </c>
      <c r="C100" s="36" t="s">
        <v>74</v>
      </c>
      <c r="D100" s="36" t="s">
        <v>48</v>
      </c>
      <c r="E100" s="37">
        <v>39</v>
      </c>
      <c r="F100" s="38">
        <v>2.2999999999999998</v>
      </c>
      <c r="G100" s="36" t="s">
        <v>75</v>
      </c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>
        <v>4500</v>
      </c>
      <c r="S100" s="39">
        <v>4500</v>
      </c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100" s="19">
        <f>Programacion[[#This Row],[ENERO]]+Programacion[[#This Row],[FEBRERO]]+Programacion[[#This Row],[MARZO]]</f>
        <v>0</v>
      </c>
      <c r="AH100" s="19">
        <f>Programacion[[#This Row],[DEVENGADO ENERO]]+Programacion[[#This Row],[DEVENGADO FEBRERO]]+Programacion[[#This Row],[DEVENGADO MARZO]]</f>
        <v>0</v>
      </c>
      <c r="AI100" s="19">
        <f>Programacion[[#This Row],[ABRIL]]+Programacion[[#This Row],[MAYO]]+Programacion[[#This Row],[JUNIO]]</f>
        <v>4500</v>
      </c>
      <c r="AJ100" s="19">
        <f>Programacion[[#This Row],[DEVENGADO ABRIL]]+Programacion[[#This Row],[DEVENGADO MAYO]]+Programacion[[#This Row],[DEVENGADO JUNIO]]</f>
        <v>4500</v>
      </c>
      <c r="AK100" s="19">
        <f>Programacion[[#This Row],[JULIO]]+Programacion[[#This Row],[AGOSTO]]+Programacion[[#This Row],[SEPTIEMBRE]]</f>
        <v>0</v>
      </c>
      <c r="AL100" s="19">
        <f>Programacion[[#This Row],[DEVENGADO JULIO]]+Programacion[[#This Row],[DEVENGADO AGOSTO]]+Programacion[[#This Row],[DEVENGADO SEPTIEMBRE]]</f>
        <v>0</v>
      </c>
      <c r="AM100" s="19">
        <f>Programacion[[#This Row],[OCTUBRE]]+Programacion[[#This Row],[NOVIEMBRE]]+Programacion[[#This Row],[DICIEMBRE]]</f>
        <v>0</v>
      </c>
      <c r="AN100" s="20">
        <f>Programacion[[#This Row],[DEVENGADO OCTUBRE]]+Programacion[[#This Row],[DEVENGADO NOVIEMBRE]]+Programacion[[#This Row],[DEVENGADO DICIEMBRE]]</f>
        <v>0</v>
      </c>
      <c r="AO100" s="20">
        <f>Programacion[[#This Row],[ENERO]]+Programacion[[#This Row],[FEBRERO]]+Programacion[[#This Row],[MARZO]]+Programacion[[#This Row],[ABRIL]]+Programacion[[#This Row],[MAYO]]+Programacion[[#This Row],[JUNIO]]</f>
        <v>4500</v>
      </c>
      <c r="AP10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4500</v>
      </c>
      <c r="AQ100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100" s="116"/>
    </row>
    <row r="101" spans="1:46" ht="30" x14ac:dyDescent="0.25">
      <c r="A101" s="40" t="s">
        <v>110</v>
      </c>
      <c r="B101" s="35" t="s">
        <v>119</v>
      </c>
      <c r="C101" s="36" t="s">
        <v>74</v>
      </c>
      <c r="D101" s="36" t="s">
        <v>48</v>
      </c>
      <c r="E101" s="37">
        <v>39</v>
      </c>
      <c r="F101" s="38">
        <v>2.2999999999999998</v>
      </c>
      <c r="G101" s="36" t="s">
        <v>75</v>
      </c>
      <c r="H101" s="39"/>
      <c r="I101" s="39"/>
      <c r="J101" s="39"/>
      <c r="K101" s="39"/>
      <c r="L101" s="39"/>
      <c r="M101" s="39"/>
      <c r="N101" s="39"/>
      <c r="O101" s="39"/>
      <c r="P101" s="39">
        <v>3000</v>
      </c>
      <c r="Q101" s="39">
        <v>3000</v>
      </c>
      <c r="R101" s="39"/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101" s="19">
        <f>Programacion[[#This Row],[ENERO]]+Programacion[[#This Row],[FEBRERO]]+Programacion[[#This Row],[MARZO]]</f>
        <v>0</v>
      </c>
      <c r="AH101" s="19">
        <f>Programacion[[#This Row],[DEVENGADO ENERO]]+Programacion[[#This Row],[DEVENGADO FEBRERO]]+Programacion[[#This Row],[DEVENGADO MARZO]]</f>
        <v>0</v>
      </c>
      <c r="AI101" s="19">
        <f>Programacion[[#This Row],[ABRIL]]+Programacion[[#This Row],[MAYO]]+Programacion[[#This Row],[JUNIO]]</f>
        <v>3000</v>
      </c>
      <c r="AJ101" s="19">
        <f>Programacion[[#This Row],[DEVENGADO ABRIL]]+Programacion[[#This Row],[DEVENGADO MAYO]]+Programacion[[#This Row],[DEVENGADO JUNIO]]</f>
        <v>3000</v>
      </c>
      <c r="AK101" s="19">
        <f>Programacion[[#This Row],[JULIO]]+Programacion[[#This Row],[AGOSTO]]+Programacion[[#This Row],[SEPTIEMBRE]]</f>
        <v>0</v>
      </c>
      <c r="AL101" s="19">
        <f>Programacion[[#This Row],[DEVENGADO JULIO]]+Programacion[[#This Row],[DEVENGADO AGOSTO]]+Programacion[[#This Row],[DEVENGADO SEPTIEMBRE]]</f>
        <v>0</v>
      </c>
      <c r="AM101" s="19">
        <f>Programacion[[#This Row],[OCTUBRE]]+Programacion[[#This Row],[NOVIEMBRE]]+Programacion[[#This Row],[DICIEMBRE]]</f>
        <v>0</v>
      </c>
      <c r="AN101" s="20">
        <f>Programacion[[#This Row],[DEVENGADO OCTUBRE]]+Programacion[[#This Row],[DEVENGADO NOVIEMBRE]]+Programacion[[#This Row],[DEVENGADO DICIEMBRE]]</f>
        <v>0</v>
      </c>
      <c r="AO101" s="20">
        <f>Programacion[[#This Row],[ENERO]]+Programacion[[#This Row],[FEBRERO]]+Programacion[[#This Row],[MARZO]]+Programacion[[#This Row],[ABRIL]]+Programacion[[#This Row],[MAYO]]+Programacion[[#This Row],[JUNIO]]</f>
        <v>3000</v>
      </c>
      <c r="AP10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</v>
      </c>
      <c r="AQ10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101" s="116"/>
    </row>
    <row r="102" spans="1:46" x14ac:dyDescent="0.25">
      <c r="A102" s="40" t="s">
        <v>110</v>
      </c>
      <c r="B102" s="35" t="s">
        <v>120</v>
      </c>
      <c r="C102" s="36" t="s">
        <v>56</v>
      </c>
      <c r="D102" s="36" t="s">
        <v>48</v>
      </c>
      <c r="E102" s="37">
        <v>39</v>
      </c>
      <c r="F102" s="38">
        <v>2.2999999999999998</v>
      </c>
      <c r="G102" s="36" t="s">
        <v>71</v>
      </c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>
        <v>4000</v>
      </c>
      <c r="S102" s="39">
        <v>4000</v>
      </c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02" s="19">
        <f>Programacion[[#This Row],[ENERO]]+Programacion[[#This Row],[FEBRERO]]+Programacion[[#This Row],[MARZO]]</f>
        <v>0</v>
      </c>
      <c r="AH102" s="19">
        <f>Programacion[[#This Row],[DEVENGADO ENERO]]+Programacion[[#This Row],[DEVENGADO FEBRERO]]+Programacion[[#This Row],[DEVENGADO MARZO]]</f>
        <v>0</v>
      </c>
      <c r="AI102" s="19">
        <f>Programacion[[#This Row],[ABRIL]]+Programacion[[#This Row],[MAYO]]+Programacion[[#This Row],[JUNIO]]</f>
        <v>4000</v>
      </c>
      <c r="AJ102" s="19">
        <f>Programacion[[#This Row],[DEVENGADO ABRIL]]+Programacion[[#This Row],[DEVENGADO MAYO]]+Programacion[[#This Row],[DEVENGADO JUNIO]]</f>
        <v>4000</v>
      </c>
      <c r="AK102" s="19">
        <f>Programacion[[#This Row],[JULIO]]+Programacion[[#This Row],[AGOSTO]]+Programacion[[#This Row],[SEPTIEMBRE]]</f>
        <v>0</v>
      </c>
      <c r="AL102" s="19">
        <f>Programacion[[#This Row],[DEVENGADO JULIO]]+Programacion[[#This Row],[DEVENGADO AGOSTO]]+Programacion[[#This Row],[DEVENGADO SEPTIEMBRE]]</f>
        <v>0</v>
      </c>
      <c r="AM102" s="19">
        <f>Programacion[[#This Row],[OCTUBRE]]+Programacion[[#This Row],[NOVIEMBRE]]+Programacion[[#This Row],[DICIEMBRE]]</f>
        <v>0</v>
      </c>
      <c r="AN102" s="20">
        <f>Programacion[[#This Row],[DEVENGADO OCTUBRE]]+Programacion[[#This Row],[DEVENGADO NOVIEMBRE]]+Programacion[[#This Row],[DEVENGADO DICIEMBRE]]</f>
        <v>0</v>
      </c>
      <c r="AO102" s="20">
        <f>Programacion[[#This Row],[ENERO]]+Programacion[[#This Row],[FEBRERO]]+Programacion[[#This Row],[MARZO]]+Programacion[[#This Row],[ABRIL]]+Programacion[[#This Row],[MAYO]]+Programacion[[#This Row],[JUNIO]]</f>
        <v>4000</v>
      </c>
      <c r="AP10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10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102" s="116"/>
    </row>
    <row r="103" spans="1:46" ht="30" x14ac:dyDescent="0.25">
      <c r="A103" s="40" t="s">
        <v>110</v>
      </c>
      <c r="B103" s="35" t="s">
        <v>117</v>
      </c>
      <c r="C103" s="36" t="s">
        <v>74</v>
      </c>
      <c r="D103" s="36" t="s">
        <v>48</v>
      </c>
      <c r="E103" s="37">
        <v>39</v>
      </c>
      <c r="F103" s="38">
        <v>2.2999999999999998</v>
      </c>
      <c r="G103" s="36" t="s">
        <v>75</v>
      </c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>
        <v>3800</v>
      </c>
      <c r="S103" s="33">
        <v>3800</v>
      </c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3800</v>
      </c>
      <c r="AG103" s="33">
        <f>Programacion[[#This Row],[ENERO]]+Programacion[[#This Row],[FEBRERO]]+Programacion[[#This Row],[MARZO]]</f>
        <v>0</v>
      </c>
      <c r="AH103" s="33">
        <f>Programacion[[#This Row],[DEVENGADO ENERO]]+Programacion[[#This Row],[DEVENGADO FEBRERO]]+Programacion[[#This Row],[DEVENGADO MARZO]]</f>
        <v>0</v>
      </c>
      <c r="AI103" s="33">
        <f>Programacion[[#This Row],[ABRIL]]+Programacion[[#This Row],[MAYO]]+Programacion[[#This Row],[JUNIO]]</f>
        <v>3800</v>
      </c>
      <c r="AJ103" s="33">
        <f>Programacion[[#This Row],[DEVENGADO ABRIL]]+Programacion[[#This Row],[DEVENGADO MAYO]]+Programacion[[#This Row],[DEVENGADO JUNIO]]</f>
        <v>3800</v>
      </c>
      <c r="AK103" s="33">
        <f>Programacion[[#This Row],[JULIO]]+Programacion[[#This Row],[AGOSTO]]+Programacion[[#This Row],[SEPTIEMBRE]]</f>
        <v>0</v>
      </c>
      <c r="AL103" s="33">
        <f>Programacion[[#This Row],[DEVENGADO JULIO]]+Programacion[[#This Row],[DEVENGADO AGOSTO]]+Programacion[[#This Row],[DEVENGADO SEPTIEMBRE]]</f>
        <v>0</v>
      </c>
      <c r="AM103" s="33">
        <f>Programacion[[#This Row],[OCTUBRE]]+Programacion[[#This Row],[NOVIEMBRE]]+Programacion[[#This Row],[DICIEMBRE]]</f>
        <v>0</v>
      </c>
      <c r="AN103" s="21">
        <f>Programacion[[#This Row],[DEVENGADO OCTUBRE]]+Programacion[[#This Row],[DEVENGADO NOVIEMBRE]]+Programacion[[#This Row],[DEVENGADO DICIEMBRE]]</f>
        <v>0</v>
      </c>
      <c r="AO103" s="21">
        <f>Programacion[[#This Row],[ENERO]]+Programacion[[#This Row],[FEBRERO]]+Programacion[[#This Row],[MARZO]]+Programacion[[#This Row],[ABRIL]]+Programacion[[#This Row],[MAYO]]+Programacion[[#This Row],[JUNIO]]</f>
        <v>3800</v>
      </c>
      <c r="AP10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3800</v>
      </c>
      <c r="AQ103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3800</v>
      </c>
      <c r="AT103" s="116"/>
    </row>
    <row r="104" spans="1:46" ht="30" x14ac:dyDescent="0.25">
      <c r="A104" s="40" t="s">
        <v>110</v>
      </c>
      <c r="B104" s="35" t="s">
        <v>122</v>
      </c>
      <c r="C104" s="36" t="s">
        <v>107</v>
      </c>
      <c r="D104" s="36" t="s">
        <v>48</v>
      </c>
      <c r="E104" s="41">
        <v>39</v>
      </c>
      <c r="F104" s="42">
        <v>2.2999999999999998</v>
      </c>
      <c r="G104" s="43" t="s">
        <v>108</v>
      </c>
      <c r="H104" s="39"/>
      <c r="I104" s="39"/>
      <c r="J104" s="39"/>
      <c r="K104" s="39"/>
      <c r="L104" s="39"/>
      <c r="M104" s="39"/>
      <c r="N104" s="39"/>
      <c r="O104" s="39"/>
      <c r="P104" s="39">
        <v>1280.67</v>
      </c>
      <c r="Q104" s="39">
        <v>1280.67</v>
      </c>
      <c r="R104" s="39">
        <v>1130</v>
      </c>
      <c r="S104" s="39">
        <v>1130</v>
      </c>
      <c r="T104" s="39">
        <v>1130</v>
      </c>
      <c r="U104" s="39">
        <v>1130</v>
      </c>
      <c r="V104" s="39">
        <v>1130</v>
      </c>
      <c r="W104" s="39"/>
      <c r="X104" s="39">
        <v>1130</v>
      </c>
      <c r="Y104" s="39"/>
      <c r="Z104" s="39">
        <v>1130</v>
      </c>
      <c r="AA104" s="39"/>
      <c r="AB104" s="39">
        <v>1130</v>
      </c>
      <c r="AC104" s="39"/>
      <c r="AD104" s="39">
        <v>1130</v>
      </c>
      <c r="AE104" s="39"/>
      <c r="AF10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9190.67</v>
      </c>
      <c r="AG104" s="19">
        <f>Programacion[[#This Row],[ENERO]]+Programacion[[#This Row],[FEBRERO]]+Programacion[[#This Row],[MARZO]]</f>
        <v>0</v>
      </c>
      <c r="AH104" s="19">
        <f>Programacion[[#This Row],[DEVENGADO ENERO]]+Programacion[[#This Row],[DEVENGADO FEBRERO]]+Programacion[[#This Row],[DEVENGADO MARZO]]</f>
        <v>0</v>
      </c>
      <c r="AI104" s="19">
        <f>Programacion[[#This Row],[ABRIL]]+Programacion[[#This Row],[MAYO]]+Programacion[[#This Row],[JUNIO]]</f>
        <v>2410.67</v>
      </c>
      <c r="AJ104" s="19">
        <f>Programacion[[#This Row],[DEVENGADO ABRIL]]+Programacion[[#This Row],[DEVENGADO MAYO]]+Programacion[[#This Row],[DEVENGADO JUNIO]]</f>
        <v>2410.67</v>
      </c>
      <c r="AK104" s="19">
        <f>Programacion[[#This Row],[JULIO]]+Programacion[[#This Row],[AGOSTO]]+Programacion[[#This Row],[SEPTIEMBRE]]</f>
        <v>3390</v>
      </c>
      <c r="AL104" s="19">
        <f>Programacion[[#This Row],[DEVENGADO JULIO]]+Programacion[[#This Row],[DEVENGADO AGOSTO]]+Programacion[[#This Row],[DEVENGADO SEPTIEMBRE]]</f>
        <v>1130</v>
      </c>
      <c r="AM104" s="19">
        <f>Programacion[[#This Row],[OCTUBRE]]+Programacion[[#This Row],[NOVIEMBRE]]+Programacion[[#This Row],[DICIEMBRE]]</f>
        <v>3390</v>
      </c>
      <c r="AN104" s="20">
        <f>Programacion[[#This Row],[DEVENGADO OCTUBRE]]+Programacion[[#This Row],[DEVENGADO NOVIEMBRE]]+Programacion[[#This Row],[DEVENGADO DICIEMBRE]]</f>
        <v>0</v>
      </c>
      <c r="AO104" s="20">
        <f>Programacion[[#This Row],[ENERO]]+Programacion[[#This Row],[FEBRERO]]+Programacion[[#This Row],[MARZO]]+Programacion[[#This Row],[ABRIL]]+Programacion[[#This Row],[MAYO]]+Programacion[[#This Row],[JUNIO]]</f>
        <v>2410.67</v>
      </c>
      <c r="AP10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2410.67</v>
      </c>
      <c r="AQ104" s="20">
        <f>Programacion[[#This Row],[JULIO]]+Programacion[[#This Row],[AGOSTO]]+Programacion[[#This Row],[SEPTIEMBRE]]+Programacion[[#This Row],[OCTUBRE]]+Programacion[[#This Row],[NOVIEMBRE]]+Programacion[[#This Row],[DICIEMBRE]]</f>
        <v>6780</v>
      </c>
      <c r="AR10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1130</v>
      </c>
      <c r="AS10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3540.67</v>
      </c>
      <c r="AT104" s="116"/>
    </row>
    <row r="105" spans="1:46" x14ac:dyDescent="0.25">
      <c r="A105" s="128" t="s">
        <v>110</v>
      </c>
      <c r="B105" s="128" t="s">
        <v>233</v>
      </c>
      <c r="C105" s="128" t="s">
        <v>265</v>
      </c>
      <c r="D105" s="129" t="s">
        <v>48</v>
      </c>
      <c r="E105" s="130">
        <v>39</v>
      </c>
      <c r="F105" s="130">
        <v>23</v>
      </c>
      <c r="G105" s="129" t="s">
        <v>193</v>
      </c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>
        <v>3240</v>
      </c>
      <c r="W105" s="33"/>
      <c r="X105" s="33"/>
      <c r="Y105" s="33"/>
      <c r="Z105" s="33"/>
      <c r="AA105" s="33"/>
      <c r="AB105" s="33"/>
      <c r="AC105" s="33"/>
      <c r="AD105" s="33"/>
      <c r="AE105" s="33"/>
      <c r="AF10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3240</v>
      </c>
      <c r="AG105" s="33">
        <f>Programacion[[#This Row],[ENERO]]+Programacion[[#This Row],[FEBRERO]]+Programacion[[#This Row],[MARZO]]</f>
        <v>0</v>
      </c>
      <c r="AH105" s="33">
        <f>Programacion[[#This Row],[DEVENGADO ENERO]]+Programacion[[#This Row],[DEVENGADO FEBRERO]]+Programacion[[#This Row],[DEVENGADO MARZO]]</f>
        <v>0</v>
      </c>
      <c r="AI105" s="33">
        <f>Programacion[[#This Row],[ABRIL]]+Programacion[[#This Row],[MAYO]]+Programacion[[#This Row],[JUNIO]]</f>
        <v>0</v>
      </c>
      <c r="AJ105" s="33">
        <f>Programacion[[#This Row],[DEVENGADO ABRIL]]+Programacion[[#This Row],[DEVENGADO MAYO]]+Programacion[[#This Row],[DEVENGADO JUNIO]]</f>
        <v>0</v>
      </c>
      <c r="AK105" s="33">
        <f>Programacion[[#This Row],[JULIO]]+Programacion[[#This Row],[AGOSTO]]+Programacion[[#This Row],[SEPTIEMBRE]]</f>
        <v>3240</v>
      </c>
      <c r="AL105" s="33">
        <f>Programacion[[#This Row],[DEVENGADO JULIO]]+Programacion[[#This Row],[DEVENGADO AGOSTO]]+Programacion[[#This Row],[DEVENGADO SEPTIEMBRE]]</f>
        <v>0</v>
      </c>
      <c r="AM105" s="33">
        <f>Programacion[[#This Row],[OCTUBRE]]+Programacion[[#This Row],[NOVIEMBRE]]+Programacion[[#This Row],[DICIEMBRE]]</f>
        <v>0</v>
      </c>
      <c r="AN105" s="21">
        <f>Programacion[[#This Row],[DEVENGADO OCTUBRE]]+Programacion[[#This Row],[DEVENGADO NOVIEMBRE]]+Programacion[[#This Row],[DEVENGADO DICIEMBRE]]</f>
        <v>0</v>
      </c>
      <c r="AO105" s="21">
        <f>Programacion[[#This Row],[ENERO]]+Programacion[[#This Row],[FEBRERO]]+Programacion[[#This Row],[MARZO]]+Programacion[[#This Row],[ABRIL]]+Programacion[[#This Row],[MAYO]]+Programacion[[#This Row],[JUNIO]]</f>
        <v>0</v>
      </c>
      <c r="AP10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5" s="21">
        <f>Programacion[[#This Row],[JULIO]]+Programacion[[#This Row],[AGOSTO]]+Programacion[[#This Row],[SEPTIEMBRE]]+Programacion[[#This Row],[OCTUBRE]]+Programacion[[#This Row],[NOVIEMBRE]]+Programacion[[#This Row],[DICIEMBRE]]</f>
        <v>3240</v>
      </c>
      <c r="AR10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05" s="116"/>
    </row>
    <row r="106" spans="1:46" x14ac:dyDescent="0.25">
      <c r="A106" s="44" t="s">
        <v>124</v>
      </c>
      <c r="B106" s="45" t="s">
        <v>125</v>
      </c>
      <c r="C106" s="46" t="s">
        <v>56</v>
      </c>
      <c r="D106" s="46" t="s">
        <v>48</v>
      </c>
      <c r="E106" s="47">
        <v>39</v>
      </c>
      <c r="F106" s="48">
        <v>2.2999999999999998</v>
      </c>
      <c r="G106" s="46" t="s">
        <v>71</v>
      </c>
      <c r="H106" s="49"/>
      <c r="I106" s="49"/>
      <c r="J106" s="49"/>
      <c r="K106" s="49"/>
      <c r="L106" s="49">
        <v>7920</v>
      </c>
      <c r="M106" s="49">
        <v>7920</v>
      </c>
      <c r="N106" s="49">
        <v>3960</v>
      </c>
      <c r="O106" s="49">
        <v>3960</v>
      </c>
      <c r="P106" s="49">
        <v>3960</v>
      </c>
      <c r="Q106" s="49">
        <v>3960</v>
      </c>
      <c r="R106" s="49">
        <v>3960</v>
      </c>
      <c r="S106" s="49">
        <v>3960</v>
      </c>
      <c r="T106" s="49"/>
      <c r="U106" s="49"/>
      <c r="V106" s="49"/>
      <c r="W106" s="49"/>
      <c r="X106" s="49"/>
      <c r="Y106" s="49"/>
      <c r="Z106" s="49"/>
      <c r="AA106" s="49"/>
      <c r="AB106" s="49"/>
      <c r="AC106" s="49"/>
      <c r="AD106" s="49"/>
      <c r="AE106" s="49"/>
      <c r="AF10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19800</v>
      </c>
      <c r="AG106" s="19">
        <f>Programacion[[#This Row],[ENERO]]+Programacion[[#This Row],[FEBRERO]]+Programacion[[#This Row],[MARZO]]</f>
        <v>7920</v>
      </c>
      <c r="AH106" s="19">
        <f>Programacion[[#This Row],[DEVENGADO ENERO]]+Programacion[[#This Row],[DEVENGADO FEBRERO]]+Programacion[[#This Row],[DEVENGADO MARZO]]</f>
        <v>7920</v>
      </c>
      <c r="AI106" s="19">
        <f>Programacion[[#This Row],[ABRIL]]+Programacion[[#This Row],[MAYO]]+Programacion[[#This Row],[JUNIO]]</f>
        <v>11880</v>
      </c>
      <c r="AJ106" s="19">
        <f>Programacion[[#This Row],[DEVENGADO ABRIL]]+Programacion[[#This Row],[DEVENGADO MAYO]]+Programacion[[#This Row],[DEVENGADO JUNIO]]</f>
        <v>11880</v>
      </c>
      <c r="AK106" s="19">
        <f>Programacion[[#This Row],[JULIO]]+Programacion[[#This Row],[AGOSTO]]+Programacion[[#This Row],[SEPTIEMBRE]]</f>
        <v>0</v>
      </c>
      <c r="AL106" s="19">
        <f>Programacion[[#This Row],[DEVENGADO JULIO]]+Programacion[[#This Row],[DEVENGADO AGOSTO]]+Programacion[[#This Row],[DEVENGADO SEPTIEMBRE]]</f>
        <v>0</v>
      </c>
      <c r="AM106" s="19">
        <f>Programacion[[#This Row],[OCTUBRE]]+Programacion[[#This Row],[NOVIEMBRE]]+Programacion[[#This Row],[DICIEMBRE]]</f>
        <v>0</v>
      </c>
      <c r="AN106" s="20">
        <f>Programacion[[#This Row],[DEVENGADO OCTUBRE]]+Programacion[[#This Row],[DEVENGADO NOVIEMBRE]]+Programacion[[#This Row],[DEVENGADO DICIEMBRE]]</f>
        <v>0</v>
      </c>
      <c r="AO106" s="20">
        <f>Programacion[[#This Row],[ENERO]]+Programacion[[#This Row],[FEBRERO]]+Programacion[[#This Row],[MARZO]]+Programacion[[#This Row],[ABRIL]]+Programacion[[#This Row],[MAYO]]+Programacion[[#This Row],[JUNIO]]</f>
        <v>19800</v>
      </c>
      <c r="AP10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19800</v>
      </c>
      <c r="AQ106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19800</v>
      </c>
      <c r="AT106" s="116"/>
    </row>
    <row r="107" spans="1:46" x14ac:dyDescent="0.25">
      <c r="A107" s="44" t="s">
        <v>124</v>
      </c>
      <c r="B107" s="45" t="s">
        <v>125</v>
      </c>
      <c r="C107" s="46" t="s">
        <v>56</v>
      </c>
      <c r="D107" s="46" t="s">
        <v>48</v>
      </c>
      <c r="E107" s="47">
        <v>39</v>
      </c>
      <c r="F107" s="48">
        <v>2.2999999999999998</v>
      </c>
      <c r="G107" s="46" t="s">
        <v>71</v>
      </c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>
        <v>3600</v>
      </c>
      <c r="U107" s="33">
        <v>3600</v>
      </c>
      <c r="V107" s="33">
        <v>4080</v>
      </c>
      <c r="W107" s="33">
        <v>4080</v>
      </c>
      <c r="X107" s="33">
        <v>4080</v>
      </c>
      <c r="Y107" s="33"/>
      <c r="Z107" s="33">
        <v>4080</v>
      </c>
      <c r="AA107" s="33"/>
      <c r="AB107" s="33">
        <v>4080</v>
      </c>
      <c r="AC107" s="33"/>
      <c r="AD107" s="33">
        <v>4080</v>
      </c>
      <c r="AE107" s="33"/>
      <c r="AF10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07" s="33">
        <f>Programacion[[#This Row],[ENERO]]+Programacion[[#This Row],[FEBRERO]]+Programacion[[#This Row],[MARZO]]</f>
        <v>0</v>
      </c>
      <c r="AH107" s="33">
        <f>Programacion[[#This Row],[DEVENGADO ENERO]]+Programacion[[#This Row],[DEVENGADO FEBRERO]]+Programacion[[#This Row],[DEVENGADO MARZO]]</f>
        <v>0</v>
      </c>
      <c r="AI107" s="33">
        <f>Programacion[[#This Row],[ABRIL]]+Programacion[[#This Row],[MAYO]]+Programacion[[#This Row],[JUNIO]]</f>
        <v>0</v>
      </c>
      <c r="AJ107" s="33">
        <f>Programacion[[#This Row],[DEVENGADO ABRIL]]+Programacion[[#This Row],[DEVENGADO MAYO]]+Programacion[[#This Row],[DEVENGADO JUNIO]]</f>
        <v>0</v>
      </c>
      <c r="AK107" s="33">
        <f>Programacion[[#This Row],[JULIO]]+Programacion[[#This Row],[AGOSTO]]+Programacion[[#This Row],[SEPTIEMBRE]]</f>
        <v>11760</v>
      </c>
      <c r="AL107" s="33">
        <f>Programacion[[#This Row],[DEVENGADO JULIO]]+Programacion[[#This Row],[DEVENGADO AGOSTO]]+Programacion[[#This Row],[DEVENGADO SEPTIEMBRE]]</f>
        <v>7680</v>
      </c>
      <c r="AM107" s="33">
        <f>Programacion[[#This Row],[OCTUBRE]]+Programacion[[#This Row],[NOVIEMBRE]]+Programacion[[#This Row],[DICIEMBRE]]</f>
        <v>12240</v>
      </c>
      <c r="AN107" s="21">
        <f>Programacion[[#This Row],[DEVENGADO OCTUBRE]]+Programacion[[#This Row],[DEVENGADO NOVIEMBRE]]+Programacion[[#This Row],[DEVENGADO DICIEMBRE]]</f>
        <v>0</v>
      </c>
      <c r="AO107" s="21">
        <f>Programacion[[#This Row],[ENERO]]+Programacion[[#This Row],[FEBRERO]]+Programacion[[#This Row],[MARZO]]+Programacion[[#This Row],[ABRIL]]+Programacion[[#This Row],[MAYO]]+Programacion[[#This Row],[JUNIO]]</f>
        <v>0</v>
      </c>
      <c r="AP10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7" s="21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0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7680</v>
      </c>
      <c r="AS10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7680</v>
      </c>
      <c r="AT107" s="116"/>
    </row>
    <row r="108" spans="1:46" ht="30" x14ac:dyDescent="0.25">
      <c r="A108" s="44" t="s">
        <v>124</v>
      </c>
      <c r="B108" s="45" t="s">
        <v>126</v>
      </c>
      <c r="C108" s="46" t="s">
        <v>56</v>
      </c>
      <c r="D108" s="46" t="s">
        <v>48</v>
      </c>
      <c r="E108" s="47">
        <v>39</v>
      </c>
      <c r="F108" s="48">
        <v>2.2999999999999998</v>
      </c>
      <c r="G108" s="46" t="s">
        <v>71</v>
      </c>
      <c r="H108" s="49"/>
      <c r="I108" s="49"/>
      <c r="J108" s="49"/>
      <c r="K108" s="49"/>
      <c r="L108" s="49"/>
      <c r="M108" s="49"/>
      <c r="N108" s="49">
        <v>8500</v>
      </c>
      <c r="O108" s="49">
        <v>8500</v>
      </c>
      <c r="P108" s="49">
        <v>8500</v>
      </c>
      <c r="Q108" s="49">
        <v>8500</v>
      </c>
      <c r="R108" s="49">
        <v>8500</v>
      </c>
      <c r="S108" s="49">
        <v>8500</v>
      </c>
      <c r="T108" s="49">
        <v>8500</v>
      </c>
      <c r="U108" s="49">
        <v>8500</v>
      </c>
      <c r="V108" s="49">
        <v>8500</v>
      </c>
      <c r="W108" s="49"/>
      <c r="X108" s="49"/>
      <c r="Y108" s="49"/>
      <c r="Z108" s="49"/>
      <c r="AA108" s="49"/>
      <c r="AB108" s="49"/>
      <c r="AC108" s="49"/>
      <c r="AD108" s="49"/>
      <c r="AE108" s="49"/>
      <c r="AF10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42500</v>
      </c>
      <c r="AG108" s="19">
        <f>Programacion[[#This Row],[ENERO]]+Programacion[[#This Row],[FEBRERO]]+Programacion[[#This Row],[MARZO]]</f>
        <v>0</v>
      </c>
      <c r="AH108" s="19">
        <f>Programacion[[#This Row],[DEVENGADO ENERO]]+Programacion[[#This Row],[DEVENGADO FEBRERO]]+Programacion[[#This Row],[DEVENGADO MARZO]]</f>
        <v>0</v>
      </c>
      <c r="AI108" s="19">
        <f>Programacion[[#This Row],[ABRIL]]+Programacion[[#This Row],[MAYO]]+Programacion[[#This Row],[JUNIO]]</f>
        <v>25500</v>
      </c>
      <c r="AJ108" s="19">
        <f>Programacion[[#This Row],[DEVENGADO ABRIL]]+Programacion[[#This Row],[DEVENGADO MAYO]]+Programacion[[#This Row],[DEVENGADO JUNIO]]</f>
        <v>25500</v>
      </c>
      <c r="AK108" s="19">
        <f>Programacion[[#This Row],[JULIO]]+Programacion[[#This Row],[AGOSTO]]+Programacion[[#This Row],[SEPTIEMBRE]]</f>
        <v>17000</v>
      </c>
      <c r="AL108" s="19">
        <f>Programacion[[#This Row],[DEVENGADO JULIO]]+Programacion[[#This Row],[DEVENGADO AGOSTO]]+Programacion[[#This Row],[DEVENGADO SEPTIEMBRE]]</f>
        <v>8500</v>
      </c>
      <c r="AM108" s="19">
        <f>Programacion[[#This Row],[OCTUBRE]]+Programacion[[#This Row],[NOVIEMBRE]]+Programacion[[#This Row],[DICIEMBRE]]</f>
        <v>0</v>
      </c>
      <c r="AN108" s="20">
        <f>Programacion[[#This Row],[DEVENGADO OCTUBRE]]+Programacion[[#This Row],[DEVENGADO NOVIEMBRE]]+Programacion[[#This Row],[DEVENGADO DICIEMBRE]]</f>
        <v>0</v>
      </c>
      <c r="AO108" s="20">
        <f>Programacion[[#This Row],[ENERO]]+Programacion[[#This Row],[FEBRERO]]+Programacion[[#This Row],[MARZO]]+Programacion[[#This Row],[ABRIL]]+Programacion[[#This Row],[MAYO]]+Programacion[[#This Row],[JUNIO]]</f>
        <v>25500</v>
      </c>
      <c r="AP10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25500</v>
      </c>
      <c r="AQ108" s="20">
        <f>Programacion[[#This Row],[JULIO]]+Programacion[[#This Row],[AGOSTO]]+Programacion[[#This Row],[SEPTIEMBRE]]+Programacion[[#This Row],[OCTUBRE]]+Programacion[[#This Row],[NOVIEMBRE]]+Programacion[[#This Row],[DICIEMBRE]]</f>
        <v>17000</v>
      </c>
      <c r="AR10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8500</v>
      </c>
      <c r="AS10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34000</v>
      </c>
      <c r="AT108" s="116"/>
    </row>
    <row r="109" spans="1:46" x14ac:dyDescent="0.25">
      <c r="A109" s="44" t="s">
        <v>124</v>
      </c>
      <c r="B109" s="45" t="s">
        <v>125</v>
      </c>
      <c r="C109" s="46" t="s">
        <v>56</v>
      </c>
      <c r="D109" s="46" t="s">
        <v>48</v>
      </c>
      <c r="E109" s="47">
        <v>39</v>
      </c>
      <c r="F109" s="48">
        <v>2.2999999999999998</v>
      </c>
      <c r="G109" s="46" t="s">
        <v>71</v>
      </c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>
        <v>8500</v>
      </c>
      <c r="Y109" s="49"/>
      <c r="Z109" s="49">
        <v>8500</v>
      </c>
      <c r="AA109" s="49"/>
      <c r="AB109" s="49">
        <v>8500</v>
      </c>
      <c r="AC109" s="49"/>
      <c r="AD109" s="49">
        <v>8500</v>
      </c>
      <c r="AE109" s="50"/>
      <c r="AF10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34000</v>
      </c>
      <c r="AG109" s="19">
        <f>Programacion[[#This Row],[ENERO]]+Programacion[[#This Row],[FEBRERO]]+Programacion[[#This Row],[MARZO]]</f>
        <v>0</v>
      </c>
      <c r="AH109" s="19">
        <f>Programacion[[#This Row],[DEVENGADO ENERO]]+Programacion[[#This Row],[DEVENGADO FEBRERO]]+Programacion[[#This Row],[DEVENGADO MARZO]]</f>
        <v>0</v>
      </c>
      <c r="AI109" s="19">
        <f>Programacion[[#This Row],[ABRIL]]+Programacion[[#This Row],[MAYO]]+Programacion[[#This Row],[JUNIO]]</f>
        <v>0</v>
      </c>
      <c r="AJ109" s="19">
        <f>Programacion[[#This Row],[DEVENGADO ABRIL]]+Programacion[[#This Row],[DEVENGADO MAYO]]+Programacion[[#This Row],[DEVENGADO JUNIO]]</f>
        <v>0</v>
      </c>
      <c r="AK109" s="19">
        <f>Programacion[[#This Row],[JULIO]]+Programacion[[#This Row],[AGOSTO]]+Programacion[[#This Row],[SEPTIEMBRE]]</f>
        <v>8500</v>
      </c>
      <c r="AL109" s="19">
        <f>Programacion[[#This Row],[DEVENGADO JULIO]]+Programacion[[#This Row],[DEVENGADO AGOSTO]]+Programacion[[#This Row],[DEVENGADO SEPTIEMBRE]]</f>
        <v>0</v>
      </c>
      <c r="AM109" s="19">
        <f>Programacion[[#This Row],[OCTUBRE]]+Programacion[[#This Row],[NOVIEMBRE]]+Programacion[[#This Row],[DICIEMBRE]]</f>
        <v>25500</v>
      </c>
      <c r="AN109" s="20">
        <f>Programacion[[#This Row],[DEVENGADO OCTUBRE]]+Programacion[[#This Row],[DEVENGADO NOVIEMBRE]]+Programacion[[#This Row],[DEVENGADO DICIEMBRE]]</f>
        <v>0</v>
      </c>
      <c r="AO109" s="20">
        <f>Programacion[[#This Row],[ENERO]]+Programacion[[#This Row],[FEBRERO]]+Programacion[[#This Row],[MARZO]]+Programacion[[#This Row],[ABRIL]]+Programacion[[#This Row],[MAYO]]+Programacion[[#This Row],[JUNIO]]</f>
        <v>0</v>
      </c>
      <c r="AP10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9" s="20">
        <f>Programacion[[#This Row],[JULIO]]+Programacion[[#This Row],[AGOSTO]]+Programacion[[#This Row],[SEPTIEMBRE]]+Programacion[[#This Row],[OCTUBRE]]+Programacion[[#This Row],[NOVIEMBRE]]+Programacion[[#This Row],[DICIEMBRE]]</f>
        <v>34000</v>
      </c>
      <c r="AR10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09" s="116"/>
    </row>
    <row r="110" spans="1:46" x14ac:dyDescent="0.25">
      <c r="A110" s="44" t="s">
        <v>124</v>
      </c>
      <c r="B110" s="45" t="s">
        <v>112</v>
      </c>
      <c r="C110" s="46" t="s">
        <v>56</v>
      </c>
      <c r="D110" s="46" t="s">
        <v>48</v>
      </c>
      <c r="E110" s="47">
        <v>3</v>
      </c>
      <c r="F110" s="48">
        <v>2.2999999999999998</v>
      </c>
      <c r="G110" s="46" t="s">
        <v>71</v>
      </c>
      <c r="H110" s="49"/>
      <c r="I110" s="49"/>
      <c r="J110" s="49"/>
      <c r="K110" s="49"/>
      <c r="L110" s="49">
        <v>11760</v>
      </c>
      <c r="M110" s="49">
        <v>11760</v>
      </c>
      <c r="N110" s="49">
        <v>5880</v>
      </c>
      <c r="O110" s="49">
        <v>5880</v>
      </c>
      <c r="P110" s="49">
        <v>5880</v>
      </c>
      <c r="Q110" s="49">
        <v>5880</v>
      </c>
      <c r="R110" s="49">
        <v>5880</v>
      </c>
      <c r="S110" s="49">
        <v>5880</v>
      </c>
      <c r="T110" s="49">
        <v>6300</v>
      </c>
      <c r="U110" s="49">
        <v>6300</v>
      </c>
      <c r="V110" s="49">
        <v>6300</v>
      </c>
      <c r="W110" s="49"/>
      <c r="X110" s="49"/>
      <c r="Y110" s="49"/>
      <c r="Z110" s="49"/>
      <c r="AA110" s="49"/>
      <c r="AB110" s="49"/>
      <c r="AC110" s="49"/>
      <c r="AD110" s="49"/>
      <c r="AE110" s="49"/>
      <c r="AF11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42000</v>
      </c>
      <c r="AG110" s="19">
        <f>Programacion[[#This Row],[ENERO]]+Programacion[[#This Row],[FEBRERO]]+Programacion[[#This Row],[MARZO]]</f>
        <v>11760</v>
      </c>
      <c r="AH110" s="19">
        <f>Programacion[[#This Row],[DEVENGADO ENERO]]+Programacion[[#This Row],[DEVENGADO FEBRERO]]+Programacion[[#This Row],[DEVENGADO MARZO]]</f>
        <v>11760</v>
      </c>
      <c r="AI110" s="19">
        <f>Programacion[[#This Row],[ABRIL]]+Programacion[[#This Row],[MAYO]]+Programacion[[#This Row],[JUNIO]]</f>
        <v>17640</v>
      </c>
      <c r="AJ110" s="19">
        <f>Programacion[[#This Row],[DEVENGADO ABRIL]]+Programacion[[#This Row],[DEVENGADO MAYO]]+Programacion[[#This Row],[DEVENGADO JUNIO]]</f>
        <v>17640</v>
      </c>
      <c r="AK110" s="19">
        <f>Programacion[[#This Row],[JULIO]]+Programacion[[#This Row],[AGOSTO]]+Programacion[[#This Row],[SEPTIEMBRE]]</f>
        <v>12600</v>
      </c>
      <c r="AL110" s="19">
        <f>Programacion[[#This Row],[DEVENGADO JULIO]]+Programacion[[#This Row],[DEVENGADO AGOSTO]]+Programacion[[#This Row],[DEVENGADO SEPTIEMBRE]]</f>
        <v>6300</v>
      </c>
      <c r="AM110" s="19">
        <f>Programacion[[#This Row],[OCTUBRE]]+Programacion[[#This Row],[NOVIEMBRE]]+Programacion[[#This Row],[DICIEMBRE]]</f>
        <v>0</v>
      </c>
      <c r="AN110" s="20">
        <f>Programacion[[#This Row],[DEVENGADO OCTUBRE]]+Programacion[[#This Row],[DEVENGADO NOVIEMBRE]]+Programacion[[#This Row],[DEVENGADO DICIEMBRE]]</f>
        <v>0</v>
      </c>
      <c r="AO110" s="20">
        <f>Programacion[[#This Row],[ENERO]]+Programacion[[#This Row],[FEBRERO]]+Programacion[[#This Row],[MARZO]]+Programacion[[#This Row],[ABRIL]]+Programacion[[#This Row],[MAYO]]+Programacion[[#This Row],[JUNIO]]</f>
        <v>29400</v>
      </c>
      <c r="AP11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29400</v>
      </c>
      <c r="AQ110" s="20">
        <f>Programacion[[#This Row],[JULIO]]+Programacion[[#This Row],[AGOSTO]]+Programacion[[#This Row],[SEPTIEMBRE]]+Programacion[[#This Row],[OCTUBRE]]+Programacion[[#This Row],[NOVIEMBRE]]+Programacion[[#This Row],[DICIEMBRE]]</f>
        <v>12600</v>
      </c>
      <c r="AR11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6300</v>
      </c>
      <c r="AS11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35700</v>
      </c>
      <c r="AT110" s="116"/>
    </row>
    <row r="111" spans="1:46" x14ac:dyDescent="0.25">
      <c r="A111" s="44" t="s">
        <v>124</v>
      </c>
      <c r="B111" s="45" t="s">
        <v>112</v>
      </c>
      <c r="C111" s="46" t="s">
        <v>56</v>
      </c>
      <c r="D111" s="46" t="s">
        <v>48</v>
      </c>
      <c r="E111" s="47">
        <v>3</v>
      </c>
      <c r="F111" s="48">
        <v>2.2999999999999998</v>
      </c>
      <c r="G111" s="46" t="s">
        <v>71</v>
      </c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>
        <v>6000</v>
      </c>
      <c r="Y111" s="49"/>
      <c r="Z111" s="49">
        <v>6000</v>
      </c>
      <c r="AA111" s="49"/>
      <c r="AB111" s="49">
        <v>6000</v>
      </c>
      <c r="AC111" s="49"/>
      <c r="AD111" s="49">
        <v>6000</v>
      </c>
      <c r="AE111" s="49"/>
      <c r="AF11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11" s="19">
        <f>Programacion[[#This Row],[ENERO]]+Programacion[[#This Row],[FEBRERO]]+Programacion[[#This Row],[MARZO]]</f>
        <v>0</v>
      </c>
      <c r="AH111" s="19">
        <f>Programacion[[#This Row],[DEVENGADO ENERO]]+Programacion[[#This Row],[DEVENGADO FEBRERO]]+Programacion[[#This Row],[DEVENGADO MARZO]]</f>
        <v>0</v>
      </c>
      <c r="AI111" s="19">
        <f>Programacion[[#This Row],[ABRIL]]+Programacion[[#This Row],[MAYO]]+Programacion[[#This Row],[JUNIO]]</f>
        <v>0</v>
      </c>
      <c r="AJ111" s="19">
        <f>Programacion[[#This Row],[DEVENGADO ABRIL]]+Programacion[[#This Row],[DEVENGADO MAYO]]+Programacion[[#This Row],[DEVENGADO JUNIO]]</f>
        <v>0</v>
      </c>
      <c r="AK111" s="19">
        <f>Programacion[[#This Row],[JULIO]]+Programacion[[#This Row],[AGOSTO]]+Programacion[[#This Row],[SEPTIEMBRE]]</f>
        <v>6000</v>
      </c>
      <c r="AL111" s="19">
        <f>Programacion[[#This Row],[DEVENGADO JULIO]]+Programacion[[#This Row],[DEVENGADO AGOSTO]]+Programacion[[#This Row],[DEVENGADO SEPTIEMBRE]]</f>
        <v>0</v>
      </c>
      <c r="AM111" s="19">
        <f>Programacion[[#This Row],[OCTUBRE]]+Programacion[[#This Row],[NOVIEMBRE]]+Programacion[[#This Row],[DICIEMBRE]]</f>
        <v>18000</v>
      </c>
      <c r="AN111" s="20">
        <f>Programacion[[#This Row],[DEVENGADO OCTUBRE]]+Programacion[[#This Row],[DEVENGADO NOVIEMBRE]]+Programacion[[#This Row],[DEVENGADO DICIEMBRE]]</f>
        <v>0</v>
      </c>
      <c r="AO111" s="20">
        <f>Programacion[[#This Row],[ENERO]]+Programacion[[#This Row],[FEBRERO]]+Programacion[[#This Row],[MARZO]]+Programacion[[#This Row],[ABRIL]]+Programacion[[#This Row],[MAYO]]+Programacion[[#This Row],[JUNIO]]</f>
        <v>0</v>
      </c>
      <c r="AP11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1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1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11" s="116"/>
    </row>
    <row r="112" spans="1:46" ht="30" x14ac:dyDescent="0.25">
      <c r="A112" s="51" t="s">
        <v>124</v>
      </c>
      <c r="B112" s="45" t="s">
        <v>127</v>
      </c>
      <c r="C112" s="46" t="s">
        <v>56</v>
      </c>
      <c r="D112" s="46" t="s">
        <v>48</v>
      </c>
      <c r="E112" s="47">
        <v>3</v>
      </c>
      <c r="F112" s="48">
        <v>2.2999999999999998</v>
      </c>
      <c r="G112" s="46" t="s">
        <v>71</v>
      </c>
      <c r="H112" s="49"/>
      <c r="I112" s="49"/>
      <c r="J112" s="49"/>
      <c r="K112" s="49"/>
      <c r="L112" s="49">
        <v>8000</v>
      </c>
      <c r="M112" s="49">
        <v>8000</v>
      </c>
      <c r="N112" s="49">
        <v>4000</v>
      </c>
      <c r="O112" s="49">
        <v>4000</v>
      </c>
      <c r="P112" s="49">
        <v>4000</v>
      </c>
      <c r="Q112" s="49">
        <v>4000</v>
      </c>
      <c r="R112" s="49"/>
      <c r="S112" s="49"/>
      <c r="T112" s="49"/>
      <c r="U112" s="49"/>
      <c r="V112" s="49"/>
      <c r="W112" s="49"/>
      <c r="X112" s="49"/>
      <c r="Y112" s="49"/>
      <c r="Z112" s="49"/>
      <c r="AA112" s="49"/>
      <c r="AB112" s="49"/>
      <c r="AC112" s="49"/>
      <c r="AD112" s="49"/>
      <c r="AE112" s="49"/>
      <c r="AF11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16000</v>
      </c>
      <c r="AG112" s="19">
        <f>Programacion[[#This Row],[ENERO]]+Programacion[[#This Row],[FEBRERO]]+Programacion[[#This Row],[MARZO]]</f>
        <v>8000</v>
      </c>
      <c r="AH112" s="19">
        <f>Programacion[[#This Row],[DEVENGADO ENERO]]+Programacion[[#This Row],[DEVENGADO FEBRERO]]+Programacion[[#This Row],[DEVENGADO MARZO]]</f>
        <v>8000</v>
      </c>
      <c r="AI112" s="19">
        <f>Programacion[[#This Row],[ABRIL]]+Programacion[[#This Row],[MAYO]]+Programacion[[#This Row],[JUNIO]]</f>
        <v>8000</v>
      </c>
      <c r="AJ112" s="19">
        <f>Programacion[[#This Row],[DEVENGADO ABRIL]]+Programacion[[#This Row],[DEVENGADO MAYO]]+Programacion[[#This Row],[DEVENGADO JUNIO]]</f>
        <v>8000</v>
      </c>
      <c r="AK112" s="19">
        <f>Programacion[[#This Row],[JULIO]]+Programacion[[#This Row],[AGOSTO]]+Programacion[[#This Row],[SEPTIEMBRE]]</f>
        <v>0</v>
      </c>
      <c r="AL112" s="19">
        <f>Programacion[[#This Row],[DEVENGADO JULIO]]+Programacion[[#This Row],[DEVENGADO AGOSTO]]+Programacion[[#This Row],[DEVENGADO SEPTIEMBRE]]</f>
        <v>0</v>
      </c>
      <c r="AM112" s="19">
        <f>Programacion[[#This Row],[OCTUBRE]]+Programacion[[#This Row],[NOVIEMBRE]]+Programacion[[#This Row],[DICIEMBRE]]</f>
        <v>0</v>
      </c>
      <c r="AN112" s="20">
        <f>Programacion[[#This Row],[DEVENGADO OCTUBRE]]+Programacion[[#This Row],[DEVENGADO NOVIEMBRE]]+Programacion[[#This Row],[DEVENGADO DICIEMBRE]]</f>
        <v>0</v>
      </c>
      <c r="AO112" s="20">
        <f>Programacion[[#This Row],[ENERO]]+Programacion[[#This Row],[FEBRERO]]+Programacion[[#This Row],[MARZO]]+Programacion[[#This Row],[ABRIL]]+Programacion[[#This Row],[MAYO]]+Programacion[[#This Row],[JUNIO]]</f>
        <v>16000</v>
      </c>
      <c r="AP11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1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16000</v>
      </c>
      <c r="AT112" s="116"/>
    </row>
    <row r="113" spans="1:46" ht="30" x14ac:dyDescent="0.25">
      <c r="A113" s="51" t="s">
        <v>124</v>
      </c>
      <c r="B113" s="45" t="s">
        <v>127</v>
      </c>
      <c r="C113" s="46" t="s">
        <v>56</v>
      </c>
      <c r="D113" s="46" t="s">
        <v>48</v>
      </c>
      <c r="E113" s="47">
        <v>3</v>
      </c>
      <c r="F113" s="48">
        <v>2.2999999999999998</v>
      </c>
      <c r="G113" s="46" t="s">
        <v>71</v>
      </c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>
        <v>4000</v>
      </c>
      <c r="S113" s="49">
        <v>4000</v>
      </c>
      <c r="T113" s="49">
        <v>4000</v>
      </c>
      <c r="U113" s="49">
        <v>4000</v>
      </c>
      <c r="V113" s="49">
        <v>4000</v>
      </c>
      <c r="W113" s="49"/>
      <c r="X113" s="49">
        <v>4000</v>
      </c>
      <c r="Y113" s="49"/>
      <c r="Z113" s="49">
        <v>4000</v>
      </c>
      <c r="AA113" s="49"/>
      <c r="AB113" s="49"/>
      <c r="AC113" s="49"/>
      <c r="AD113" s="49"/>
      <c r="AE113" s="49"/>
      <c r="AF11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13" s="19">
        <f>Programacion[[#This Row],[ENERO]]+Programacion[[#This Row],[FEBRERO]]+Programacion[[#This Row],[MARZO]]</f>
        <v>0</v>
      </c>
      <c r="AH113" s="19">
        <f>Programacion[[#This Row],[DEVENGADO ENERO]]+Programacion[[#This Row],[DEVENGADO FEBRERO]]+Programacion[[#This Row],[DEVENGADO MARZO]]</f>
        <v>0</v>
      </c>
      <c r="AI113" s="19">
        <f>Programacion[[#This Row],[ABRIL]]+Programacion[[#This Row],[MAYO]]+Programacion[[#This Row],[JUNIO]]</f>
        <v>4000</v>
      </c>
      <c r="AJ113" s="19">
        <f>Programacion[[#This Row],[DEVENGADO ABRIL]]+Programacion[[#This Row],[DEVENGADO MAYO]]+Programacion[[#This Row],[DEVENGADO JUNIO]]</f>
        <v>4000</v>
      </c>
      <c r="AK113" s="19">
        <f>Programacion[[#This Row],[JULIO]]+Programacion[[#This Row],[AGOSTO]]+Programacion[[#This Row],[SEPTIEMBRE]]</f>
        <v>12000</v>
      </c>
      <c r="AL113" s="19">
        <f>Programacion[[#This Row],[DEVENGADO JULIO]]+Programacion[[#This Row],[DEVENGADO AGOSTO]]+Programacion[[#This Row],[DEVENGADO SEPTIEMBRE]]</f>
        <v>4000</v>
      </c>
      <c r="AM113" s="19">
        <f>Programacion[[#This Row],[OCTUBRE]]+Programacion[[#This Row],[NOVIEMBRE]]+Programacion[[#This Row],[DICIEMBRE]]</f>
        <v>4000</v>
      </c>
      <c r="AN113" s="20">
        <f>Programacion[[#This Row],[DEVENGADO OCTUBRE]]+Programacion[[#This Row],[DEVENGADO NOVIEMBRE]]+Programacion[[#This Row],[DEVENGADO DICIEMBRE]]</f>
        <v>0</v>
      </c>
      <c r="AO113" s="20">
        <f>Programacion[[#This Row],[ENERO]]+Programacion[[#This Row],[FEBRERO]]+Programacion[[#This Row],[MARZO]]+Programacion[[#This Row],[ABRIL]]+Programacion[[#This Row],[MAYO]]+Programacion[[#This Row],[JUNIO]]</f>
        <v>4000</v>
      </c>
      <c r="AP11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113" s="20">
        <f>Programacion[[#This Row],[JULIO]]+Programacion[[#This Row],[AGOSTO]]+Programacion[[#This Row],[SEPTIEMBRE]]+Programacion[[#This Row],[OCTUBRE]]+Programacion[[#This Row],[NOVIEMBRE]]+Programacion[[#This Row],[DICIEMBRE]]</f>
        <v>16000</v>
      </c>
      <c r="AR11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1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113" s="116"/>
    </row>
    <row r="114" spans="1:46" x14ac:dyDescent="0.25">
      <c r="A114" s="52" t="s">
        <v>124</v>
      </c>
      <c r="B114" s="45" t="s">
        <v>128</v>
      </c>
      <c r="C114" s="46" t="s">
        <v>56</v>
      </c>
      <c r="D114" s="46" t="s">
        <v>48</v>
      </c>
      <c r="E114" s="47">
        <v>3</v>
      </c>
      <c r="F114" s="48">
        <v>2.2999999999999998</v>
      </c>
      <c r="G114" s="46" t="s">
        <v>71</v>
      </c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  <c r="AA114" s="49"/>
      <c r="AB114" s="49">
        <v>10800</v>
      </c>
      <c r="AC114" s="49"/>
      <c r="AD114" s="49">
        <v>10800</v>
      </c>
      <c r="AE114" s="50"/>
      <c r="AF11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114" s="19">
        <f>Programacion[[#This Row],[ENERO]]+Programacion[[#This Row],[FEBRERO]]+Programacion[[#This Row],[MARZO]]</f>
        <v>0</v>
      </c>
      <c r="AH114" s="19">
        <f>Programacion[[#This Row],[DEVENGADO ENERO]]+Programacion[[#This Row],[DEVENGADO FEBRERO]]+Programacion[[#This Row],[DEVENGADO MARZO]]</f>
        <v>0</v>
      </c>
      <c r="AI114" s="19">
        <f>Programacion[[#This Row],[ABRIL]]+Programacion[[#This Row],[MAYO]]+Programacion[[#This Row],[JUNIO]]</f>
        <v>0</v>
      </c>
      <c r="AJ114" s="19">
        <f>Programacion[[#This Row],[DEVENGADO ABRIL]]+Programacion[[#This Row],[DEVENGADO MAYO]]+Programacion[[#This Row],[DEVENGADO JUNIO]]</f>
        <v>0</v>
      </c>
      <c r="AK114" s="19">
        <f>Programacion[[#This Row],[JULIO]]+Programacion[[#This Row],[AGOSTO]]+Programacion[[#This Row],[SEPTIEMBRE]]</f>
        <v>0</v>
      </c>
      <c r="AL114" s="19">
        <f>Programacion[[#This Row],[DEVENGADO JULIO]]+Programacion[[#This Row],[DEVENGADO AGOSTO]]+Programacion[[#This Row],[DEVENGADO SEPTIEMBRE]]</f>
        <v>0</v>
      </c>
      <c r="AM114" s="19">
        <f>Programacion[[#This Row],[OCTUBRE]]+Programacion[[#This Row],[NOVIEMBRE]]+Programacion[[#This Row],[DICIEMBRE]]</f>
        <v>21600</v>
      </c>
      <c r="AN114" s="20">
        <f>Programacion[[#This Row],[DEVENGADO OCTUBRE]]+Programacion[[#This Row],[DEVENGADO NOVIEMBRE]]+Programacion[[#This Row],[DEVENGADO DICIEMBRE]]</f>
        <v>0</v>
      </c>
      <c r="AO114" s="20">
        <f>Programacion[[#This Row],[ENERO]]+Programacion[[#This Row],[FEBRERO]]+Programacion[[#This Row],[MARZO]]+Programacion[[#This Row],[ABRIL]]+Programacion[[#This Row],[MAYO]]+Programacion[[#This Row],[JUNIO]]</f>
        <v>0</v>
      </c>
      <c r="AP11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4" s="20">
        <f>Programacion[[#This Row],[JULIO]]+Programacion[[#This Row],[AGOSTO]]+Programacion[[#This Row],[SEPTIEMBRE]]+Programacion[[#This Row],[OCTUBRE]]+Programacion[[#This Row],[NOVIEMBRE]]+Programacion[[#This Row],[DICIEMBRE]]</f>
        <v>21600</v>
      </c>
      <c r="AR11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14" s="116"/>
    </row>
    <row r="115" spans="1:46" x14ac:dyDescent="0.25">
      <c r="A115" s="52" t="s">
        <v>124</v>
      </c>
      <c r="B115" s="45" t="s">
        <v>129</v>
      </c>
      <c r="C115" s="46" t="s">
        <v>56</v>
      </c>
      <c r="D115" s="46" t="s">
        <v>48</v>
      </c>
      <c r="E115" s="47">
        <v>3</v>
      </c>
      <c r="F115" s="48">
        <v>2.2999999999999998</v>
      </c>
      <c r="G115" s="46" t="s">
        <v>130</v>
      </c>
      <c r="H115" s="49"/>
      <c r="I115" s="49"/>
      <c r="J115" s="49"/>
      <c r="K115" s="49"/>
      <c r="L115" s="49"/>
      <c r="M115" s="49"/>
      <c r="N115" s="49"/>
      <c r="O115" s="49"/>
      <c r="P115" s="49">
        <v>7500</v>
      </c>
      <c r="Q115" s="49">
        <v>7500</v>
      </c>
      <c r="R115" s="49">
        <v>7500</v>
      </c>
      <c r="S115" s="49">
        <v>7500</v>
      </c>
      <c r="T115" s="49">
        <v>7500</v>
      </c>
      <c r="U115" s="49">
        <v>7500</v>
      </c>
      <c r="V115" s="49">
        <v>7500</v>
      </c>
      <c r="W115" s="49"/>
      <c r="X115" s="49"/>
      <c r="Y115" s="49"/>
      <c r="Z115" s="49"/>
      <c r="AA115" s="49"/>
      <c r="AB115" s="49"/>
      <c r="AC115" s="49"/>
      <c r="AD115" s="49"/>
      <c r="AE115" s="50"/>
      <c r="AF11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15" s="19">
        <f>Programacion[[#This Row],[ENERO]]+Programacion[[#This Row],[FEBRERO]]+Programacion[[#This Row],[MARZO]]</f>
        <v>0</v>
      </c>
      <c r="AH115" s="19">
        <f>Programacion[[#This Row],[DEVENGADO ENERO]]+Programacion[[#This Row],[DEVENGADO FEBRERO]]+Programacion[[#This Row],[DEVENGADO MARZO]]</f>
        <v>0</v>
      </c>
      <c r="AI115" s="19">
        <f>Programacion[[#This Row],[ABRIL]]+Programacion[[#This Row],[MAYO]]+Programacion[[#This Row],[JUNIO]]</f>
        <v>15000</v>
      </c>
      <c r="AJ115" s="19">
        <f>Programacion[[#This Row],[DEVENGADO ABRIL]]+Programacion[[#This Row],[DEVENGADO MAYO]]+Programacion[[#This Row],[DEVENGADO JUNIO]]</f>
        <v>15000</v>
      </c>
      <c r="AK115" s="19">
        <f>Programacion[[#This Row],[JULIO]]+Programacion[[#This Row],[AGOSTO]]+Programacion[[#This Row],[SEPTIEMBRE]]</f>
        <v>15000</v>
      </c>
      <c r="AL115" s="19">
        <f>Programacion[[#This Row],[DEVENGADO JULIO]]+Programacion[[#This Row],[DEVENGADO AGOSTO]]+Programacion[[#This Row],[DEVENGADO SEPTIEMBRE]]</f>
        <v>7500</v>
      </c>
      <c r="AM115" s="19">
        <f>Programacion[[#This Row],[OCTUBRE]]+Programacion[[#This Row],[NOVIEMBRE]]+Programacion[[#This Row],[DICIEMBRE]]</f>
        <v>0</v>
      </c>
      <c r="AN115" s="20">
        <f>Programacion[[#This Row],[DEVENGADO OCTUBRE]]+Programacion[[#This Row],[DEVENGADO NOVIEMBRE]]+Programacion[[#This Row],[DEVENGADO DICIEMBRE]]</f>
        <v>0</v>
      </c>
      <c r="AO115" s="20">
        <f>Programacion[[#This Row],[ENERO]]+Programacion[[#This Row],[FEBRERO]]+Programacion[[#This Row],[MARZO]]+Programacion[[#This Row],[ABRIL]]+Programacion[[#This Row],[MAYO]]+Programacion[[#This Row],[JUNIO]]</f>
        <v>15000</v>
      </c>
      <c r="AP11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15" s="20">
        <f>Programacion[[#This Row],[JULIO]]+Programacion[[#This Row],[AGOSTO]]+Programacion[[#This Row],[SEPTIEMBRE]]+Programacion[[#This Row],[OCTUBRE]]+Programacion[[#This Row],[NOVIEMBRE]]+Programacion[[#This Row],[DICIEMBRE]]</f>
        <v>15000</v>
      </c>
      <c r="AR11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7500</v>
      </c>
      <c r="AS11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15" s="116"/>
    </row>
    <row r="116" spans="1:46" x14ac:dyDescent="0.25">
      <c r="A116" s="52" t="s">
        <v>124</v>
      </c>
      <c r="B116" s="45" t="s">
        <v>131</v>
      </c>
      <c r="C116" s="46" t="s">
        <v>56</v>
      </c>
      <c r="D116" s="46" t="s">
        <v>48</v>
      </c>
      <c r="E116" s="47">
        <v>3</v>
      </c>
      <c r="F116" s="48">
        <v>2.2999999999999998</v>
      </c>
      <c r="G116" s="46" t="s">
        <v>130</v>
      </c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>
        <v>7500</v>
      </c>
      <c r="Y116" s="49"/>
      <c r="Z116" s="49">
        <v>7500</v>
      </c>
      <c r="AA116" s="49"/>
      <c r="AB116" s="49">
        <v>7500</v>
      </c>
      <c r="AC116" s="49"/>
      <c r="AD116" s="49">
        <v>7500</v>
      </c>
      <c r="AE116" s="50"/>
      <c r="AF11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16" s="19">
        <f>Programacion[[#This Row],[ENERO]]+Programacion[[#This Row],[FEBRERO]]+Programacion[[#This Row],[MARZO]]</f>
        <v>0</v>
      </c>
      <c r="AH116" s="19">
        <f>Programacion[[#This Row],[DEVENGADO ENERO]]+Programacion[[#This Row],[DEVENGADO FEBRERO]]+Programacion[[#This Row],[DEVENGADO MARZO]]</f>
        <v>0</v>
      </c>
      <c r="AI116" s="19">
        <f>Programacion[[#This Row],[ABRIL]]+Programacion[[#This Row],[MAYO]]+Programacion[[#This Row],[JUNIO]]</f>
        <v>0</v>
      </c>
      <c r="AJ116" s="19">
        <f>Programacion[[#This Row],[DEVENGADO ABRIL]]+Programacion[[#This Row],[DEVENGADO MAYO]]+Programacion[[#This Row],[DEVENGADO JUNIO]]</f>
        <v>0</v>
      </c>
      <c r="AK116" s="19">
        <f>Programacion[[#This Row],[JULIO]]+Programacion[[#This Row],[AGOSTO]]+Programacion[[#This Row],[SEPTIEMBRE]]</f>
        <v>7500</v>
      </c>
      <c r="AL116" s="19">
        <f>Programacion[[#This Row],[DEVENGADO JULIO]]+Programacion[[#This Row],[DEVENGADO AGOSTO]]+Programacion[[#This Row],[DEVENGADO SEPTIEMBRE]]</f>
        <v>0</v>
      </c>
      <c r="AM116" s="19">
        <f>Programacion[[#This Row],[OCTUBRE]]+Programacion[[#This Row],[NOVIEMBRE]]+Programacion[[#This Row],[DICIEMBRE]]</f>
        <v>22500</v>
      </c>
      <c r="AN116" s="20">
        <f>Programacion[[#This Row],[DEVENGADO OCTUBRE]]+Programacion[[#This Row],[DEVENGADO NOVIEMBRE]]+Programacion[[#This Row],[DEVENGADO DICIEMBRE]]</f>
        <v>0</v>
      </c>
      <c r="AO116" s="20">
        <f>Programacion[[#This Row],[ENERO]]+Programacion[[#This Row],[FEBRERO]]+Programacion[[#This Row],[MARZO]]+Programacion[[#This Row],[ABRIL]]+Programacion[[#This Row],[MAYO]]+Programacion[[#This Row],[JUNIO]]</f>
        <v>0</v>
      </c>
      <c r="AP11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6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1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16" s="116"/>
    </row>
    <row r="117" spans="1:46" x14ac:dyDescent="0.25">
      <c r="A117" s="52" t="s">
        <v>124</v>
      </c>
      <c r="B117" s="45" t="s">
        <v>132</v>
      </c>
      <c r="C117" s="46" t="s">
        <v>56</v>
      </c>
      <c r="D117" s="46" t="s">
        <v>48</v>
      </c>
      <c r="E117" s="47">
        <v>3</v>
      </c>
      <c r="F117" s="48">
        <v>2.2999999999999998</v>
      </c>
      <c r="G117" s="46" t="s">
        <v>130</v>
      </c>
      <c r="H117" s="49"/>
      <c r="I117" s="49"/>
      <c r="J117" s="49"/>
      <c r="K117" s="49"/>
      <c r="L117" s="49"/>
      <c r="M117" s="49"/>
      <c r="N117" s="49">
        <v>7500</v>
      </c>
      <c r="O117" s="49">
        <v>7500</v>
      </c>
      <c r="P117" s="49">
        <v>7500</v>
      </c>
      <c r="Q117" s="49">
        <v>7500</v>
      </c>
      <c r="R117" s="49">
        <v>7500</v>
      </c>
      <c r="S117" s="49">
        <v>7500</v>
      </c>
      <c r="T117" s="49"/>
      <c r="U117" s="49"/>
      <c r="V117" s="49"/>
      <c r="W117" s="49"/>
      <c r="X117" s="49"/>
      <c r="Y117" s="49"/>
      <c r="Z117" s="49"/>
      <c r="AA117" s="49"/>
      <c r="AB117" s="49"/>
      <c r="AC117" s="49"/>
      <c r="AD117" s="49"/>
      <c r="AE117" s="50"/>
      <c r="AF11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22500</v>
      </c>
      <c r="AG117" s="19">
        <f>Programacion[[#This Row],[ENERO]]+Programacion[[#This Row],[FEBRERO]]+Programacion[[#This Row],[MARZO]]</f>
        <v>0</v>
      </c>
      <c r="AH117" s="19">
        <f>Programacion[[#This Row],[DEVENGADO ENERO]]+Programacion[[#This Row],[DEVENGADO FEBRERO]]+Programacion[[#This Row],[DEVENGADO MARZO]]</f>
        <v>0</v>
      </c>
      <c r="AI117" s="19">
        <f>Programacion[[#This Row],[ABRIL]]+Programacion[[#This Row],[MAYO]]+Programacion[[#This Row],[JUNIO]]</f>
        <v>22500</v>
      </c>
      <c r="AJ117" s="19">
        <f>Programacion[[#This Row],[DEVENGADO ABRIL]]+Programacion[[#This Row],[DEVENGADO MAYO]]+Programacion[[#This Row],[DEVENGADO JUNIO]]</f>
        <v>22500</v>
      </c>
      <c r="AK117" s="19">
        <f>Programacion[[#This Row],[JULIO]]+Programacion[[#This Row],[AGOSTO]]+Programacion[[#This Row],[SEPTIEMBRE]]</f>
        <v>0</v>
      </c>
      <c r="AL117" s="19">
        <f>Programacion[[#This Row],[DEVENGADO JULIO]]+Programacion[[#This Row],[DEVENGADO AGOSTO]]+Programacion[[#This Row],[DEVENGADO SEPTIEMBRE]]</f>
        <v>0</v>
      </c>
      <c r="AM117" s="19">
        <f>Programacion[[#This Row],[OCTUBRE]]+Programacion[[#This Row],[NOVIEMBRE]]+Programacion[[#This Row],[DICIEMBRE]]</f>
        <v>0</v>
      </c>
      <c r="AN117" s="20">
        <f>Programacion[[#This Row],[DEVENGADO OCTUBRE]]+Programacion[[#This Row],[DEVENGADO NOVIEMBRE]]+Programacion[[#This Row],[DEVENGADO DICIEMBRE]]</f>
        <v>0</v>
      </c>
      <c r="AO117" s="20">
        <f>Programacion[[#This Row],[ENERO]]+Programacion[[#This Row],[FEBRERO]]+Programacion[[#This Row],[MARZO]]+Programacion[[#This Row],[ABRIL]]+Programacion[[#This Row],[MAYO]]+Programacion[[#This Row],[JUNIO]]</f>
        <v>22500</v>
      </c>
      <c r="AP11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22500</v>
      </c>
      <c r="AQ11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17" s="116"/>
    </row>
    <row r="118" spans="1:46" x14ac:dyDescent="0.25">
      <c r="A118" s="52" t="s">
        <v>124</v>
      </c>
      <c r="B118" s="45" t="s">
        <v>133</v>
      </c>
      <c r="C118" s="46" t="s">
        <v>56</v>
      </c>
      <c r="D118" s="46" t="s">
        <v>48</v>
      </c>
      <c r="E118" s="47">
        <v>3</v>
      </c>
      <c r="F118" s="48">
        <v>2.2999999999999998</v>
      </c>
      <c r="G118" s="46" t="s">
        <v>130</v>
      </c>
      <c r="H118" s="49"/>
      <c r="I118" s="49"/>
      <c r="J118" s="49"/>
      <c r="K118" s="49"/>
      <c r="L118" s="49"/>
      <c r="M118" s="49"/>
      <c r="N118" s="49"/>
      <c r="O118" s="49"/>
      <c r="P118" s="49">
        <v>7500</v>
      </c>
      <c r="Q118" s="49">
        <v>7500</v>
      </c>
      <c r="R118" s="49">
        <v>7500</v>
      </c>
      <c r="S118" s="49">
        <v>7500</v>
      </c>
      <c r="T118" s="49">
        <v>7500</v>
      </c>
      <c r="U118" s="49">
        <v>7500</v>
      </c>
      <c r="V118" s="49"/>
      <c r="W118" s="49"/>
      <c r="X118" s="49"/>
      <c r="Y118" s="49"/>
      <c r="Z118" s="49"/>
      <c r="AA118" s="49"/>
      <c r="AB118" s="49"/>
      <c r="AC118" s="49"/>
      <c r="AD118" s="49"/>
      <c r="AE118" s="50"/>
      <c r="AF11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22500</v>
      </c>
      <c r="AG118" s="19">
        <f>Programacion[[#This Row],[ENERO]]+Programacion[[#This Row],[FEBRERO]]+Programacion[[#This Row],[MARZO]]</f>
        <v>0</v>
      </c>
      <c r="AH118" s="19">
        <f>Programacion[[#This Row],[DEVENGADO ENERO]]+Programacion[[#This Row],[DEVENGADO FEBRERO]]+Programacion[[#This Row],[DEVENGADO MARZO]]</f>
        <v>0</v>
      </c>
      <c r="AI118" s="19">
        <f>Programacion[[#This Row],[ABRIL]]+Programacion[[#This Row],[MAYO]]+Programacion[[#This Row],[JUNIO]]</f>
        <v>15000</v>
      </c>
      <c r="AJ118" s="19">
        <f>Programacion[[#This Row],[DEVENGADO ABRIL]]+Programacion[[#This Row],[DEVENGADO MAYO]]+Programacion[[#This Row],[DEVENGADO JUNIO]]</f>
        <v>15000</v>
      </c>
      <c r="AK118" s="19">
        <f>Programacion[[#This Row],[JULIO]]+Programacion[[#This Row],[AGOSTO]]+Programacion[[#This Row],[SEPTIEMBRE]]</f>
        <v>7500</v>
      </c>
      <c r="AL118" s="19">
        <f>Programacion[[#This Row],[DEVENGADO JULIO]]+Programacion[[#This Row],[DEVENGADO AGOSTO]]+Programacion[[#This Row],[DEVENGADO SEPTIEMBRE]]</f>
        <v>7500</v>
      </c>
      <c r="AM118" s="19">
        <f>Programacion[[#This Row],[OCTUBRE]]+Programacion[[#This Row],[NOVIEMBRE]]+Programacion[[#This Row],[DICIEMBRE]]</f>
        <v>0</v>
      </c>
      <c r="AN118" s="20">
        <f>Programacion[[#This Row],[DEVENGADO OCTUBRE]]+Programacion[[#This Row],[DEVENGADO NOVIEMBRE]]+Programacion[[#This Row],[DEVENGADO DICIEMBRE]]</f>
        <v>0</v>
      </c>
      <c r="AO118" s="20">
        <f>Programacion[[#This Row],[ENERO]]+Programacion[[#This Row],[FEBRERO]]+Programacion[[#This Row],[MARZO]]+Programacion[[#This Row],[ABRIL]]+Programacion[[#This Row],[MAYO]]+Programacion[[#This Row],[JUNIO]]</f>
        <v>15000</v>
      </c>
      <c r="AP11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18" s="20">
        <f>Programacion[[#This Row],[JULIO]]+Programacion[[#This Row],[AGOSTO]]+Programacion[[#This Row],[SEPTIEMBRE]]+Programacion[[#This Row],[OCTUBRE]]+Programacion[[#This Row],[NOVIEMBRE]]+Programacion[[#This Row],[DICIEMBRE]]</f>
        <v>7500</v>
      </c>
      <c r="AR11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7500</v>
      </c>
      <c r="AS11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18" s="116"/>
    </row>
    <row r="119" spans="1:46" ht="30" x14ac:dyDescent="0.25">
      <c r="A119" s="131" t="s">
        <v>124</v>
      </c>
      <c r="B119" s="131" t="s">
        <v>266</v>
      </c>
      <c r="C119" s="131" t="s">
        <v>258</v>
      </c>
      <c r="D119" s="131" t="s">
        <v>48</v>
      </c>
      <c r="E119" s="131">
        <v>39</v>
      </c>
      <c r="F119" s="131">
        <v>23</v>
      </c>
      <c r="G119" s="131" t="s">
        <v>71</v>
      </c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>
        <v>4000</v>
      </c>
      <c r="Y119" s="33"/>
      <c r="Z119" s="33">
        <v>4000</v>
      </c>
      <c r="AA119" s="33"/>
      <c r="AB119" s="33"/>
      <c r="AC119" s="33"/>
      <c r="AD119" s="33"/>
      <c r="AE119" s="33"/>
      <c r="AF11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119" s="33">
        <f>Programacion[[#This Row],[ENERO]]+Programacion[[#This Row],[FEBRERO]]+Programacion[[#This Row],[MARZO]]</f>
        <v>0</v>
      </c>
      <c r="AH119" s="33">
        <f>Programacion[[#This Row],[DEVENGADO ENERO]]+Programacion[[#This Row],[DEVENGADO FEBRERO]]+Programacion[[#This Row],[DEVENGADO MARZO]]</f>
        <v>0</v>
      </c>
      <c r="AI119" s="33">
        <f>Programacion[[#This Row],[ABRIL]]+Programacion[[#This Row],[MAYO]]+Programacion[[#This Row],[JUNIO]]</f>
        <v>0</v>
      </c>
      <c r="AJ119" s="33">
        <f>Programacion[[#This Row],[DEVENGADO ABRIL]]+Programacion[[#This Row],[DEVENGADO MAYO]]+Programacion[[#This Row],[DEVENGADO JUNIO]]</f>
        <v>0</v>
      </c>
      <c r="AK119" s="33">
        <f>Programacion[[#This Row],[JULIO]]+Programacion[[#This Row],[AGOSTO]]+Programacion[[#This Row],[SEPTIEMBRE]]</f>
        <v>4000</v>
      </c>
      <c r="AL119" s="33">
        <f>Programacion[[#This Row],[DEVENGADO JULIO]]+Programacion[[#This Row],[DEVENGADO AGOSTO]]+Programacion[[#This Row],[DEVENGADO SEPTIEMBRE]]</f>
        <v>0</v>
      </c>
      <c r="AM119" s="33">
        <f>Programacion[[#This Row],[OCTUBRE]]+Programacion[[#This Row],[NOVIEMBRE]]+Programacion[[#This Row],[DICIEMBRE]]</f>
        <v>4000</v>
      </c>
      <c r="AN119" s="21">
        <f>Programacion[[#This Row],[DEVENGADO OCTUBRE]]+Programacion[[#This Row],[DEVENGADO NOVIEMBRE]]+Programacion[[#This Row],[DEVENGADO DICIEMBRE]]</f>
        <v>0</v>
      </c>
      <c r="AO119" s="21">
        <f>Programacion[[#This Row],[ENERO]]+Programacion[[#This Row],[FEBRERO]]+Programacion[[#This Row],[MARZO]]+Programacion[[#This Row],[ABRIL]]+Programacion[[#This Row],[MAYO]]+Programacion[[#This Row],[JUNIO]]</f>
        <v>0</v>
      </c>
      <c r="AP11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9" s="21">
        <f>Programacion[[#This Row],[JULIO]]+Programacion[[#This Row],[AGOSTO]]+Programacion[[#This Row],[SEPTIEMBRE]]+Programacion[[#This Row],[OCTUBRE]]+Programacion[[#This Row],[NOVIEMBRE]]+Programacion[[#This Row],[DICIEMBRE]]</f>
        <v>8000</v>
      </c>
      <c r="AR11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19" s="116"/>
    </row>
    <row r="120" spans="1:46" x14ac:dyDescent="0.25">
      <c r="A120" s="131" t="s">
        <v>124</v>
      </c>
      <c r="B120" s="131" t="s">
        <v>267</v>
      </c>
      <c r="C120" s="131" t="s">
        <v>258</v>
      </c>
      <c r="D120" s="131" t="s">
        <v>48</v>
      </c>
      <c r="E120" s="131">
        <v>39</v>
      </c>
      <c r="F120" s="131">
        <v>23</v>
      </c>
      <c r="G120" s="131" t="s">
        <v>71</v>
      </c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>
        <v>7000</v>
      </c>
      <c r="AA120" s="33"/>
      <c r="AB120" s="33">
        <v>5608.17</v>
      </c>
      <c r="AC120" s="33"/>
      <c r="AD120" s="33"/>
      <c r="AE120" s="33"/>
      <c r="AF12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12608.17</v>
      </c>
      <c r="AG120" s="33">
        <f>Programacion[[#This Row],[ENERO]]+Programacion[[#This Row],[FEBRERO]]+Programacion[[#This Row],[MARZO]]</f>
        <v>0</v>
      </c>
      <c r="AH120" s="33">
        <f>Programacion[[#This Row],[DEVENGADO ENERO]]+Programacion[[#This Row],[DEVENGADO FEBRERO]]+Programacion[[#This Row],[DEVENGADO MARZO]]</f>
        <v>0</v>
      </c>
      <c r="AI120" s="33">
        <f>Programacion[[#This Row],[ABRIL]]+Programacion[[#This Row],[MAYO]]+Programacion[[#This Row],[JUNIO]]</f>
        <v>0</v>
      </c>
      <c r="AJ120" s="33">
        <f>Programacion[[#This Row],[DEVENGADO ABRIL]]+Programacion[[#This Row],[DEVENGADO MAYO]]+Programacion[[#This Row],[DEVENGADO JUNIO]]</f>
        <v>0</v>
      </c>
      <c r="AK120" s="33">
        <f>Programacion[[#This Row],[JULIO]]+Programacion[[#This Row],[AGOSTO]]+Programacion[[#This Row],[SEPTIEMBRE]]</f>
        <v>0</v>
      </c>
      <c r="AL120" s="33">
        <f>Programacion[[#This Row],[DEVENGADO JULIO]]+Programacion[[#This Row],[DEVENGADO AGOSTO]]+Programacion[[#This Row],[DEVENGADO SEPTIEMBRE]]</f>
        <v>0</v>
      </c>
      <c r="AM120" s="33">
        <f>Programacion[[#This Row],[OCTUBRE]]+Programacion[[#This Row],[NOVIEMBRE]]+Programacion[[#This Row],[DICIEMBRE]]</f>
        <v>12608.17</v>
      </c>
      <c r="AN120" s="21">
        <f>Programacion[[#This Row],[DEVENGADO OCTUBRE]]+Programacion[[#This Row],[DEVENGADO NOVIEMBRE]]+Programacion[[#This Row],[DEVENGADO DICIEMBRE]]</f>
        <v>0</v>
      </c>
      <c r="AO120" s="21">
        <f>Programacion[[#This Row],[ENERO]]+Programacion[[#This Row],[FEBRERO]]+Programacion[[#This Row],[MARZO]]+Programacion[[#This Row],[ABRIL]]+Programacion[[#This Row],[MAYO]]+Programacion[[#This Row],[JUNIO]]</f>
        <v>0</v>
      </c>
      <c r="AP12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0" s="21">
        <f>Programacion[[#This Row],[JULIO]]+Programacion[[#This Row],[AGOSTO]]+Programacion[[#This Row],[SEPTIEMBRE]]+Programacion[[#This Row],[OCTUBRE]]+Programacion[[#This Row],[NOVIEMBRE]]+Programacion[[#This Row],[DICIEMBRE]]</f>
        <v>12608.17</v>
      </c>
      <c r="AR12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20" s="116"/>
    </row>
    <row r="121" spans="1:46" x14ac:dyDescent="0.25">
      <c r="A121" s="132" t="s">
        <v>124</v>
      </c>
      <c r="B121" s="132" t="s">
        <v>268</v>
      </c>
      <c r="C121" s="132" t="s">
        <v>269</v>
      </c>
      <c r="D121" s="133" t="s">
        <v>48</v>
      </c>
      <c r="E121" s="134">
        <v>39</v>
      </c>
      <c r="F121" s="134">
        <v>23</v>
      </c>
      <c r="G121" s="133" t="s">
        <v>71</v>
      </c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>
        <v>7000</v>
      </c>
      <c r="Y121" s="33"/>
      <c r="Z121" s="33"/>
      <c r="AA121" s="33"/>
      <c r="AB121" s="33"/>
      <c r="AC121" s="33"/>
      <c r="AD121" s="33"/>
      <c r="AE121" s="33"/>
      <c r="AF12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121" s="33">
        <f>Programacion[[#This Row],[ENERO]]+Programacion[[#This Row],[FEBRERO]]+Programacion[[#This Row],[MARZO]]</f>
        <v>0</v>
      </c>
      <c r="AH121" s="33">
        <f>Programacion[[#This Row],[DEVENGADO ENERO]]+Programacion[[#This Row],[DEVENGADO FEBRERO]]+Programacion[[#This Row],[DEVENGADO MARZO]]</f>
        <v>0</v>
      </c>
      <c r="AI121" s="33">
        <f>Programacion[[#This Row],[ABRIL]]+Programacion[[#This Row],[MAYO]]+Programacion[[#This Row],[JUNIO]]</f>
        <v>0</v>
      </c>
      <c r="AJ121" s="33">
        <f>Programacion[[#This Row],[DEVENGADO ABRIL]]+Programacion[[#This Row],[DEVENGADO MAYO]]+Programacion[[#This Row],[DEVENGADO JUNIO]]</f>
        <v>0</v>
      </c>
      <c r="AK121" s="33">
        <f>Programacion[[#This Row],[JULIO]]+Programacion[[#This Row],[AGOSTO]]+Programacion[[#This Row],[SEPTIEMBRE]]</f>
        <v>7000</v>
      </c>
      <c r="AL121" s="33">
        <f>Programacion[[#This Row],[DEVENGADO JULIO]]+Programacion[[#This Row],[DEVENGADO AGOSTO]]+Programacion[[#This Row],[DEVENGADO SEPTIEMBRE]]</f>
        <v>0</v>
      </c>
      <c r="AM121" s="33">
        <f>Programacion[[#This Row],[OCTUBRE]]+Programacion[[#This Row],[NOVIEMBRE]]+Programacion[[#This Row],[DICIEMBRE]]</f>
        <v>0</v>
      </c>
      <c r="AN121" s="21">
        <f>Programacion[[#This Row],[DEVENGADO OCTUBRE]]+Programacion[[#This Row],[DEVENGADO NOVIEMBRE]]+Programacion[[#This Row],[DEVENGADO DICIEMBRE]]</f>
        <v>0</v>
      </c>
      <c r="AO121" s="21">
        <f>Programacion[[#This Row],[ENERO]]+Programacion[[#This Row],[FEBRERO]]+Programacion[[#This Row],[MARZO]]+Programacion[[#This Row],[ABRIL]]+Programacion[[#This Row],[MAYO]]+Programacion[[#This Row],[JUNIO]]</f>
        <v>0</v>
      </c>
      <c r="AP12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1" s="21">
        <f>Programacion[[#This Row],[JULIO]]+Programacion[[#This Row],[AGOSTO]]+Programacion[[#This Row],[SEPTIEMBRE]]+Programacion[[#This Row],[OCTUBRE]]+Programacion[[#This Row],[NOVIEMBRE]]+Programacion[[#This Row],[DICIEMBRE]]</f>
        <v>7000</v>
      </c>
      <c r="AR12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21" s="116"/>
    </row>
    <row r="122" spans="1:46" ht="30" x14ac:dyDescent="0.25">
      <c r="A122" s="132" t="s">
        <v>124</v>
      </c>
      <c r="B122" s="132" t="s">
        <v>270</v>
      </c>
      <c r="C122" s="132" t="s">
        <v>251</v>
      </c>
      <c r="D122" s="133" t="s">
        <v>48</v>
      </c>
      <c r="E122" s="134">
        <v>39</v>
      </c>
      <c r="F122" s="134">
        <v>23</v>
      </c>
      <c r="G122" s="133" t="s">
        <v>49</v>
      </c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>
        <v>3000</v>
      </c>
      <c r="Y122" s="33"/>
      <c r="Z122" s="33"/>
      <c r="AA122" s="33"/>
      <c r="AB122" s="33"/>
      <c r="AC122" s="33"/>
      <c r="AD122" s="33"/>
      <c r="AE122" s="33"/>
      <c r="AF12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122" s="33">
        <f>Programacion[[#This Row],[ENERO]]+Programacion[[#This Row],[FEBRERO]]+Programacion[[#This Row],[MARZO]]</f>
        <v>0</v>
      </c>
      <c r="AH122" s="33">
        <f>Programacion[[#This Row],[DEVENGADO ENERO]]+Programacion[[#This Row],[DEVENGADO FEBRERO]]+Programacion[[#This Row],[DEVENGADO MARZO]]</f>
        <v>0</v>
      </c>
      <c r="AI122" s="33">
        <f>Programacion[[#This Row],[ABRIL]]+Programacion[[#This Row],[MAYO]]+Programacion[[#This Row],[JUNIO]]</f>
        <v>0</v>
      </c>
      <c r="AJ122" s="33">
        <f>Programacion[[#This Row],[DEVENGADO ABRIL]]+Programacion[[#This Row],[DEVENGADO MAYO]]+Programacion[[#This Row],[DEVENGADO JUNIO]]</f>
        <v>0</v>
      </c>
      <c r="AK122" s="33">
        <f>Programacion[[#This Row],[JULIO]]+Programacion[[#This Row],[AGOSTO]]+Programacion[[#This Row],[SEPTIEMBRE]]</f>
        <v>3000</v>
      </c>
      <c r="AL122" s="33">
        <f>Programacion[[#This Row],[DEVENGADO JULIO]]+Programacion[[#This Row],[DEVENGADO AGOSTO]]+Programacion[[#This Row],[DEVENGADO SEPTIEMBRE]]</f>
        <v>0</v>
      </c>
      <c r="AM122" s="33">
        <f>Programacion[[#This Row],[OCTUBRE]]+Programacion[[#This Row],[NOVIEMBRE]]+Programacion[[#This Row],[DICIEMBRE]]</f>
        <v>0</v>
      </c>
      <c r="AN122" s="21">
        <f>Programacion[[#This Row],[DEVENGADO OCTUBRE]]+Programacion[[#This Row],[DEVENGADO NOVIEMBRE]]+Programacion[[#This Row],[DEVENGADO DICIEMBRE]]</f>
        <v>0</v>
      </c>
      <c r="AO122" s="21">
        <f>Programacion[[#This Row],[ENERO]]+Programacion[[#This Row],[FEBRERO]]+Programacion[[#This Row],[MARZO]]+Programacion[[#This Row],[ABRIL]]+Programacion[[#This Row],[MAYO]]+Programacion[[#This Row],[JUNIO]]</f>
        <v>0</v>
      </c>
      <c r="AP12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2" s="21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12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22" s="116"/>
    </row>
    <row r="123" spans="1:46" x14ac:dyDescent="0.25">
      <c r="A123" s="132" t="s">
        <v>124</v>
      </c>
      <c r="B123" s="132" t="s">
        <v>271</v>
      </c>
      <c r="C123" s="132" t="s">
        <v>249</v>
      </c>
      <c r="D123" s="133" t="s">
        <v>48</v>
      </c>
      <c r="E123" s="134">
        <v>39</v>
      </c>
      <c r="F123" s="134">
        <v>23</v>
      </c>
      <c r="G123" s="133" t="s">
        <v>51</v>
      </c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>
        <v>2650</v>
      </c>
      <c r="Y123" s="33"/>
      <c r="Z123" s="33"/>
      <c r="AA123" s="33"/>
      <c r="AB123" s="33"/>
      <c r="AC123" s="33"/>
      <c r="AD123" s="33"/>
      <c r="AE123" s="33"/>
      <c r="AF12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2650</v>
      </c>
      <c r="AG123" s="33">
        <f>Programacion[[#This Row],[ENERO]]+Programacion[[#This Row],[FEBRERO]]+Programacion[[#This Row],[MARZO]]</f>
        <v>0</v>
      </c>
      <c r="AH123" s="33">
        <f>Programacion[[#This Row],[DEVENGADO ENERO]]+Programacion[[#This Row],[DEVENGADO FEBRERO]]+Programacion[[#This Row],[DEVENGADO MARZO]]</f>
        <v>0</v>
      </c>
      <c r="AI123" s="33">
        <f>Programacion[[#This Row],[ABRIL]]+Programacion[[#This Row],[MAYO]]+Programacion[[#This Row],[JUNIO]]</f>
        <v>0</v>
      </c>
      <c r="AJ123" s="33">
        <f>Programacion[[#This Row],[DEVENGADO ABRIL]]+Programacion[[#This Row],[DEVENGADO MAYO]]+Programacion[[#This Row],[DEVENGADO JUNIO]]</f>
        <v>0</v>
      </c>
      <c r="AK123" s="33">
        <f>Programacion[[#This Row],[JULIO]]+Programacion[[#This Row],[AGOSTO]]+Programacion[[#This Row],[SEPTIEMBRE]]</f>
        <v>2650</v>
      </c>
      <c r="AL123" s="33">
        <f>Programacion[[#This Row],[DEVENGADO JULIO]]+Programacion[[#This Row],[DEVENGADO AGOSTO]]+Programacion[[#This Row],[DEVENGADO SEPTIEMBRE]]</f>
        <v>0</v>
      </c>
      <c r="AM123" s="33">
        <f>Programacion[[#This Row],[OCTUBRE]]+Programacion[[#This Row],[NOVIEMBRE]]+Programacion[[#This Row],[DICIEMBRE]]</f>
        <v>0</v>
      </c>
      <c r="AN123" s="21">
        <f>Programacion[[#This Row],[DEVENGADO OCTUBRE]]+Programacion[[#This Row],[DEVENGADO NOVIEMBRE]]+Programacion[[#This Row],[DEVENGADO DICIEMBRE]]</f>
        <v>0</v>
      </c>
      <c r="AO123" s="21">
        <f>Programacion[[#This Row],[ENERO]]+Programacion[[#This Row],[FEBRERO]]+Programacion[[#This Row],[MARZO]]+Programacion[[#This Row],[ABRIL]]+Programacion[[#This Row],[MAYO]]+Programacion[[#This Row],[JUNIO]]</f>
        <v>0</v>
      </c>
      <c r="AP12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3" s="21">
        <f>Programacion[[#This Row],[JULIO]]+Programacion[[#This Row],[AGOSTO]]+Programacion[[#This Row],[SEPTIEMBRE]]+Programacion[[#This Row],[OCTUBRE]]+Programacion[[#This Row],[NOVIEMBRE]]+Programacion[[#This Row],[DICIEMBRE]]</f>
        <v>2650</v>
      </c>
      <c r="AR12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23" s="116"/>
    </row>
    <row r="124" spans="1:46" ht="30" x14ac:dyDescent="0.25">
      <c r="A124" s="52" t="s">
        <v>124</v>
      </c>
      <c r="B124" s="45" t="s">
        <v>46</v>
      </c>
      <c r="C124" s="46" t="s">
        <v>47</v>
      </c>
      <c r="D124" s="46" t="s">
        <v>48</v>
      </c>
      <c r="E124" s="47">
        <v>39</v>
      </c>
      <c r="F124" s="48">
        <v>2.2999999999999998</v>
      </c>
      <c r="G124" s="46" t="s">
        <v>49</v>
      </c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>
        <v>6000</v>
      </c>
      <c r="AA124" s="49"/>
      <c r="AB124" s="49"/>
      <c r="AC124" s="49"/>
      <c r="AD124" s="49"/>
      <c r="AE124" s="49"/>
      <c r="AF12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124" s="19">
        <f>Programacion[[#This Row],[ENERO]]+Programacion[[#This Row],[FEBRERO]]+Programacion[[#This Row],[MARZO]]</f>
        <v>0</v>
      </c>
      <c r="AH124" s="19">
        <f>Programacion[[#This Row],[DEVENGADO ENERO]]+Programacion[[#This Row],[DEVENGADO FEBRERO]]+Programacion[[#This Row],[DEVENGADO MARZO]]</f>
        <v>0</v>
      </c>
      <c r="AI124" s="19">
        <f>Programacion[[#This Row],[ABRIL]]+Programacion[[#This Row],[MAYO]]+Programacion[[#This Row],[JUNIO]]</f>
        <v>0</v>
      </c>
      <c r="AJ124" s="19">
        <f>Programacion[[#This Row],[DEVENGADO ABRIL]]+Programacion[[#This Row],[DEVENGADO MAYO]]+Programacion[[#This Row],[DEVENGADO JUNIO]]</f>
        <v>0</v>
      </c>
      <c r="AK124" s="19">
        <f>Programacion[[#This Row],[JULIO]]+Programacion[[#This Row],[AGOSTO]]+Programacion[[#This Row],[SEPTIEMBRE]]</f>
        <v>0</v>
      </c>
      <c r="AL124" s="19">
        <f>Programacion[[#This Row],[DEVENGADO JULIO]]+Programacion[[#This Row],[DEVENGADO AGOSTO]]+Programacion[[#This Row],[DEVENGADO SEPTIEMBRE]]</f>
        <v>0</v>
      </c>
      <c r="AM124" s="19">
        <f>Programacion[[#This Row],[OCTUBRE]]+Programacion[[#This Row],[NOVIEMBRE]]+Programacion[[#This Row],[DICIEMBRE]]</f>
        <v>6000</v>
      </c>
      <c r="AN124" s="20">
        <f>Programacion[[#This Row],[DEVENGADO OCTUBRE]]+Programacion[[#This Row],[DEVENGADO NOVIEMBRE]]+Programacion[[#This Row],[DEVENGADO DICIEMBRE]]</f>
        <v>0</v>
      </c>
      <c r="AO124" s="20">
        <f>Programacion[[#This Row],[ENERO]]+Programacion[[#This Row],[FEBRERO]]+Programacion[[#This Row],[MARZO]]+Programacion[[#This Row],[ABRIL]]+Programacion[[#This Row],[MAYO]]+Programacion[[#This Row],[JUNIO]]</f>
        <v>0</v>
      </c>
      <c r="AP12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4" s="20">
        <f>Programacion[[#This Row],[JULIO]]+Programacion[[#This Row],[AGOSTO]]+Programacion[[#This Row],[SEPTIEMBRE]]+Programacion[[#This Row],[OCTUBRE]]+Programacion[[#This Row],[NOVIEMBRE]]+Programacion[[#This Row],[DICIEMBRE]]</f>
        <v>6000</v>
      </c>
      <c r="AR12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24" s="116"/>
    </row>
    <row r="125" spans="1:46" x14ac:dyDescent="0.25">
      <c r="A125" s="52" t="s">
        <v>124</v>
      </c>
      <c r="B125" s="45" t="s">
        <v>84</v>
      </c>
      <c r="C125" s="46" t="s">
        <v>47</v>
      </c>
      <c r="D125" s="46" t="s">
        <v>48</v>
      </c>
      <c r="E125" s="47">
        <v>39</v>
      </c>
      <c r="F125" s="48">
        <v>2.2999999999999998</v>
      </c>
      <c r="G125" s="46" t="s">
        <v>51</v>
      </c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>
        <v>4000</v>
      </c>
      <c r="AA125" s="49"/>
      <c r="AB125" s="49"/>
      <c r="AC125" s="49"/>
      <c r="AD125" s="49"/>
      <c r="AE125" s="50"/>
      <c r="AF12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25" s="19">
        <f>Programacion[[#This Row],[ENERO]]+Programacion[[#This Row],[FEBRERO]]+Programacion[[#This Row],[MARZO]]</f>
        <v>0</v>
      </c>
      <c r="AH125" s="19">
        <f>Programacion[[#This Row],[DEVENGADO ENERO]]+Programacion[[#This Row],[DEVENGADO FEBRERO]]+Programacion[[#This Row],[DEVENGADO MARZO]]</f>
        <v>0</v>
      </c>
      <c r="AI125" s="19">
        <f>Programacion[[#This Row],[ABRIL]]+Programacion[[#This Row],[MAYO]]+Programacion[[#This Row],[JUNIO]]</f>
        <v>0</v>
      </c>
      <c r="AJ125" s="19">
        <f>Programacion[[#This Row],[DEVENGADO ABRIL]]+Programacion[[#This Row],[DEVENGADO MAYO]]+Programacion[[#This Row],[DEVENGADO JUNIO]]</f>
        <v>0</v>
      </c>
      <c r="AK125" s="19">
        <f>Programacion[[#This Row],[JULIO]]+Programacion[[#This Row],[AGOSTO]]+Programacion[[#This Row],[SEPTIEMBRE]]</f>
        <v>0</v>
      </c>
      <c r="AL125" s="19">
        <f>Programacion[[#This Row],[DEVENGADO JULIO]]+Programacion[[#This Row],[DEVENGADO AGOSTO]]+Programacion[[#This Row],[DEVENGADO SEPTIEMBRE]]</f>
        <v>0</v>
      </c>
      <c r="AM125" s="19">
        <f>Programacion[[#This Row],[OCTUBRE]]+Programacion[[#This Row],[NOVIEMBRE]]+Programacion[[#This Row],[DICIEMBRE]]</f>
        <v>4000</v>
      </c>
      <c r="AN125" s="20">
        <f>Programacion[[#This Row],[DEVENGADO OCTUBRE]]+Programacion[[#This Row],[DEVENGADO NOVIEMBRE]]+Programacion[[#This Row],[DEVENGADO DICIEMBRE]]</f>
        <v>0</v>
      </c>
      <c r="AO125" s="20">
        <f>Programacion[[#This Row],[ENERO]]+Programacion[[#This Row],[FEBRERO]]+Programacion[[#This Row],[MARZO]]+Programacion[[#This Row],[ABRIL]]+Programacion[[#This Row],[MAYO]]+Programacion[[#This Row],[JUNIO]]</f>
        <v>0</v>
      </c>
      <c r="AP12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5" s="2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2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25" s="116"/>
    </row>
    <row r="126" spans="1:46" x14ac:dyDescent="0.25">
      <c r="A126" s="52" t="s">
        <v>124</v>
      </c>
      <c r="B126" s="45" t="s">
        <v>134</v>
      </c>
      <c r="C126" s="46" t="s">
        <v>65</v>
      </c>
      <c r="D126" s="46" t="s">
        <v>48</v>
      </c>
      <c r="E126" s="47">
        <v>39</v>
      </c>
      <c r="F126" s="48">
        <v>2.2999999999999998</v>
      </c>
      <c r="G126" s="46" t="s">
        <v>68</v>
      </c>
      <c r="H126" s="49"/>
      <c r="I126" s="49"/>
      <c r="J126" s="49"/>
      <c r="K126" s="49"/>
      <c r="L126" s="53">
        <v>4500</v>
      </c>
      <c r="M126" s="53">
        <v>4500</v>
      </c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  <c r="AA126" s="49"/>
      <c r="AB126" s="49"/>
      <c r="AC126" s="49"/>
      <c r="AD126" s="49"/>
      <c r="AE126" s="50"/>
      <c r="AF12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126" s="19">
        <f>Programacion[[#This Row],[ENERO]]+Programacion[[#This Row],[FEBRERO]]+Programacion[[#This Row],[MARZO]]</f>
        <v>4500</v>
      </c>
      <c r="AH126" s="19">
        <f>Programacion[[#This Row],[DEVENGADO ENERO]]+Programacion[[#This Row],[DEVENGADO FEBRERO]]+Programacion[[#This Row],[DEVENGADO MARZO]]</f>
        <v>4500</v>
      </c>
      <c r="AI126" s="19">
        <f>Programacion[[#This Row],[ABRIL]]+Programacion[[#This Row],[MAYO]]+Programacion[[#This Row],[JUNIO]]</f>
        <v>0</v>
      </c>
      <c r="AJ126" s="19">
        <f>Programacion[[#This Row],[DEVENGADO ABRIL]]+Programacion[[#This Row],[DEVENGADO MAYO]]+Programacion[[#This Row],[DEVENGADO JUNIO]]</f>
        <v>0</v>
      </c>
      <c r="AK126" s="19">
        <f>Programacion[[#This Row],[JULIO]]+Programacion[[#This Row],[AGOSTO]]+Programacion[[#This Row],[SEPTIEMBRE]]</f>
        <v>0</v>
      </c>
      <c r="AL126" s="19">
        <f>Programacion[[#This Row],[DEVENGADO JULIO]]+Programacion[[#This Row],[DEVENGADO AGOSTO]]+Programacion[[#This Row],[DEVENGADO SEPTIEMBRE]]</f>
        <v>0</v>
      </c>
      <c r="AM126" s="19">
        <f>Programacion[[#This Row],[OCTUBRE]]+Programacion[[#This Row],[NOVIEMBRE]]+Programacion[[#This Row],[DICIEMBRE]]</f>
        <v>0</v>
      </c>
      <c r="AN126" s="20">
        <f>Programacion[[#This Row],[DEVENGADO OCTUBRE]]+Programacion[[#This Row],[DEVENGADO NOVIEMBRE]]+Programacion[[#This Row],[DEVENGADO DICIEMBRE]]</f>
        <v>0</v>
      </c>
      <c r="AO126" s="20">
        <f>Programacion[[#This Row],[ENERO]]+Programacion[[#This Row],[FEBRERO]]+Programacion[[#This Row],[MARZO]]+Programacion[[#This Row],[ABRIL]]+Programacion[[#This Row],[MAYO]]+Programacion[[#This Row],[JUNIO]]</f>
        <v>4500</v>
      </c>
      <c r="AP12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4500</v>
      </c>
      <c r="AQ126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126" s="116"/>
    </row>
    <row r="127" spans="1:46" x14ac:dyDescent="0.25">
      <c r="A127" s="52" t="s">
        <v>124</v>
      </c>
      <c r="B127" s="45" t="s">
        <v>135</v>
      </c>
      <c r="C127" s="46" t="s">
        <v>56</v>
      </c>
      <c r="D127" s="46" t="s">
        <v>48</v>
      </c>
      <c r="E127" s="47">
        <v>3</v>
      </c>
      <c r="F127" s="48">
        <v>2.2999999999999998</v>
      </c>
      <c r="G127" s="46" t="s">
        <v>71</v>
      </c>
      <c r="H127" s="49"/>
      <c r="I127" s="49"/>
      <c r="J127" s="49"/>
      <c r="K127" s="49"/>
      <c r="L127" s="49"/>
      <c r="M127" s="49"/>
      <c r="N127" s="49">
        <v>15000</v>
      </c>
      <c r="O127" s="49">
        <v>15000</v>
      </c>
      <c r="P127" s="49">
        <v>7500</v>
      </c>
      <c r="Q127" s="49">
        <v>7500</v>
      </c>
      <c r="R127" s="49">
        <v>7500</v>
      </c>
      <c r="S127" s="49">
        <v>7500</v>
      </c>
      <c r="T127" s="49"/>
      <c r="U127" s="49"/>
      <c r="V127" s="49"/>
      <c r="W127" s="49"/>
      <c r="X127" s="49"/>
      <c r="Y127" s="49"/>
      <c r="Z127" s="49"/>
      <c r="AA127" s="49"/>
      <c r="AB127" s="49"/>
      <c r="AC127" s="49"/>
      <c r="AD127" s="49"/>
      <c r="AE127" s="50"/>
      <c r="AF12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27" s="19">
        <f>Programacion[[#This Row],[ENERO]]+Programacion[[#This Row],[FEBRERO]]+Programacion[[#This Row],[MARZO]]</f>
        <v>0</v>
      </c>
      <c r="AH127" s="19">
        <f>Programacion[[#This Row],[DEVENGADO ENERO]]+Programacion[[#This Row],[DEVENGADO FEBRERO]]+Programacion[[#This Row],[DEVENGADO MARZO]]</f>
        <v>0</v>
      </c>
      <c r="AI127" s="19">
        <f>Programacion[[#This Row],[ABRIL]]+Programacion[[#This Row],[MAYO]]+Programacion[[#This Row],[JUNIO]]</f>
        <v>30000</v>
      </c>
      <c r="AJ127" s="19">
        <f>Programacion[[#This Row],[DEVENGADO ABRIL]]+Programacion[[#This Row],[DEVENGADO MAYO]]+Programacion[[#This Row],[DEVENGADO JUNIO]]</f>
        <v>30000</v>
      </c>
      <c r="AK127" s="19">
        <f>Programacion[[#This Row],[JULIO]]+Programacion[[#This Row],[AGOSTO]]+Programacion[[#This Row],[SEPTIEMBRE]]</f>
        <v>0</v>
      </c>
      <c r="AL127" s="19">
        <f>Programacion[[#This Row],[DEVENGADO JULIO]]+Programacion[[#This Row],[DEVENGADO AGOSTO]]+Programacion[[#This Row],[DEVENGADO SEPTIEMBRE]]</f>
        <v>0</v>
      </c>
      <c r="AM127" s="19">
        <f>Programacion[[#This Row],[OCTUBRE]]+Programacion[[#This Row],[NOVIEMBRE]]+Programacion[[#This Row],[DICIEMBRE]]</f>
        <v>0</v>
      </c>
      <c r="AN127" s="20">
        <f>Programacion[[#This Row],[DEVENGADO OCTUBRE]]+Programacion[[#This Row],[DEVENGADO NOVIEMBRE]]+Programacion[[#This Row],[DEVENGADO DICIEMBRE]]</f>
        <v>0</v>
      </c>
      <c r="AO127" s="20">
        <f>Programacion[[#This Row],[ENERO]]+Programacion[[#This Row],[FEBRERO]]+Programacion[[#This Row],[MARZO]]+Programacion[[#This Row],[ABRIL]]+Programacion[[#This Row],[MAYO]]+Programacion[[#This Row],[JUNIO]]</f>
        <v>30000</v>
      </c>
      <c r="AP12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30000</v>
      </c>
      <c r="AQ12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127" s="116"/>
    </row>
    <row r="128" spans="1:46" ht="30" x14ac:dyDescent="0.25">
      <c r="A128" s="51" t="s">
        <v>124</v>
      </c>
      <c r="B128" s="45" t="s">
        <v>136</v>
      </c>
      <c r="C128" s="46" t="s">
        <v>56</v>
      </c>
      <c r="D128" s="46" t="s">
        <v>48</v>
      </c>
      <c r="E128" s="47">
        <v>3</v>
      </c>
      <c r="F128" s="48">
        <v>2.2999999999999998</v>
      </c>
      <c r="G128" s="46" t="s">
        <v>71</v>
      </c>
      <c r="H128" s="49"/>
      <c r="I128" s="49"/>
      <c r="J128" s="49"/>
      <c r="K128" s="49"/>
      <c r="L128" s="49"/>
      <c r="M128" s="49"/>
      <c r="N128" s="49">
        <v>10000</v>
      </c>
      <c r="O128" s="49">
        <v>10000</v>
      </c>
      <c r="P128" s="49">
        <v>5000</v>
      </c>
      <c r="Q128" s="49">
        <v>5000</v>
      </c>
      <c r="R128" s="49"/>
      <c r="S128" s="49"/>
      <c r="T128" s="49"/>
      <c r="U128" s="49"/>
      <c r="V128" s="49"/>
      <c r="W128" s="49"/>
      <c r="X128" s="49"/>
      <c r="Y128" s="49"/>
      <c r="Z128" s="49"/>
      <c r="AA128" s="49"/>
      <c r="AB128" s="49"/>
      <c r="AC128" s="49"/>
      <c r="AD128" s="49"/>
      <c r="AE128" s="49"/>
      <c r="AF12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128" s="19">
        <f>Programacion[[#This Row],[ENERO]]+Programacion[[#This Row],[FEBRERO]]+Programacion[[#This Row],[MARZO]]</f>
        <v>0</v>
      </c>
      <c r="AH128" s="19">
        <f>Programacion[[#This Row],[DEVENGADO ENERO]]+Programacion[[#This Row],[DEVENGADO FEBRERO]]+Programacion[[#This Row],[DEVENGADO MARZO]]</f>
        <v>0</v>
      </c>
      <c r="AI128" s="19">
        <f>Programacion[[#This Row],[ABRIL]]+Programacion[[#This Row],[MAYO]]+Programacion[[#This Row],[JUNIO]]</f>
        <v>15000</v>
      </c>
      <c r="AJ128" s="19">
        <f>Programacion[[#This Row],[DEVENGADO ABRIL]]+Programacion[[#This Row],[DEVENGADO MAYO]]+Programacion[[#This Row],[DEVENGADO JUNIO]]</f>
        <v>15000</v>
      </c>
      <c r="AK128" s="19">
        <f>Programacion[[#This Row],[JULIO]]+Programacion[[#This Row],[AGOSTO]]+Programacion[[#This Row],[SEPTIEMBRE]]</f>
        <v>0</v>
      </c>
      <c r="AL128" s="19">
        <f>Programacion[[#This Row],[DEVENGADO JULIO]]+Programacion[[#This Row],[DEVENGADO AGOSTO]]+Programacion[[#This Row],[DEVENGADO SEPTIEMBRE]]</f>
        <v>0</v>
      </c>
      <c r="AM128" s="19">
        <f>Programacion[[#This Row],[OCTUBRE]]+Programacion[[#This Row],[NOVIEMBRE]]+Programacion[[#This Row],[DICIEMBRE]]</f>
        <v>0</v>
      </c>
      <c r="AN128" s="20">
        <f>Programacion[[#This Row],[DEVENGADO OCTUBRE]]+Programacion[[#This Row],[DEVENGADO NOVIEMBRE]]+Programacion[[#This Row],[DEVENGADO DICIEMBRE]]</f>
        <v>0</v>
      </c>
      <c r="AO128" s="20">
        <f>Programacion[[#This Row],[ENERO]]+Programacion[[#This Row],[FEBRERO]]+Programacion[[#This Row],[MARZO]]+Programacion[[#This Row],[ABRIL]]+Programacion[[#This Row],[MAYO]]+Programacion[[#This Row],[JUNIO]]</f>
        <v>15000</v>
      </c>
      <c r="AP12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28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28" s="116"/>
    </row>
    <row r="129" spans="1:46" x14ac:dyDescent="0.25">
      <c r="A129" s="54" t="s">
        <v>137</v>
      </c>
      <c r="B129" s="55" t="s">
        <v>112</v>
      </c>
      <c r="C129" s="54" t="s">
        <v>56</v>
      </c>
      <c r="D129" s="56" t="s">
        <v>48</v>
      </c>
      <c r="E129" s="57">
        <v>64</v>
      </c>
      <c r="F129" s="58">
        <v>2.2999999999999998</v>
      </c>
      <c r="G129" s="56" t="s">
        <v>71</v>
      </c>
      <c r="H129" s="59"/>
      <c r="I129" s="59"/>
      <c r="J129" s="59"/>
      <c r="K129" s="59"/>
      <c r="L129" s="59">
        <v>10000</v>
      </c>
      <c r="M129" s="59">
        <v>10000</v>
      </c>
      <c r="N129" s="59">
        <v>5000</v>
      </c>
      <c r="O129" s="59">
        <v>5000</v>
      </c>
      <c r="P129" s="59">
        <v>5000</v>
      </c>
      <c r="Q129" s="59">
        <v>5000</v>
      </c>
      <c r="R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  <c r="AF12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29" s="19">
        <f>Programacion[[#This Row],[ENERO]]+Programacion[[#This Row],[FEBRERO]]+Programacion[[#This Row],[MARZO]]</f>
        <v>10000</v>
      </c>
      <c r="AH129" s="19">
        <f>Programacion[[#This Row],[DEVENGADO ENERO]]+Programacion[[#This Row],[DEVENGADO FEBRERO]]+Programacion[[#This Row],[DEVENGADO MARZO]]</f>
        <v>10000</v>
      </c>
      <c r="AI129" s="19">
        <f>Programacion[[#This Row],[ABRIL]]+Programacion[[#This Row],[MAYO]]+Programacion[[#This Row],[JUNIO]]</f>
        <v>10000</v>
      </c>
      <c r="AJ129" s="19">
        <f>Programacion[[#This Row],[DEVENGADO ABRIL]]+Programacion[[#This Row],[DEVENGADO MAYO]]+Programacion[[#This Row],[DEVENGADO JUNIO]]</f>
        <v>10000</v>
      </c>
      <c r="AK129" s="19">
        <f>Programacion[[#This Row],[JULIO]]+Programacion[[#This Row],[AGOSTO]]+Programacion[[#This Row],[SEPTIEMBRE]]</f>
        <v>0</v>
      </c>
      <c r="AL129" s="19">
        <f>Programacion[[#This Row],[DEVENGADO JULIO]]+Programacion[[#This Row],[DEVENGADO AGOSTO]]+Programacion[[#This Row],[DEVENGADO SEPTIEMBRE]]</f>
        <v>0</v>
      </c>
      <c r="AM129" s="19">
        <f>Programacion[[#This Row],[OCTUBRE]]+Programacion[[#This Row],[NOVIEMBRE]]+Programacion[[#This Row],[DICIEMBRE]]</f>
        <v>0</v>
      </c>
      <c r="AN129" s="20">
        <f>Programacion[[#This Row],[DEVENGADO OCTUBRE]]+Programacion[[#This Row],[DEVENGADO NOVIEMBRE]]+Programacion[[#This Row],[DEVENGADO DICIEMBRE]]</f>
        <v>0</v>
      </c>
      <c r="AO129" s="20">
        <f>Programacion[[#This Row],[ENERO]]+Programacion[[#This Row],[FEBRERO]]+Programacion[[#This Row],[MARZO]]+Programacion[[#This Row],[ABRIL]]+Programacion[[#This Row],[MAYO]]+Programacion[[#This Row],[JUNIO]]</f>
        <v>20000</v>
      </c>
      <c r="AP12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2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29" s="116"/>
    </row>
    <row r="130" spans="1:46" x14ac:dyDescent="0.25">
      <c r="A130" s="54" t="s">
        <v>137</v>
      </c>
      <c r="B130" s="55" t="s">
        <v>138</v>
      </c>
      <c r="C130" s="54" t="s">
        <v>56</v>
      </c>
      <c r="D130" s="56" t="s">
        <v>48</v>
      </c>
      <c r="E130" s="57">
        <v>64</v>
      </c>
      <c r="F130" s="58">
        <v>2.2999999999999998</v>
      </c>
      <c r="G130" s="56" t="s">
        <v>71</v>
      </c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>
        <v>5000</v>
      </c>
      <c r="S130" s="59">
        <v>5000</v>
      </c>
      <c r="T130" s="59">
        <v>5000</v>
      </c>
      <c r="U130" s="59">
        <v>5000</v>
      </c>
      <c r="V130" s="59">
        <v>5000</v>
      </c>
      <c r="W130" s="59"/>
      <c r="X130" s="59">
        <v>5000</v>
      </c>
      <c r="Y130" s="59"/>
      <c r="Z130" s="59">
        <v>5000</v>
      </c>
      <c r="AA130" s="59"/>
      <c r="AB130" s="59">
        <v>5000</v>
      </c>
      <c r="AC130" s="59"/>
      <c r="AD130" s="59">
        <v>5000</v>
      </c>
      <c r="AE130" s="59"/>
      <c r="AF13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30" s="19">
        <f>Programacion[[#This Row],[ENERO]]+Programacion[[#This Row],[FEBRERO]]+Programacion[[#This Row],[MARZO]]</f>
        <v>0</v>
      </c>
      <c r="AH130" s="19">
        <f>Programacion[[#This Row],[DEVENGADO ENERO]]+Programacion[[#This Row],[DEVENGADO FEBRERO]]+Programacion[[#This Row],[DEVENGADO MARZO]]</f>
        <v>0</v>
      </c>
      <c r="AI130" s="19">
        <f>Programacion[[#This Row],[ABRIL]]+Programacion[[#This Row],[MAYO]]+Programacion[[#This Row],[JUNIO]]</f>
        <v>5000</v>
      </c>
      <c r="AJ130" s="19">
        <f>Programacion[[#This Row],[DEVENGADO ABRIL]]+Programacion[[#This Row],[DEVENGADO MAYO]]+Programacion[[#This Row],[DEVENGADO JUNIO]]</f>
        <v>5000</v>
      </c>
      <c r="AK130" s="19">
        <f>Programacion[[#This Row],[JULIO]]+Programacion[[#This Row],[AGOSTO]]+Programacion[[#This Row],[SEPTIEMBRE]]</f>
        <v>15000</v>
      </c>
      <c r="AL130" s="19">
        <f>Programacion[[#This Row],[DEVENGADO JULIO]]+Programacion[[#This Row],[DEVENGADO AGOSTO]]+Programacion[[#This Row],[DEVENGADO SEPTIEMBRE]]</f>
        <v>5000</v>
      </c>
      <c r="AM130" s="19">
        <f>Programacion[[#This Row],[OCTUBRE]]+Programacion[[#This Row],[NOVIEMBRE]]+Programacion[[#This Row],[DICIEMBRE]]</f>
        <v>15000</v>
      </c>
      <c r="AN130" s="20">
        <f>Programacion[[#This Row],[DEVENGADO OCTUBRE]]+Programacion[[#This Row],[DEVENGADO NOVIEMBRE]]+Programacion[[#This Row],[DEVENGADO DICIEMBRE]]</f>
        <v>0</v>
      </c>
      <c r="AO130" s="20">
        <f>Programacion[[#This Row],[ENERO]]+Programacion[[#This Row],[FEBRERO]]+Programacion[[#This Row],[MARZO]]+Programacion[[#This Row],[ABRIL]]+Programacion[[#This Row],[MAYO]]+Programacion[[#This Row],[JUNIO]]</f>
        <v>5000</v>
      </c>
      <c r="AP13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30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3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3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30" s="116"/>
    </row>
    <row r="131" spans="1:46" x14ac:dyDescent="0.25">
      <c r="A131" s="54" t="s">
        <v>137</v>
      </c>
      <c r="B131" s="27" t="s">
        <v>85</v>
      </c>
      <c r="C131" s="28" t="s">
        <v>47</v>
      </c>
      <c r="D131" s="28" t="s">
        <v>48</v>
      </c>
      <c r="E131" s="29">
        <v>39</v>
      </c>
      <c r="F131" s="30">
        <v>2.2999999999999998</v>
      </c>
      <c r="G131" s="28" t="s">
        <v>86</v>
      </c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>
        <v>1200</v>
      </c>
      <c r="W131" s="33">
        <v>1200</v>
      </c>
      <c r="X131" s="33"/>
      <c r="Y131" s="33"/>
      <c r="Z131" s="33"/>
      <c r="AA131" s="33"/>
      <c r="AB131" s="33"/>
      <c r="AC131" s="33"/>
      <c r="AD131" s="33"/>
      <c r="AE131" s="33"/>
      <c r="AF13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</v>
      </c>
      <c r="AG131" s="33">
        <f>Programacion[[#This Row],[ENERO]]+Programacion[[#This Row],[FEBRERO]]+Programacion[[#This Row],[MARZO]]</f>
        <v>0</v>
      </c>
      <c r="AH131" s="33">
        <f>Programacion[[#This Row],[DEVENGADO ENERO]]+Programacion[[#This Row],[DEVENGADO FEBRERO]]+Programacion[[#This Row],[DEVENGADO MARZO]]</f>
        <v>0</v>
      </c>
      <c r="AI131" s="33">
        <f>Programacion[[#This Row],[ABRIL]]+Programacion[[#This Row],[MAYO]]+Programacion[[#This Row],[JUNIO]]</f>
        <v>0</v>
      </c>
      <c r="AJ131" s="33">
        <f>Programacion[[#This Row],[DEVENGADO ABRIL]]+Programacion[[#This Row],[DEVENGADO MAYO]]+Programacion[[#This Row],[DEVENGADO JUNIO]]</f>
        <v>0</v>
      </c>
      <c r="AK131" s="33">
        <f>Programacion[[#This Row],[JULIO]]+Programacion[[#This Row],[AGOSTO]]+Programacion[[#This Row],[SEPTIEMBRE]]</f>
        <v>1200</v>
      </c>
      <c r="AL131" s="33">
        <f>Programacion[[#This Row],[DEVENGADO JULIO]]+Programacion[[#This Row],[DEVENGADO AGOSTO]]+Programacion[[#This Row],[DEVENGADO SEPTIEMBRE]]</f>
        <v>1200</v>
      </c>
      <c r="AM131" s="33">
        <f>Programacion[[#This Row],[OCTUBRE]]+Programacion[[#This Row],[NOVIEMBRE]]+Programacion[[#This Row],[DICIEMBRE]]</f>
        <v>0</v>
      </c>
      <c r="AN131" s="21">
        <f>Programacion[[#This Row],[DEVENGADO OCTUBRE]]+Programacion[[#This Row],[DEVENGADO NOVIEMBRE]]+Programacion[[#This Row],[DEVENGADO DICIEMBRE]]</f>
        <v>0</v>
      </c>
      <c r="AO131" s="21">
        <f>Programacion[[#This Row],[ENERO]]+Programacion[[#This Row],[FEBRERO]]+Programacion[[#This Row],[MARZO]]+Programacion[[#This Row],[ABRIL]]+Programacion[[#This Row],[MAYO]]+Programacion[[#This Row],[JUNIO]]</f>
        <v>0</v>
      </c>
      <c r="AP13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1" s="21">
        <f>Programacion[[#This Row],[JULIO]]+Programacion[[#This Row],[AGOSTO]]+Programacion[[#This Row],[SEPTIEMBRE]]+Programacion[[#This Row],[OCTUBRE]]+Programacion[[#This Row],[NOVIEMBRE]]+Programacion[[#This Row],[DICIEMBRE]]</f>
        <v>1200</v>
      </c>
      <c r="AR13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S13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T131" s="116"/>
    </row>
    <row r="132" spans="1:46" ht="30" x14ac:dyDescent="0.25">
      <c r="A132" s="54" t="s">
        <v>137</v>
      </c>
      <c r="B132" s="55" t="s">
        <v>46</v>
      </c>
      <c r="C132" s="54" t="s">
        <v>47</v>
      </c>
      <c r="D132" s="56" t="s">
        <v>48</v>
      </c>
      <c r="E132" s="57">
        <v>39</v>
      </c>
      <c r="F132" s="58">
        <v>2.2999999999999998</v>
      </c>
      <c r="G132" s="56" t="s">
        <v>49</v>
      </c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>
        <v>2000</v>
      </c>
      <c r="S132" s="59">
        <v>2000</v>
      </c>
      <c r="T132" s="59"/>
      <c r="U132" s="59"/>
      <c r="V132" s="59">
        <v>2200</v>
      </c>
      <c r="W132" s="59">
        <v>2200</v>
      </c>
      <c r="X132" s="59"/>
      <c r="Y132" s="59"/>
      <c r="Z132" s="59"/>
      <c r="AA132" s="59"/>
      <c r="AB132" s="59"/>
      <c r="AC132" s="59"/>
      <c r="AD132" s="59"/>
      <c r="AE132" s="59"/>
      <c r="AF13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</v>
      </c>
      <c r="AG132" s="19">
        <f>Programacion[[#This Row],[ENERO]]+Programacion[[#This Row],[FEBRERO]]+Programacion[[#This Row],[MARZO]]</f>
        <v>0</v>
      </c>
      <c r="AH132" s="19">
        <f>Programacion[[#This Row],[DEVENGADO ENERO]]+Programacion[[#This Row],[DEVENGADO FEBRERO]]+Programacion[[#This Row],[DEVENGADO MARZO]]</f>
        <v>0</v>
      </c>
      <c r="AI132" s="19">
        <f>Programacion[[#This Row],[ABRIL]]+Programacion[[#This Row],[MAYO]]+Programacion[[#This Row],[JUNIO]]</f>
        <v>2000</v>
      </c>
      <c r="AJ132" s="19">
        <f>Programacion[[#This Row],[DEVENGADO ABRIL]]+Programacion[[#This Row],[DEVENGADO MAYO]]+Programacion[[#This Row],[DEVENGADO JUNIO]]</f>
        <v>2000</v>
      </c>
      <c r="AK132" s="19">
        <f>Programacion[[#This Row],[JULIO]]+Programacion[[#This Row],[AGOSTO]]+Programacion[[#This Row],[SEPTIEMBRE]]</f>
        <v>2200</v>
      </c>
      <c r="AL132" s="19">
        <f>Programacion[[#This Row],[DEVENGADO JULIO]]+Programacion[[#This Row],[DEVENGADO AGOSTO]]+Programacion[[#This Row],[DEVENGADO SEPTIEMBRE]]</f>
        <v>2200</v>
      </c>
      <c r="AM132" s="19">
        <f>Programacion[[#This Row],[OCTUBRE]]+Programacion[[#This Row],[NOVIEMBRE]]+Programacion[[#This Row],[DICIEMBRE]]</f>
        <v>0</v>
      </c>
      <c r="AN132" s="20">
        <f>Programacion[[#This Row],[DEVENGADO OCTUBRE]]+Programacion[[#This Row],[DEVENGADO NOVIEMBRE]]+Programacion[[#This Row],[DEVENGADO DICIEMBRE]]</f>
        <v>0</v>
      </c>
      <c r="AO132" s="20">
        <f>Programacion[[#This Row],[ENERO]]+Programacion[[#This Row],[FEBRERO]]+Programacion[[#This Row],[MARZO]]+Programacion[[#This Row],[ABRIL]]+Programacion[[#This Row],[MAYO]]+Programacion[[#This Row],[JUNIO]]</f>
        <v>2000</v>
      </c>
      <c r="AP13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132" s="20">
        <f>Programacion[[#This Row],[JULIO]]+Programacion[[#This Row],[AGOSTO]]+Programacion[[#This Row],[SEPTIEMBRE]]+Programacion[[#This Row],[OCTUBRE]]+Programacion[[#This Row],[NOVIEMBRE]]+Programacion[[#This Row],[DICIEMBRE]]</f>
        <v>2200</v>
      </c>
      <c r="AR13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2200</v>
      </c>
      <c r="AS13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</v>
      </c>
      <c r="AT132" s="116"/>
    </row>
    <row r="133" spans="1:46" x14ac:dyDescent="0.25">
      <c r="A133" s="54" t="s">
        <v>137</v>
      </c>
      <c r="B133" s="55" t="s">
        <v>50</v>
      </c>
      <c r="C133" s="54" t="s">
        <v>47</v>
      </c>
      <c r="D133" s="56" t="s">
        <v>48</v>
      </c>
      <c r="E133" s="57">
        <v>39</v>
      </c>
      <c r="F133" s="58">
        <v>2.2999999999999998</v>
      </c>
      <c r="G133" s="56" t="s">
        <v>51</v>
      </c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>
        <v>1080</v>
      </c>
      <c r="S133" s="59">
        <v>1080</v>
      </c>
      <c r="T133" s="59"/>
      <c r="U133" s="59"/>
      <c r="V133" s="59">
        <v>4000</v>
      </c>
      <c r="W133" s="59">
        <v>4000</v>
      </c>
      <c r="X133" s="59"/>
      <c r="Y133" s="59"/>
      <c r="Z133" s="59"/>
      <c r="AA133" s="59"/>
      <c r="AB133" s="59"/>
      <c r="AC133" s="59"/>
      <c r="AD133" s="59"/>
      <c r="AE133" s="59"/>
      <c r="AF13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5080</v>
      </c>
      <c r="AG133" s="19">
        <f>Programacion[[#This Row],[ENERO]]+Programacion[[#This Row],[FEBRERO]]+Programacion[[#This Row],[MARZO]]</f>
        <v>0</v>
      </c>
      <c r="AH133" s="19">
        <f>Programacion[[#This Row],[DEVENGADO ENERO]]+Programacion[[#This Row],[DEVENGADO FEBRERO]]+Programacion[[#This Row],[DEVENGADO MARZO]]</f>
        <v>0</v>
      </c>
      <c r="AI133" s="19">
        <f>Programacion[[#This Row],[ABRIL]]+Programacion[[#This Row],[MAYO]]+Programacion[[#This Row],[JUNIO]]</f>
        <v>1080</v>
      </c>
      <c r="AJ133" s="19">
        <f>Programacion[[#This Row],[DEVENGADO ABRIL]]+Programacion[[#This Row],[DEVENGADO MAYO]]+Programacion[[#This Row],[DEVENGADO JUNIO]]</f>
        <v>1080</v>
      </c>
      <c r="AK133" s="19">
        <f>Programacion[[#This Row],[JULIO]]+Programacion[[#This Row],[AGOSTO]]+Programacion[[#This Row],[SEPTIEMBRE]]</f>
        <v>4000</v>
      </c>
      <c r="AL133" s="19">
        <f>Programacion[[#This Row],[DEVENGADO JULIO]]+Programacion[[#This Row],[DEVENGADO AGOSTO]]+Programacion[[#This Row],[DEVENGADO SEPTIEMBRE]]</f>
        <v>4000</v>
      </c>
      <c r="AM133" s="19">
        <f>Programacion[[#This Row],[OCTUBRE]]+Programacion[[#This Row],[NOVIEMBRE]]+Programacion[[#This Row],[DICIEMBRE]]</f>
        <v>0</v>
      </c>
      <c r="AN133" s="20">
        <f>Programacion[[#This Row],[DEVENGADO OCTUBRE]]+Programacion[[#This Row],[DEVENGADO NOVIEMBRE]]+Programacion[[#This Row],[DEVENGADO DICIEMBRE]]</f>
        <v>0</v>
      </c>
      <c r="AO133" s="20">
        <f>Programacion[[#This Row],[ENERO]]+Programacion[[#This Row],[FEBRERO]]+Programacion[[#This Row],[MARZO]]+Programacion[[#This Row],[ABRIL]]+Programacion[[#This Row],[MAYO]]+Programacion[[#This Row],[JUNIO]]</f>
        <v>1080</v>
      </c>
      <c r="AP13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33" s="2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3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3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5080</v>
      </c>
      <c r="AT133" s="116"/>
    </row>
    <row r="134" spans="1:46" ht="30" x14ac:dyDescent="0.25">
      <c r="A134" s="54" t="s">
        <v>137</v>
      </c>
      <c r="B134" s="55" t="s">
        <v>139</v>
      </c>
      <c r="C134" s="54" t="s">
        <v>74</v>
      </c>
      <c r="D134" s="56" t="s">
        <v>48</v>
      </c>
      <c r="E134" s="57">
        <v>39</v>
      </c>
      <c r="F134" s="58">
        <v>2.2999999999999998</v>
      </c>
      <c r="G134" s="56" t="s">
        <v>75</v>
      </c>
      <c r="H134" s="59"/>
      <c r="I134" s="59"/>
      <c r="J134" s="59"/>
      <c r="K134" s="59"/>
      <c r="L134" s="59">
        <v>1680</v>
      </c>
      <c r="M134" s="59">
        <v>1680</v>
      </c>
      <c r="N134" s="59">
        <v>1724.8</v>
      </c>
      <c r="O134" s="59">
        <v>1724.8</v>
      </c>
      <c r="P134" s="59"/>
      <c r="Q134" s="59"/>
      <c r="R134" s="59">
        <v>3460.8</v>
      </c>
      <c r="S134" s="59">
        <v>3460.8</v>
      </c>
      <c r="T134" s="59">
        <v>1730.4</v>
      </c>
      <c r="U134" s="59">
        <v>1730.4</v>
      </c>
      <c r="V134" s="59">
        <v>1730.4</v>
      </c>
      <c r="W134" s="59"/>
      <c r="X134" s="59">
        <v>1730.4</v>
      </c>
      <c r="Y134" s="59"/>
      <c r="Z134" s="59">
        <v>1730.4</v>
      </c>
      <c r="AA134" s="59"/>
      <c r="AB134" s="59">
        <v>1730.4</v>
      </c>
      <c r="AC134" s="59"/>
      <c r="AD134" s="59">
        <v>1730.4</v>
      </c>
      <c r="AE134" s="59"/>
      <c r="AF13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17248</v>
      </c>
      <c r="AG134" s="19">
        <f>Programacion[[#This Row],[ENERO]]+Programacion[[#This Row],[FEBRERO]]+Programacion[[#This Row],[MARZO]]</f>
        <v>1680</v>
      </c>
      <c r="AH134" s="19">
        <f>Programacion[[#This Row],[DEVENGADO ENERO]]+Programacion[[#This Row],[DEVENGADO FEBRERO]]+Programacion[[#This Row],[DEVENGADO MARZO]]</f>
        <v>1680</v>
      </c>
      <c r="AI134" s="19">
        <f>Programacion[[#This Row],[ABRIL]]+Programacion[[#This Row],[MAYO]]+Programacion[[#This Row],[JUNIO]]</f>
        <v>5185.6000000000004</v>
      </c>
      <c r="AJ134" s="19">
        <f>Programacion[[#This Row],[DEVENGADO ABRIL]]+Programacion[[#This Row],[DEVENGADO MAYO]]+Programacion[[#This Row],[DEVENGADO JUNIO]]</f>
        <v>5185.6000000000004</v>
      </c>
      <c r="AK134" s="19">
        <f>Programacion[[#This Row],[JULIO]]+Programacion[[#This Row],[AGOSTO]]+Programacion[[#This Row],[SEPTIEMBRE]]</f>
        <v>5191.2000000000007</v>
      </c>
      <c r="AL134" s="19">
        <f>Programacion[[#This Row],[DEVENGADO JULIO]]+Programacion[[#This Row],[DEVENGADO AGOSTO]]+Programacion[[#This Row],[DEVENGADO SEPTIEMBRE]]</f>
        <v>1730.4</v>
      </c>
      <c r="AM134" s="19">
        <f>Programacion[[#This Row],[OCTUBRE]]+Programacion[[#This Row],[NOVIEMBRE]]+Programacion[[#This Row],[DICIEMBRE]]</f>
        <v>5191.2000000000007</v>
      </c>
      <c r="AN134" s="20">
        <f>Programacion[[#This Row],[DEVENGADO OCTUBRE]]+Programacion[[#This Row],[DEVENGADO NOVIEMBRE]]+Programacion[[#This Row],[DEVENGADO DICIEMBRE]]</f>
        <v>0</v>
      </c>
      <c r="AO134" s="20">
        <f>Programacion[[#This Row],[ENERO]]+Programacion[[#This Row],[FEBRERO]]+Programacion[[#This Row],[MARZO]]+Programacion[[#This Row],[ABRIL]]+Programacion[[#This Row],[MAYO]]+Programacion[[#This Row],[JUNIO]]</f>
        <v>6865.6</v>
      </c>
      <c r="AP13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6865.6</v>
      </c>
      <c r="AQ134" s="20">
        <f>Programacion[[#This Row],[JULIO]]+Programacion[[#This Row],[AGOSTO]]+Programacion[[#This Row],[SEPTIEMBRE]]+Programacion[[#This Row],[OCTUBRE]]+Programacion[[#This Row],[NOVIEMBRE]]+Programacion[[#This Row],[DICIEMBRE]]</f>
        <v>10382.4</v>
      </c>
      <c r="AR13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1730.4</v>
      </c>
      <c r="AS13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8596</v>
      </c>
      <c r="AT134" s="116"/>
    </row>
    <row r="135" spans="1:46" ht="30" x14ac:dyDescent="0.25">
      <c r="A135" s="54" t="s">
        <v>137</v>
      </c>
      <c r="B135" s="55" t="s">
        <v>140</v>
      </c>
      <c r="C135" s="54" t="s">
        <v>74</v>
      </c>
      <c r="D135" s="56" t="s">
        <v>48</v>
      </c>
      <c r="E135" s="57">
        <v>39</v>
      </c>
      <c r="F135" s="58">
        <v>2.2999999999999998</v>
      </c>
      <c r="G135" s="56" t="s">
        <v>75</v>
      </c>
      <c r="H135" s="59">
        <v>810</v>
      </c>
      <c r="I135" s="59">
        <v>810</v>
      </c>
      <c r="J135" s="59">
        <v>810</v>
      </c>
      <c r="K135" s="59">
        <v>810</v>
      </c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  <c r="AF13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35" s="19">
        <f>Programacion[[#This Row],[ENERO]]+Programacion[[#This Row],[FEBRERO]]+Programacion[[#This Row],[MARZO]]</f>
        <v>1620</v>
      </c>
      <c r="AH135" s="19">
        <f>Programacion[[#This Row],[DEVENGADO ENERO]]+Programacion[[#This Row],[DEVENGADO FEBRERO]]+Programacion[[#This Row],[DEVENGADO MARZO]]</f>
        <v>1620</v>
      </c>
      <c r="AI135" s="19">
        <f>Programacion[[#This Row],[ABRIL]]+Programacion[[#This Row],[MAYO]]+Programacion[[#This Row],[JUNIO]]</f>
        <v>0</v>
      </c>
      <c r="AJ135" s="19">
        <f>Programacion[[#This Row],[DEVENGADO ABRIL]]+Programacion[[#This Row],[DEVENGADO MAYO]]+Programacion[[#This Row],[DEVENGADO JUNIO]]</f>
        <v>0</v>
      </c>
      <c r="AK135" s="19">
        <f>Programacion[[#This Row],[JULIO]]+Programacion[[#This Row],[AGOSTO]]+Programacion[[#This Row],[SEPTIEMBRE]]</f>
        <v>0</v>
      </c>
      <c r="AL135" s="19">
        <f>Programacion[[#This Row],[DEVENGADO JULIO]]+Programacion[[#This Row],[DEVENGADO AGOSTO]]+Programacion[[#This Row],[DEVENGADO SEPTIEMBRE]]</f>
        <v>0</v>
      </c>
      <c r="AM135" s="19">
        <f>Programacion[[#This Row],[OCTUBRE]]+Programacion[[#This Row],[NOVIEMBRE]]+Programacion[[#This Row],[DICIEMBRE]]</f>
        <v>0</v>
      </c>
      <c r="AN135" s="20">
        <f>Programacion[[#This Row],[DEVENGADO OCTUBRE]]+Programacion[[#This Row],[DEVENGADO NOVIEMBRE]]+Programacion[[#This Row],[DEVENGADO DICIEMBRE]]</f>
        <v>0</v>
      </c>
      <c r="AO135" s="20">
        <f>Programacion[[#This Row],[ENERO]]+Programacion[[#This Row],[FEBRERO]]+Programacion[[#This Row],[MARZO]]+Programacion[[#This Row],[ABRIL]]+Programacion[[#This Row],[MAYO]]+Programacion[[#This Row],[JUNIO]]</f>
        <v>1620</v>
      </c>
      <c r="AP13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1620</v>
      </c>
      <c r="AQ13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35" s="116"/>
    </row>
    <row r="136" spans="1:46" ht="30" x14ac:dyDescent="0.25">
      <c r="A136" s="54" t="s">
        <v>137</v>
      </c>
      <c r="B136" s="55" t="s">
        <v>141</v>
      </c>
      <c r="C136" s="54" t="s">
        <v>56</v>
      </c>
      <c r="D136" s="56" t="s">
        <v>48</v>
      </c>
      <c r="E136" s="57">
        <v>3</v>
      </c>
      <c r="F136" s="58">
        <v>2.2999999999999998</v>
      </c>
      <c r="G136" s="56" t="s">
        <v>71</v>
      </c>
      <c r="H136" s="59"/>
      <c r="I136" s="59"/>
      <c r="J136" s="59"/>
      <c r="K136" s="59"/>
      <c r="L136" s="59">
        <v>10000</v>
      </c>
      <c r="M136" s="59">
        <v>10000</v>
      </c>
      <c r="N136" s="59">
        <v>5000</v>
      </c>
      <c r="O136" s="59">
        <v>5000</v>
      </c>
      <c r="P136" s="59">
        <v>5000</v>
      </c>
      <c r="Q136" s="59">
        <v>5000</v>
      </c>
      <c r="R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  <c r="AF13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36" s="19">
        <f>Programacion[[#This Row],[ENERO]]+Programacion[[#This Row],[FEBRERO]]+Programacion[[#This Row],[MARZO]]</f>
        <v>10000</v>
      </c>
      <c r="AH136" s="19">
        <f>Programacion[[#This Row],[DEVENGADO ENERO]]+Programacion[[#This Row],[DEVENGADO FEBRERO]]+Programacion[[#This Row],[DEVENGADO MARZO]]</f>
        <v>10000</v>
      </c>
      <c r="AI136" s="19">
        <f>Programacion[[#This Row],[ABRIL]]+Programacion[[#This Row],[MAYO]]+Programacion[[#This Row],[JUNIO]]</f>
        <v>10000</v>
      </c>
      <c r="AJ136" s="19">
        <f>Programacion[[#This Row],[DEVENGADO ABRIL]]+Programacion[[#This Row],[DEVENGADO MAYO]]+Programacion[[#This Row],[DEVENGADO JUNIO]]</f>
        <v>10000</v>
      </c>
      <c r="AK136" s="19">
        <f>Programacion[[#This Row],[JULIO]]+Programacion[[#This Row],[AGOSTO]]+Programacion[[#This Row],[SEPTIEMBRE]]</f>
        <v>0</v>
      </c>
      <c r="AL136" s="19">
        <f>Programacion[[#This Row],[DEVENGADO JULIO]]+Programacion[[#This Row],[DEVENGADO AGOSTO]]+Programacion[[#This Row],[DEVENGADO SEPTIEMBRE]]</f>
        <v>0</v>
      </c>
      <c r="AM136" s="19">
        <f>Programacion[[#This Row],[OCTUBRE]]+Programacion[[#This Row],[NOVIEMBRE]]+Programacion[[#This Row],[DICIEMBRE]]</f>
        <v>0</v>
      </c>
      <c r="AN136" s="20">
        <f>Programacion[[#This Row],[DEVENGADO OCTUBRE]]+Programacion[[#This Row],[DEVENGADO NOVIEMBRE]]+Programacion[[#This Row],[DEVENGADO DICIEMBRE]]</f>
        <v>0</v>
      </c>
      <c r="AO136" s="20">
        <f>Programacion[[#This Row],[ENERO]]+Programacion[[#This Row],[FEBRERO]]+Programacion[[#This Row],[MARZO]]+Programacion[[#This Row],[ABRIL]]+Programacion[[#This Row],[MAYO]]+Programacion[[#This Row],[JUNIO]]</f>
        <v>20000</v>
      </c>
      <c r="AP13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36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36" s="116"/>
    </row>
    <row r="137" spans="1:46" x14ac:dyDescent="0.25">
      <c r="A137" s="54" t="s">
        <v>137</v>
      </c>
      <c r="B137" s="55" t="s">
        <v>142</v>
      </c>
      <c r="C137" s="54" t="s">
        <v>56</v>
      </c>
      <c r="D137" s="56" t="s">
        <v>48</v>
      </c>
      <c r="E137" s="57">
        <v>3</v>
      </c>
      <c r="F137" s="58">
        <v>2.2999999999999998</v>
      </c>
      <c r="G137" s="56" t="s">
        <v>71</v>
      </c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>
        <v>5000</v>
      </c>
      <c r="S137" s="59">
        <v>5000</v>
      </c>
      <c r="T137" s="59">
        <v>5000</v>
      </c>
      <c r="U137" s="59">
        <v>5000</v>
      </c>
      <c r="V137" s="59">
        <v>5000</v>
      </c>
      <c r="W137" s="59"/>
      <c r="X137" s="59">
        <v>5000</v>
      </c>
      <c r="Y137" s="59"/>
      <c r="Z137" s="59">
        <v>5000</v>
      </c>
      <c r="AA137" s="59"/>
      <c r="AB137" s="59">
        <v>5000</v>
      </c>
      <c r="AC137" s="59"/>
      <c r="AD137" s="59">
        <v>5000</v>
      </c>
      <c r="AE137" s="59"/>
      <c r="AF13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37" s="19">
        <f>Programacion[[#This Row],[ENERO]]+Programacion[[#This Row],[FEBRERO]]+Programacion[[#This Row],[MARZO]]</f>
        <v>0</v>
      </c>
      <c r="AH137" s="19">
        <f>Programacion[[#This Row],[DEVENGADO ENERO]]+Programacion[[#This Row],[DEVENGADO FEBRERO]]+Programacion[[#This Row],[DEVENGADO MARZO]]</f>
        <v>0</v>
      </c>
      <c r="AI137" s="19">
        <f>Programacion[[#This Row],[ABRIL]]+Programacion[[#This Row],[MAYO]]+Programacion[[#This Row],[JUNIO]]</f>
        <v>5000</v>
      </c>
      <c r="AJ137" s="19">
        <f>Programacion[[#This Row],[DEVENGADO ABRIL]]+Programacion[[#This Row],[DEVENGADO MAYO]]+Programacion[[#This Row],[DEVENGADO JUNIO]]</f>
        <v>5000</v>
      </c>
      <c r="AK137" s="19">
        <f>Programacion[[#This Row],[JULIO]]+Programacion[[#This Row],[AGOSTO]]+Programacion[[#This Row],[SEPTIEMBRE]]</f>
        <v>15000</v>
      </c>
      <c r="AL137" s="19">
        <f>Programacion[[#This Row],[DEVENGADO JULIO]]+Programacion[[#This Row],[DEVENGADO AGOSTO]]+Programacion[[#This Row],[DEVENGADO SEPTIEMBRE]]</f>
        <v>5000</v>
      </c>
      <c r="AM137" s="19">
        <f>Programacion[[#This Row],[OCTUBRE]]+Programacion[[#This Row],[NOVIEMBRE]]+Programacion[[#This Row],[DICIEMBRE]]</f>
        <v>15000</v>
      </c>
      <c r="AN137" s="20">
        <f>Programacion[[#This Row],[DEVENGADO OCTUBRE]]+Programacion[[#This Row],[DEVENGADO NOVIEMBRE]]+Programacion[[#This Row],[DEVENGADO DICIEMBRE]]</f>
        <v>0</v>
      </c>
      <c r="AO137" s="20">
        <f>Programacion[[#This Row],[ENERO]]+Programacion[[#This Row],[FEBRERO]]+Programacion[[#This Row],[MARZO]]+Programacion[[#This Row],[ABRIL]]+Programacion[[#This Row],[MAYO]]+Programacion[[#This Row],[JUNIO]]</f>
        <v>5000</v>
      </c>
      <c r="AP13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37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3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3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37" s="116"/>
    </row>
    <row r="138" spans="1:46" ht="30" x14ac:dyDescent="0.25">
      <c r="A138" s="54" t="s">
        <v>137</v>
      </c>
      <c r="B138" s="55" t="s">
        <v>143</v>
      </c>
      <c r="C138" s="54" t="s">
        <v>56</v>
      </c>
      <c r="D138" s="56" t="s">
        <v>48</v>
      </c>
      <c r="E138" s="57">
        <v>3</v>
      </c>
      <c r="F138" s="58">
        <v>2.2999999999999998</v>
      </c>
      <c r="G138" s="56" t="s">
        <v>71</v>
      </c>
      <c r="H138" s="59"/>
      <c r="I138" s="59"/>
      <c r="J138" s="59"/>
      <c r="K138" s="59"/>
      <c r="L138" s="59">
        <v>10000</v>
      </c>
      <c r="M138" s="59">
        <v>10000</v>
      </c>
      <c r="N138" s="59">
        <v>5000</v>
      </c>
      <c r="O138" s="59">
        <v>5000</v>
      </c>
      <c r="P138" s="59">
        <v>5000</v>
      </c>
      <c r="Q138" s="59">
        <v>5000</v>
      </c>
      <c r="R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  <c r="AF13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38" s="19">
        <f>Programacion[[#This Row],[ENERO]]+Programacion[[#This Row],[FEBRERO]]+Programacion[[#This Row],[MARZO]]</f>
        <v>10000</v>
      </c>
      <c r="AH138" s="19">
        <f>Programacion[[#This Row],[DEVENGADO ENERO]]+Programacion[[#This Row],[DEVENGADO FEBRERO]]+Programacion[[#This Row],[DEVENGADO MARZO]]</f>
        <v>10000</v>
      </c>
      <c r="AI138" s="19">
        <f>Programacion[[#This Row],[ABRIL]]+Programacion[[#This Row],[MAYO]]+Programacion[[#This Row],[JUNIO]]</f>
        <v>10000</v>
      </c>
      <c r="AJ138" s="19">
        <f>Programacion[[#This Row],[DEVENGADO ABRIL]]+Programacion[[#This Row],[DEVENGADO MAYO]]+Programacion[[#This Row],[DEVENGADO JUNIO]]</f>
        <v>10000</v>
      </c>
      <c r="AK138" s="19">
        <f>Programacion[[#This Row],[JULIO]]+Programacion[[#This Row],[AGOSTO]]+Programacion[[#This Row],[SEPTIEMBRE]]</f>
        <v>0</v>
      </c>
      <c r="AL138" s="19">
        <f>Programacion[[#This Row],[DEVENGADO JULIO]]+Programacion[[#This Row],[DEVENGADO AGOSTO]]+Programacion[[#This Row],[DEVENGADO SEPTIEMBRE]]</f>
        <v>0</v>
      </c>
      <c r="AM138" s="19">
        <f>Programacion[[#This Row],[OCTUBRE]]+Programacion[[#This Row],[NOVIEMBRE]]+Programacion[[#This Row],[DICIEMBRE]]</f>
        <v>0</v>
      </c>
      <c r="AN138" s="20">
        <f>Programacion[[#This Row],[DEVENGADO OCTUBRE]]+Programacion[[#This Row],[DEVENGADO NOVIEMBRE]]+Programacion[[#This Row],[DEVENGADO DICIEMBRE]]</f>
        <v>0</v>
      </c>
      <c r="AO138" s="20">
        <f>Programacion[[#This Row],[ENERO]]+Programacion[[#This Row],[FEBRERO]]+Programacion[[#This Row],[MARZO]]+Programacion[[#This Row],[ABRIL]]+Programacion[[#This Row],[MAYO]]+Programacion[[#This Row],[JUNIO]]</f>
        <v>20000</v>
      </c>
      <c r="AP13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38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38" s="116"/>
    </row>
    <row r="139" spans="1:46" x14ac:dyDescent="0.25">
      <c r="A139" s="54" t="s">
        <v>137</v>
      </c>
      <c r="B139" s="55" t="s">
        <v>142</v>
      </c>
      <c r="C139" s="54" t="s">
        <v>56</v>
      </c>
      <c r="D139" s="56" t="s">
        <v>48</v>
      </c>
      <c r="E139" s="57">
        <v>3</v>
      </c>
      <c r="F139" s="58">
        <v>2.2999999999999998</v>
      </c>
      <c r="G139" s="56" t="s">
        <v>71</v>
      </c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>
        <v>5000</v>
      </c>
      <c r="S139" s="59">
        <v>5000</v>
      </c>
      <c r="T139" s="59">
        <v>5000</v>
      </c>
      <c r="U139" s="59">
        <v>5000</v>
      </c>
      <c r="V139" s="59">
        <v>5000</v>
      </c>
      <c r="W139" s="59"/>
      <c r="X139" s="59">
        <v>5000</v>
      </c>
      <c r="Y139" s="59"/>
      <c r="Z139" s="59">
        <v>5000</v>
      </c>
      <c r="AA139" s="59"/>
      <c r="AB139" s="59">
        <v>5000</v>
      </c>
      <c r="AC139" s="59"/>
      <c r="AD139" s="59">
        <v>5000</v>
      </c>
      <c r="AE139" s="59"/>
      <c r="AF13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39" s="19">
        <f>Programacion[[#This Row],[ENERO]]+Programacion[[#This Row],[FEBRERO]]+Programacion[[#This Row],[MARZO]]</f>
        <v>0</v>
      </c>
      <c r="AH139" s="19">
        <f>Programacion[[#This Row],[DEVENGADO ENERO]]+Programacion[[#This Row],[DEVENGADO FEBRERO]]+Programacion[[#This Row],[DEVENGADO MARZO]]</f>
        <v>0</v>
      </c>
      <c r="AI139" s="19">
        <f>Programacion[[#This Row],[ABRIL]]+Programacion[[#This Row],[MAYO]]+Programacion[[#This Row],[JUNIO]]</f>
        <v>5000</v>
      </c>
      <c r="AJ139" s="19">
        <f>Programacion[[#This Row],[DEVENGADO ABRIL]]+Programacion[[#This Row],[DEVENGADO MAYO]]+Programacion[[#This Row],[DEVENGADO JUNIO]]</f>
        <v>5000</v>
      </c>
      <c r="AK139" s="19">
        <f>Programacion[[#This Row],[JULIO]]+Programacion[[#This Row],[AGOSTO]]+Programacion[[#This Row],[SEPTIEMBRE]]</f>
        <v>15000</v>
      </c>
      <c r="AL139" s="19">
        <f>Programacion[[#This Row],[DEVENGADO JULIO]]+Programacion[[#This Row],[DEVENGADO AGOSTO]]+Programacion[[#This Row],[DEVENGADO SEPTIEMBRE]]</f>
        <v>5000</v>
      </c>
      <c r="AM139" s="19">
        <f>Programacion[[#This Row],[OCTUBRE]]+Programacion[[#This Row],[NOVIEMBRE]]+Programacion[[#This Row],[DICIEMBRE]]</f>
        <v>15000</v>
      </c>
      <c r="AN139" s="20">
        <f>Programacion[[#This Row],[DEVENGADO OCTUBRE]]+Programacion[[#This Row],[DEVENGADO NOVIEMBRE]]+Programacion[[#This Row],[DEVENGADO DICIEMBRE]]</f>
        <v>0</v>
      </c>
      <c r="AO139" s="20">
        <f>Programacion[[#This Row],[ENERO]]+Programacion[[#This Row],[FEBRERO]]+Programacion[[#This Row],[MARZO]]+Programacion[[#This Row],[ABRIL]]+Programacion[[#This Row],[MAYO]]+Programacion[[#This Row],[JUNIO]]</f>
        <v>5000</v>
      </c>
      <c r="AP13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39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3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3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39" s="116"/>
    </row>
    <row r="140" spans="1:46" x14ac:dyDescent="0.25">
      <c r="A140" s="54" t="s">
        <v>137</v>
      </c>
      <c r="B140" s="55" t="s">
        <v>144</v>
      </c>
      <c r="C140" s="54" t="s">
        <v>56</v>
      </c>
      <c r="D140" s="56" t="s">
        <v>48</v>
      </c>
      <c r="E140" s="57">
        <v>39</v>
      </c>
      <c r="F140" s="58">
        <v>2.2999999999999998</v>
      </c>
      <c r="G140" s="56" t="s">
        <v>71</v>
      </c>
      <c r="H140" s="59"/>
      <c r="I140" s="59"/>
      <c r="J140" s="59"/>
      <c r="K140" s="59"/>
      <c r="L140" s="59">
        <v>4000</v>
      </c>
      <c r="M140" s="59">
        <v>4000</v>
      </c>
      <c r="N140" s="59">
        <v>4000</v>
      </c>
      <c r="O140" s="59">
        <v>4000</v>
      </c>
      <c r="P140" s="59">
        <v>4000</v>
      </c>
      <c r="Q140" s="59">
        <v>4000</v>
      </c>
      <c r="R140" s="59">
        <v>4000</v>
      </c>
      <c r="S140" s="59">
        <v>4000</v>
      </c>
      <c r="T140" s="59">
        <v>4000</v>
      </c>
      <c r="U140" s="59">
        <v>4000</v>
      </c>
      <c r="V140" s="59">
        <v>4000</v>
      </c>
      <c r="W140" s="59"/>
      <c r="X140" s="59">
        <v>4000</v>
      </c>
      <c r="Y140" s="59"/>
      <c r="Z140" s="59">
        <v>4000</v>
      </c>
      <c r="AA140" s="59"/>
      <c r="AB140" s="59">
        <v>4000</v>
      </c>
      <c r="AC140" s="59"/>
      <c r="AD140" s="59">
        <v>4000</v>
      </c>
      <c r="AE140" s="59"/>
      <c r="AF14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140" s="19">
        <f>Programacion[[#This Row],[ENERO]]+Programacion[[#This Row],[FEBRERO]]+Programacion[[#This Row],[MARZO]]</f>
        <v>4000</v>
      </c>
      <c r="AH140" s="19">
        <f>Programacion[[#This Row],[DEVENGADO ENERO]]+Programacion[[#This Row],[DEVENGADO FEBRERO]]+Programacion[[#This Row],[DEVENGADO MARZO]]</f>
        <v>4000</v>
      </c>
      <c r="AI140" s="19">
        <f>Programacion[[#This Row],[ABRIL]]+Programacion[[#This Row],[MAYO]]+Programacion[[#This Row],[JUNIO]]</f>
        <v>12000</v>
      </c>
      <c r="AJ140" s="19">
        <f>Programacion[[#This Row],[DEVENGADO ABRIL]]+Programacion[[#This Row],[DEVENGADO MAYO]]+Programacion[[#This Row],[DEVENGADO JUNIO]]</f>
        <v>12000</v>
      </c>
      <c r="AK140" s="19">
        <f>Programacion[[#This Row],[JULIO]]+Programacion[[#This Row],[AGOSTO]]+Programacion[[#This Row],[SEPTIEMBRE]]</f>
        <v>12000</v>
      </c>
      <c r="AL140" s="19">
        <f>Programacion[[#This Row],[DEVENGADO JULIO]]+Programacion[[#This Row],[DEVENGADO AGOSTO]]+Programacion[[#This Row],[DEVENGADO SEPTIEMBRE]]</f>
        <v>4000</v>
      </c>
      <c r="AM140" s="19">
        <f>Programacion[[#This Row],[OCTUBRE]]+Programacion[[#This Row],[NOVIEMBRE]]+Programacion[[#This Row],[DICIEMBRE]]</f>
        <v>12000</v>
      </c>
      <c r="AN140" s="20">
        <f>Programacion[[#This Row],[DEVENGADO OCTUBRE]]+Programacion[[#This Row],[DEVENGADO NOVIEMBRE]]+Programacion[[#This Row],[DEVENGADO DICIEMBRE]]</f>
        <v>0</v>
      </c>
      <c r="AO140" s="20">
        <f>Programacion[[#This Row],[ENERO]]+Programacion[[#This Row],[FEBRERO]]+Programacion[[#This Row],[MARZO]]+Programacion[[#This Row],[ABRIL]]+Programacion[[#This Row],[MAYO]]+Programacion[[#This Row],[JUNIO]]</f>
        <v>16000</v>
      </c>
      <c r="AP14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40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4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4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40" s="116"/>
    </row>
    <row r="141" spans="1:46" x14ac:dyDescent="0.25">
      <c r="A141" s="54" t="s">
        <v>137</v>
      </c>
      <c r="B141" s="55" t="s">
        <v>145</v>
      </c>
      <c r="C141" s="54" t="s">
        <v>56</v>
      </c>
      <c r="D141" s="56" t="s">
        <v>48</v>
      </c>
      <c r="E141" s="57">
        <v>39</v>
      </c>
      <c r="F141" s="58">
        <v>2.2999999999999998</v>
      </c>
      <c r="G141" s="56" t="s">
        <v>71</v>
      </c>
      <c r="H141" s="59"/>
      <c r="I141" s="59"/>
      <c r="J141" s="59"/>
      <c r="K141" s="59"/>
      <c r="L141" s="59">
        <v>4000</v>
      </c>
      <c r="M141" s="59">
        <v>4000</v>
      </c>
      <c r="N141" s="59">
        <v>4000</v>
      </c>
      <c r="O141" s="59">
        <v>4000</v>
      </c>
      <c r="P141" s="59">
        <v>4000</v>
      </c>
      <c r="Q141" s="59">
        <v>4000</v>
      </c>
      <c r="R141" s="59">
        <v>4000</v>
      </c>
      <c r="S141" s="59">
        <v>4000</v>
      </c>
      <c r="T141" s="59">
        <v>4000</v>
      </c>
      <c r="U141" s="59">
        <v>4000</v>
      </c>
      <c r="V141" s="59">
        <v>4000</v>
      </c>
      <c r="W141" s="59"/>
      <c r="X141" s="59">
        <v>4000</v>
      </c>
      <c r="Y141" s="59"/>
      <c r="Z141" s="59">
        <v>4000</v>
      </c>
      <c r="AA141" s="59"/>
      <c r="AB141" s="59">
        <v>4000</v>
      </c>
      <c r="AC141" s="59"/>
      <c r="AD141" s="59">
        <v>4000</v>
      </c>
      <c r="AE141" s="59"/>
      <c r="AF14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141" s="19">
        <f>Programacion[[#This Row],[ENERO]]+Programacion[[#This Row],[FEBRERO]]+Programacion[[#This Row],[MARZO]]</f>
        <v>4000</v>
      </c>
      <c r="AH141" s="19">
        <f>Programacion[[#This Row],[DEVENGADO ENERO]]+Programacion[[#This Row],[DEVENGADO FEBRERO]]+Programacion[[#This Row],[DEVENGADO MARZO]]</f>
        <v>4000</v>
      </c>
      <c r="AI141" s="19">
        <f>Programacion[[#This Row],[ABRIL]]+Programacion[[#This Row],[MAYO]]+Programacion[[#This Row],[JUNIO]]</f>
        <v>12000</v>
      </c>
      <c r="AJ141" s="19">
        <f>Programacion[[#This Row],[DEVENGADO ABRIL]]+Programacion[[#This Row],[DEVENGADO MAYO]]+Programacion[[#This Row],[DEVENGADO JUNIO]]</f>
        <v>12000</v>
      </c>
      <c r="AK141" s="19">
        <f>Programacion[[#This Row],[JULIO]]+Programacion[[#This Row],[AGOSTO]]+Programacion[[#This Row],[SEPTIEMBRE]]</f>
        <v>12000</v>
      </c>
      <c r="AL141" s="19">
        <f>Programacion[[#This Row],[DEVENGADO JULIO]]+Programacion[[#This Row],[DEVENGADO AGOSTO]]+Programacion[[#This Row],[DEVENGADO SEPTIEMBRE]]</f>
        <v>4000</v>
      </c>
      <c r="AM141" s="19">
        <f>Programacion[[#This Row],[OCTUBRE]]+Programacion[[#This Row],[NOVIEMBRE]]+Programacion[[#This Row],[DICIEMBRE]]</f>
        <v>12000</v>
      </c>
      <c r="AN141" s="20">
        <f>Programacion[[#This Row],[DEVENGADO OCTUBRE]]+Programacion[[#This Row],[DEVENGADO NOVIEMBRE]]+Programacion[[#This Row],[DEVENGADO DICIEMBRE]]</f>
        <v>0</v>
      </c>
      <c r="AO141" s="20">
        <f>Programacion[[#This Row],[ENERO]]+Programacion[[#This Row],[FEBRERO]]+Programacion[[#This Row],[MARZO]]+Programacion[[#This Row],[ABRIL]]+Programacion[[#This Row],[MAYO]]+Programacion[[#This Row],[JUNIO]]</f>
        <v>16000</v>
      </c>
      <c r="AP14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41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4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4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41" s="116"/>
    </row>
    <row r="142" spans="1:46" ht="45" x14ac:dyDescent="0.25">
      <c r="A142" s="54" t="s">
        <v>137</v>
      </c>
      <c r="B142" s="55" t="s">
        <v>146</v>
      </c>
      <c r="C142" s="54" t="s">
        <v>56</v>
      </c>
      <c r="D142" s="56" t="s">
        <v>48</v>
      </c>
      <c r="E142" s="57">
        <v>39</v>
      </c>
      <c r="F142" s="58">
        <v>2.2999999999999998</v>
      </c>
      <c r="G142" s="56" t="s">
        <v>71</v>
      </c>
      <c r="H142" s="59"/>
      <c r="I142" s="59"/>
      <c r="J142" s="59"/>
      <c r="K142" s="59"/>
      <c r="L142" s="59">
        <v>10000</v>
      </c>
      <c r="M142" s="59">
        <v>10000</v>
      </c>
      <c r="N142" s="59">
        <v>5000</v>
      </c>
      <c r="O142" s="59">
        <v>5000</v>
      </c>
      <c r="P142" s="59">
        <v>5000</v>
      </c>
      <c r="Q142" s="59">
        <v>5000</v>
      </c>
      <c r="R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  <c r="AF14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42" s="19">
        <f>Programacion[[#This Row],[ENERO]]+Programacion[[#This Row],[FEBRERO]]+Programacion[[#This Row],[MARZO]]</f>
        <v>10000</v>
      </c>
      <c r="AH142" s="19">
        <f>Programacion[[#This Row],[DEVENGADO ENERO]]+Programacion[[#This Row],[DEVENGADO FEBRERO]]+Programacion[[#This Row],[DEVENGADO MARZO]]</f>
        <v>10000</v>
      </c>
      <c r="AI142" s="19">
        <f>Programacion[[#This Row],[ABRIL]]+Programacion[[#This Row],[MAYO]]+Programacion[[#This Row],[JUNIO]]</f>
        <v>10000</v>
      </c>
      <c r="AJ142" s="19">
        <f>Programacion[[#This Row],[DEVENGADO ABRIL]]+Programacion[[#This Row],[DEVENGADO MAYO]]+Programacion[[#This Row],[DEVENGADO JUNIO]]</f>
        <v>10000</v>
      </c>
      <c r="AK142" s="19">
        <f>Programacion[[#This Row],[JULIO]]+Programacion[[#This Row],[AGOSTO]]+Programacion[[#This Row],[SEPTIEMBRE]]</f>
        <v>0</v>
      </c>
      <c r="AL142" s="19">
        <f>Programacion[[#This Row],[DEVENGADO JULIO]]+Programacion[[#This Row],[DEVENGADO AGOSTO]]+Programacion[[#This Row],[DEVENGADO SEPTIEMBRE]]</f>
        <v>0</v>
      </c>
      <c r="AM142" s="19">
        <f>Programacion[[#This Row],[OCTUBRE]]+Programacion[[#This Row],[NOVIEMBRE]]+Programacion[[#This Row],[DICIEMBRE]]</f>
        <v>0</v>
      </c>
      <c r="AN142" s="20">
        <f>Programacion[[#This Row],[DEVENGADO OCTUBRE]]+Programacion[[#This Row],[DEVENGADO NOVIEMBRE]]+Programacion[[#This Row],[DEVENGADO DICIEMBRE]]</f>
        <v>0</v>
      </c>
      <c r="AO142" s="20">
        <f>Programacion[[#This Row],[ENERO]]+Programacion[[#This Row],[FEBRERO]]+Programacion[[#This Row],[MARZO]]+Programacion[[#This Row],[ABRIL]]+Programacion[[#This Row],[MAYO]]+Programacion[[#This Row],[JUNIO]]</f>
        <v>20000</v>
      </c>
      <c r="AP14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4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42" s="116"/>
    </row>
    <row r="143" spans="1:46" ht="45" x14ac:dyDescent="0.25">
      <c r="A143" s="54" t="s">
        <v>137</v>
      </c>
      <c r="B143" s="55" t="s">
        <v>147</v>
      </c>
      <c r="C143" s="54" t="s">
        <v>56</v>
      </c>
      <c r="D143" s="56" t="s">
        <v>48</v>
      </c>
      <c r="E143" s="57">
        <v>39</v>
      </c>
      <c r="F143" s="58">
        <v>2.2999999999999998</v>
      </c>
      <c r="G143" s="56" t="s">
        <v>71</v>
      </c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>
        <v>5000</v>
      </c>
      <c r="S143" s="59">
        <v>5000</v>
      </c>
      <c r="T143" s="59">
        <v>5000</v>
      </c>
      <c r="U143" s="59">
        <v>5000</v>
      </c>
      <c r="V143" s="59">
        <v>5000</v>
      </c>
      <c r="W143" s="59"/>
      <c r="X143" s="59">
        <v>5000</v>
      </c>
      <c r="Y143" s="59"/>
      <c r="Z143" s="59">
        <v>5000</v>
      </c>
      <c r="AA143" s="59"/>
      <c r="AB143" s="59">
        <v>5000</v>
      </c>
      <c r="AC143" s="59"/>
      <c r="AD143" s="59">
        <v>5000</v>
      </c>
      <c r="AE143" s="59"/>
      <c r="AF14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43" s="19">
        <f>Programacion[[#This Row],[ENERO]]+Programacion[[#This Row],[FEBRERO]]+Programacion[[#This Row],[MARZO]]</f>
        <v>0</v>
      </c>
      <c r="AH143" s="19">
        <f>Programacion[[#This Row],[DEVENGADO ENERO]]+Programacion[[#This Row],[DEVENGADO FEBRERO]]+Programacion[[#This Row],[DEVENGADO MARZO]]</f>
        <v>0</v>
      </c>
      <c r="AI143" s="19">
        <f>Programacion[[#This Row],[ABRIL]]+Programacion[[#This Row],[MAYO]]+Programacion[[#This Row],[JUNIO]]</f>
        <v>5000</v>
      </c>
      <c r="AJ143" s="19">
        <f>Programacion[[#This Row],[DEVENGADO ABRIL]]+Programacion[[#This Row],[DEVENGADO MAYO]]+Programacion[[#This Row],[DEVENGADO JUNIO]]</f>
        <v>5000</v>
      </c>
      <c r="AK143" s="19">
        <f>Programacion[[#This Row],[JULIO]]+Programacion[[#This Row],[AGOSTO]]+Programacion[[#This Row],[SEPTIEMBRE]]</f>
        <v>15000</v>
      </c>
      <c r="AL143" s="19">
        <f>Programacion[[#This Row],[DEVENGADO JULIO]]+Programacion[[#This Row],[DEVENGADO AGOSTO]]+Programacion[[#This Row],[DEVENGADO SEPTIEMBRE]]</f>
        <v>5000</v>
      </c>
      <c r="AM143" s="19">
        <f>Programacion[[#This Row],[OCTUBRE]]+Programacion[[#This Row],[NOVIEMBRE]]+Programacion[[#This Row],[DICIEMBRE]]</f>
        <v>15000</v>
      </c>
      <c r="AN143" s="20">
        <f>Programacion[[#This Row],[DEVENGADO OCTUBRE]]+Programacion[[#This Row],[DEVENGADO NOVIEMBRE]]+Programacion[[#This Row],[DEVENGADO DICIEMBRE]]</f>
        <v>0</v>
      </c>
      <c r="AO143" s="20">
        <f>Programacion[[#This Row],[ENERO]]+Programacion[[#This Row],[FEBRERO]]+Programacion[[#This Row],[MARZO]]+Programacion[[#This Row],[ABRIL]]+Programacion[[#This Row],[MAYO]]+Programacion[[#This Row],[JUNIO]]</f>
        <v>5000</v>
      </c>
      <c r="AP14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43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4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4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43" s="116"/>
    </row>
    <row r="144" spans="1:46" ht="45" x14ac:dyDescent="0.25">
      <c r="A144" s="54" t="s">
        <v>137</v>
      </c>
      <c r="B144" s="60" t="s">
        <v>148</v>
      </c>
      <c r="C144" s="54" t="s">
        <v>56</v>
      </c>
      <c r="D144" s="61" t="s">
        <v>48</v>
      </c>
      <c r="E144" s="62">
        <v>39</v>
      </c>
      <c r="F144" s="58">
        <v>2.2999999999999998</v>
      </c>
      <c r="G144" s="61" t="s">
        <v>71</v>
      </c>
      <c r="H144" s="63"/>
      <c r="I144" s="63"/>
      <c r="J144" s="63"/>
      <c r="K144" s="63"/>
      <c r="L144" s="63">
        <v>10000</v>
      </c>
      <c r="M144" s="63">
        <v>10000</v>
      </c>
      <c r="N144" s="63">
        <v>5000</v>
      </c>
      <c r="O144" s="63">
        <v>5000</v>
      </c>
      <c r="P144" s="63">
        <v>5000</v>
      </c>
      <c r="Q144" s="63">
        <v>5000</v>
      </c>
      <c r="R144" s="63"/>
      <c r="S144" s="63"/>
      <c r="T144" s="63"/>
      <c r="U144" s="63"/>
      <c r="V144" s="63"/>
      <c r="W144" s="63"/>
      <c r="X144" s="63"/>
      <c r="Y144" s="63"/>
      <c r="Z144" s="63"/>
      <c r="AA144" s="63"/>
      <c r="AB144" s="63"/>
      <c r="AC144" s="63"/>
      <c r="AD144" s="63"/>
      <c r="AE144" s="63"/>
      <c r="AF14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44" s="19">
        <f>Programacion[[#This Row],[ENERO]]+Programacion[[#This Row],[FEBRERO]]+Programacion[[#This Row],[MARZO]]</f>
        <v>10000</v>
      </c>
      <c r="AH144" s="19">
        <f>Programacion[[#This Row],[DEVENGADO ENERO]]+Programacion[[#This Row],[DEVENGADO FEBRERO]]+Programacion[[#This Row],[DEVENGADO MARZO]]</f>
        <v>10000</v>
      </c>
      <c r="AI144" s="19">
        <f>Programacion[[#This Row],[ABRIL]]+Programacion[[#This Row],[MAYO]]+Programacion[[#This Row],[JUNIO]]</f>
        <v>10000</v>
      </c>
      <c r="AJ144" s="19">
        <f>Programacion[[#This Row],[DEVENGADO ABRIL]]+Programacion[[#This Row],[DEVENGADO MAYO]]+Programacion[[#This Row],[DEVENGADO JUNIO]]</f>
        <v>10000</v>
      </c>
      <c r="AK144" s="19">
        <f>Programacion[[#This Row],[JULIO]]+Programacion[[#This Row],[AGOSTO]]+Programacion[[#This Row],[SEPTIEMBRE]]</f>
        <v>0</v>
      </c>
      <c r="AL144" s="19">
        <f>Programacion[[#This Row],[DEVENGADO JULIO]]+Programacion[[#This Row],[DEVENGADO AGOSTO]]+Programacion[[#This Row],[DEVENGADO SEPTIEMBRE]]</f>
        <v>0</v>
      </c>
      <c r="AM144" s="19">
        <f>Programacion[[#This Row],[OCTUBRE]]+Programacion[[#This Row],[NOVIEMBRE]]+Programacion[[#This Row],[DICIEMBRE]]</f>
        <v>0</v>
      </c>
      <c r="AN144" s="20">
        <f>Programacion[[#This Row],[DEVENGADO OCTUBRE]]+Programacion[[#This Row],[DEVENGADO NOVIEMBRE]]+Programacion[[#This Row],[DEVENGADO DICIEMBRE]]</f>
        <v>0</v>
      </c>
      <c r="AO144" s="20">
        <f>Programacion[[#This Row],[ENERO]]+Programacion[[#This Row],[FEBRERO]]+Programacion[[#This Row],[MARZO]]+Programacion[[#This Row],[ABRIL]]+Programacion[[#This Row],[MAYO]]+Programacion[[#This Row],[JUNIO]]</f>
        <v>20000</v>
      </c>
      <c r="AP14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4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44" s="116"/>
    </row>
    <row r="145" spans="1:46" ht="45" x14ac:dyDescent="0.25">
      <c r="A145" s="64" t="s">
        <v>137</v>
      </c>
      <c r="B145" s="65" t="s">
        <v>149</v>
      </c>
      <c r="C145" s="54" t="s">
        <v>56</v>
      </c>
      <c r="D145" s="66" t="s">
        <v>48</v>
      </c>
      <c r="E145" s="67">
        <v>39</v>
      </c>
      <c r="F145" s="68">
        <v>2.2999999999999998</v>
      </c>
      <c r="G145" s="69" t="s">
        <v>71</v>
      </c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>
        <v>5000</v>
      </c>
      <c r="S145" s="70">
        <v>5000</v>
      </c>
      <c r="T145" s="70">
        <v>5000</v>
      </c>
      <c r="U145" s="70">
        <v>5000</v>
      </c>
      <c r="V145" s="70">
        <v>5000</v>
      </c>
      <c r="W145" s="70"/>
      <c r="X145" s="70">
        <v>5000</v>
      </c>
      <c r="Y145" s="70"/>
      <c r="Z145" s="70">
        <v>5000</v>
      </c>
      <c r="AA145" s="70"/>
      <c r="AB145" s="70">
        <v>5000</v>
      </c>
      <c r="AC145" s="70"/>
      <c r="AD145" s="70">
        <v>5000</v>
      </c>
      <c r="AE145" s="70"/>
      <c r="AF14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45" s="19">
        <f>Programacion[[#This Row],[ENERO]]+Programacion[[#This Row],[FEBRERO]]+Programacion[[#This Row],[MARZO]]</f>
        <v>0</v>
      </c>
      <c r="AH145" s="19">
        <f>Programacion[[#This Row],[DEVENGADO ENERO]]+Programacion[[#This Row],[DEVENGADO FEBRERO]]+Programacion[[#This Row],[DEVENGADO MARZO]]</f>
        <v>0</v>
      </c>
      <c r="AI145" s="19">
        <f>Programacion[[#This Row],[ABRIL]]+Programacion[[#This Row],[MAYO]]+Programacion[[#This Row],[JUNIO]]</f>
        <v>5000</v>
      </c>
      <c r="AJ145" s="19">
        <f>Programacion[[#This Row],[DEVENGADO ABRIL]]+Programacion[[#This Row],[DEVENGADO MAYO]]+Programacion[[#This Row],[DEVENGADO JUNIO]]</f>
        <v>5000</v>
      </c>
      <c r="AK145" s="19">
        <f>Programacion[[#This Row],[JULIO]]+Programacion[[#This Row],[AGOSTO]]+Programacion[[#This Row],[SEPTIEMBRE]]</f>
        <v>15000</v>
      </c>
      <c r="AL145" s="19">
        <f>Programacion[[#This Row],[DEVENGADO JULIO]]+Programacion[[#This Row],[DEVENGADO AGOSTO]]+Programacion[[#This Row],[DEVENGADO SEPTIEMBRE]]</f>
        <v>5000</v>
      </c>
      <c r="AM145" s="19">
        <f>Programacion[[#This Row],[OCTUBRE]]+Programacion[[#This Row],[NOVIEMBRE]]+Programacion[[#This Row],[DICIEMBRE]]</f>
        <v>15000</v>
      </c>
      <c r="AN145" s="20">
        <f>Programacion[[#This Row],[DEVENGADO OCTUBRE]]+Programacion[[#This Row],[DEVENGADO NOVIEMBRE]]+Programacion[[#This Row],[DEVENGADO DICIEMBRE]]</f>
        <v>0</v>
      </c>
      <c r="AO145" s="20">
        <f>Programacion[[#This Row],[ENERO]]+Programacion[[#This Row],[FEBRERO]]+Programacion[[#This Row],[MARZO]]+Programacion[[#This Row],[ABRIL]]+Programacion[[#This Row],[MAYO]]+Programacion[[#This Row],[JUNIO]]</f>
        <v>5000</v>
      </c>
      <c r="AP14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45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4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4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45" s="116"/>
    </row>
    <row r="146" spans="1:46" x14ac:dyDescent="0.25">
      <c r="A146" s="135" t="s">
        <v>137</v>
      </c>
      <c r="B146" s="136" t="s">
        <v>248</v>
      </c>
      <c r="C146" s="135" t="s">
        <v>258</v>
      </c>
      <c r="D146" s="137" t="s">
        <v>48</v>
      </c>
      <c r="E146" s="136">
        <v>39</v>
      </c>
      <c r="F146" s="138">
        <v>23</v>
      </c>
      <c r="G146" s="136" t="s">
        <v>66</v>
      </c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>
        <v>7300</v>
      </c>
      <c r="W146" s="33"/>
      <c r="X146" s="33"/>
      <c r="Y146" s="33"/>
      <c r="Z146" s="33"/>
      <c r="AA146" s="33"/>
      <c r="AB146" s="33"/>
      <c r="AC146" s="33"/>
      <c r="AD146" s="33"/>
      <c r="AE146" s="33"/>
      <c r="AF14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7300</v>
      </c>
      <c r="AG146" s="33">
        <f>Programacion[[#This Row],[ENERO]]+Programacion[[#This Row],[FEBRERO]]+Programacion[[#This Row],[MARZO]]</f>
        <v>0</v>
      </c>
      <c r="AH146" s="33">
        <f>Programacion[[#This Row],[DEVENGADO ENERO]]+Programacion[[#This Row],[DEVENGADO FEBRERO]]+Programacion[[#This Row],[DEVENGADO MARZO]]</f>
        <v>0</v>
      </c>
      <c r="AI146" s="33">
        <f>Programacion[[#This Row],[ABRIL]]+Programacion[[#This Row],[MAYO]]+Programacion[[#This Row],[JUNIO]]</f>
        <v>0</v>
      </c>
      <c r="AJ146" s="33">
        <f>Programacion[[#This Row],[DEVENGADO ABRIL]]+Programacion[[#This Row],[DEVENGADO MAYO]]+Programacion[[#This Row],[DEVENGADO JUNIO]]</f>
        <v>0</v>
      </c>
      <c r="AK146" s="33">
        <f>Programacion[[#This Row],[JULIO]]+Programacion[[#This Row],[AGOSTO]]+Programacion[[#This Row],[SEPTIEMBRE]]</f>
        <v>7300</v>
      </c>
      <c r="AL146" s="33">
        <f>Programacion[[#This Row],[DEVENGADO JULIO]]+Programacion[[#This Row],[DEVENGADO AGOSTO]]+Programacion[[#This Row],[DEVENGADO SEPTIEMBRE]]</f>
        <v>0</v>
      </c>
      <c r="AM146" s="33">
        <f>Programacion[[#This Row],[OCTUBRE]]+Programacion[[#This Row],[NOVIEMBRE]]+Programacion[[#This Row],[DICIEMBRE]]</f>
        <v>0</v>
      </c>
      <c r="AN146" s="21">
        <f>Programacion[[#This Row],[DEVENGADO OCTUBRE]]+Programacion[[#This Row],[DEVENGADO NOVIEMBRE]]+Programacion[[#This Row],[DEVENGADO DICIEMBRE]]</f>
        <v>0</v>
      </c>
      <c r="AO146" s="21">
        <f>Programacion[[#This Row],[ENERO]]+Programacion[[#This Row],[FEBRERO]]+Programacion[[#This Row],[MARZO]]+Programacion[[#This Row],[ABRIL]]+Programacion[[#This Row],[MAYO]]+Programacion[[#This Row],[JUNIO]]</f>
        <v>0</v>
      </c>
      <c r="AP14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6" s="21">
        <f>Programacion[[#This Row],[JULIO]]+Programacion[[#This Row],[AGOSTO]]+Programacion[[#This Row],[SEPTIEMBRE]]+Programacion[[#This Row],[OCTUBRE]]+Programacion[[#This Row],[NOVIEMBRE]]+Programacion[[#This Row],[DICIEMBRE]]</f>
        <v>7300</v>
      </c>
      <c r="AR14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46" s="116"/>
    </row>
    <row r="147" spans="1:46" x14ac:dyDescent="0.25">
      <c r="A147" s="135" t="s">
        <v>137</v>
      </c>
      <c r="B147" s="136" t="s">
        <v>290</v>
      </c>
      <c r="C147" s="135" t="s">
        <v>258</v>
      </c>
      <c r="D147" s="137" t="s">
        <v>48</v>
      </c>
      <c r="E147" s="136">
        <v>39</v>
      </c>
      <c r="F147" s="138">
        <v>23</v>
      </c>
      <c r="G147" s="136" t="s">
        <v>66</v>
      </c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>
        <v>2147</v>
      </c>
      <c r="AE147" s="33"/>
      <c r="AF14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2147</v>
      </c>
      <c r="AG147" s="33">
        <f>Programacion[[#This Row],[ENERO]]+Programacion[[#This Row],[FEBRERO]]+Programacion[[#This Row],[MARZO]]</f>
        <v>0</v>
      </c>
      <c r="AH147" s="33">
        <f>Programacion[[#This Row],[DEVENGADO ENERO]]+Programacion[[#This Row],[DEVENGADO FEBRERO]]+Programacion[[#This Row],[DEVENGADO MARZO]]</f>
        <v>0</v>
      </c>
      <c r="AI147" s="33">
        <f>Programacion[[#This Row],[ABRIL]]+Programacion[[#This Row],[MAYO]]+Programacion[[#This Row],[JUNIO]]</f>
        <v>0</v>
      </c>
      <c r="AJ147" s="33">
        <f>Programacion[[#This Row],[DEVENGADO ABRIL]]+Programacion[[#This Row],[DEVENGADO MAYO]]+Programacion[[#This Row],[DEVENGADO JUNIO]]</f>
        <v>0</v>
      </c>
      <c r="AK147" s="33">
        <f>Programacion[[#This Row],[JULIO]]+Programacion[[#This Row],[AGOSTO]]+Programacion[[#This Row],[SEPTIEMBRE]]</f>
        <v>0</v>
      </c>
      <c r="AL147" s="33">
        <f>Programacion[[#This Row],[DEVENGADO JULIO]]+Programacion[[#This Row],[DEVENGADO AGOSTO]]+Programacion[[#This Row],[DEVENGADO SEPTIEMBRE]]</f>
        <v>0</v>
      </c>
      <c r="AM147" s="33">
        <f>Programacion[[#This Row],[OCTUBRE]]+Programacion[[#This Row],[NOVIEMBRE]]+Programacion[[#This Row],[DICIEMBRE]]</f>
        <v>2147</v>
      </c>
      <c r="AN147" s="21">
        <f>Programacion[[#This Row],[DEVENGADO OCTUBRE]]+Programacion[[#This Row],[DEVENGADO NOVIEMBRE]]+Programacion[[#This Row],[DEVENGADO DICIEMBRE]]</f>
        <v>0</v>
      </c>
      <c r="AO147" s="21">
        <f>Programacion[[#This Row],[ENERO]]+Programacion[[#This Row],[FEBRERO]]+Programacion[[#This Row],[MARZO]]+Programacion[[#This Row],[ABRIL]]+Programacion[[#This Row],[MAYO]]+Programacion[[#This Row],[JUNIO]]</f>
        <v>0</v>
      </c>
      <c r="AP14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7" s="21">
        <f>Programacion[[#This Row],[JULIO]]+Programacion[[#This Row],[AGOSTO]]+Programacion[[#This Row],[SEPTIEMBRE]]+Programacion[[#This Row],[OCTUBRE]]+Programacion[[#This Row],[NOVIEMBRE]]+Programacion[[#This Row],[DICIEMBRE]]</f>
        <v>2147</v>
      </c>
      <c r="AR14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47" s="116"/>
    </row>
    <row r="148" spans="1:46" x14ac:dyDescent="0.25">
      <c r="A148" s="71" t="s">
        <v>137</v>
      </c>
      <c r="B148" s="72" t="s">
        <v>150</v>
      </c>
      <c r="C148" s="54" t="s">
        <v>81</v>
      </c>
      <c r="D148" s="73" t="s">
        <v>48</v>
      </c>
      <c r="E148" s="73">
        <v>39</v>
      </c>
      <c r="F148" s="74">
        <v>2.6</v>
      </c>
      <c r="G148" s="71" t="s">
        <v>121</v>
      </c>
      <c r="H148" s="75"/>
      <c r="I148" s="75"/>
      <c r="J148" s="75"/>
      <c r="K148" s="75"/>
      <c r="L148" s="75"/>
      <c r="M148" s="75"/>
      <c r="N148" s="75"/>
      <c r="O148" s="75"/>
      <c r="P148" s="75"/>
      <c r="Q148" s="75"/>
      <c r="R148" s="75"/>
      <c r="S148" s="75"/>
      <c r="T148" s="75"/>
      <c r="U148" s="75"/>
      <c r="V148" s="75">
        <v>15587.09</v>
      </c>
      <c r="W148" s="75">
        <v>15587.09</v>
      </c>
      <c r="X148" s="75"/>
      <c r="Y148" s="75"/>
      <c r="Z148" s="75"/>
      <c r="AA148" s="75"/>
      <c r="AB148" s="75"/>
      <c r="AC148" s="75"/>
      <c r="AD148" s="75">
        <v>18965.91</v>
      </c>
      <c r="AE148" s="75"/>
      <c r="AF14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34553</v>
      </c>
      <c r="AG148" s="19">
        <f>Programacion[[#This Row],[ENERO]]+Programacion[[#This Row],[FEBRERO]]+Programacion[[#This Row],[MARZO]]</f>
        <v>0</v>
      </c>
      <c r="AH148" s="19">
        <f>Programacion[[#This Row],[DEVENGADO ENERO]]+Programacion[[#This Row],[DEVENGADO FEBRERO]]+Programacion[[#This Row],[DEVENGADO MARZO]]</f>
        <v>0</v>
      </c>
      <c r="AI148" s="19">
        <f>Programacion[[#This Row],[ABRIL]]+Programacion[[#This Row],[MAYO]]+Programacion[[#This Row],[JUNIO]]</f>
        <v>0</v>
      </c>
      <c r="AJ148" s="19">
        <f>Programacion[[#This Row],[DEVENGADO ABRIL]]+Programacion[[#This Row],[DEVENGADO MAYO]]+Programacion[[#This Row],[DEVENGADO JUNIO]]</f>
        <v>0</v>
      </c>
      <c r="AK148" s="19">
        <f>Programacion[[#This Row],[JULIO]]+Programacion[[#This Row],[AGOSTO]]+Programacion[[#This Row],[SEPTIEMBRE]]</f>
        <v>15587.09</v>
      </c>
      <c r="AL148" s="19">
        <f>Programacion[[#This Row],[DEVENGADO JULIO]]+Programacion[[#This Row],[DEVENGADO AGOSTO]]+Programacion[[#This Row],[DEVENGADO SEPTIEMBRE]]</f>
        <v>15587.09</v>
      </c>
      <c r="AM148" s="19">
        <f>Programacion[[#This Row],[OCTUBRE]]+Programacion[[#This Row],[NOVIEMBRE]]+Programacion[[#This Row],[DICIEMBRE]]</f>
        <v>18965.91</v>
      </c>
      <c r="AN148" s="20">
        <f>Programacion[[#This Row],[DEVENGADO OCTUBRE]]+Programacion[[#This Row],[DEVENGADO NOVIEMBRE]]+Programacion[[#This Row],[DEVENGADO DICIEMBRE]]</f>
        <v>0</v>
      </c>
      <c r="AO148" s="20">
        <f>Programacion[[#This Row],[ENERO]]+Programacion[[#This Row],[FEBRERO]]+Programacion[[#This Row],[MARZO]]+Programacion[[#This Row],[ABRIL]]+Programacion[[#This Row],[MAYO]]+Programacion[[#This Row],[JUNIO]]</f>
        <v>0</v>
      </c>
      <c r="AP14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8" s="20">
        <f>Programacion[[#This Row],[JULIO]]+Programacion[[#This Row],[AGOSTO]]+Programacion[[#This Row],[SEPTIEMBRE]]+Programacion[[#This Row],[OCTUBRE]]+Programacion[[#This Row],[NOVIEMBRE]]+Programacion[[#This Row],[DICIEMBRE]]</f>
        <v>34553</v>
      </c>
      <c r="AR14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15587.09</v>
      </c>
      <c r="AS14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15587.09</v>
      </c>
      <c r="AT148" s="116"/>
    </row>
    <row r="149" spans="1:46" x14ac:dyDescent="0.25">
      <c r="A149" s="135" t="s">
        <v>137</v>
      </c>
      <c r="B149" s="135" t="s">
        <v>272</v>
      </c>
      <c r="C149" s="136" t="s">
        <v>262</v>
      </c>
      <c r="D149" s="136" t="s">
        <v>48</v>
      </c>
      <c r="E149" s="136">
        <v>3</v>
      </c>
      <c r="F149" s="139">
        <v>26</v>
      </c>
      <c r="G149" s="136" t="s">
        <v>273</v>
      </c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>
        <v>44000</v>
      </c>
      <c r="AC149" s="33"/>
      <c r="AD149" s="33"/>
      <c r="AE149" s="33"/>
      <c r="AF14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44000</v>
      </c>
      <c r="AG149" s="33">
        <f>Programacion[[#This Row],[ENERO]]+Programacion[[#This Row],[FEBRERO]]+Programacion[[#This Row],[MARZO]]</f>
        <v>0</v>
      </c>
      <c r="AH149" s="33">
        <f>Programacion[[#This Row],[DEVENGADO ENERO]]+Programacion[[#This Row],[DEVENGADO FEBRERO]]+Programacion[[#This Row],[DEVENGADO MARZO]]</f>
        <v>0</v>
      </c>
      <c r="AI149" s="33">
        <f>Programacion[[#This Row],[ABRIL]]+Programacion[[#This Row],[MAYO]]+Programacion[[#This Row],[JUNIO]]</f>
        <v>0</v>
      </c>
      <c r="AJ149" s="33">
        <f>Programacion[[#This Row],[DEVENGADO ABRIL]]+Programacion[[#This Row],[DEVENGADO MAYO]]+Programacion[[#This Row],[DEVENGADO JUNIO]]</f>
        <v>0</v>
      </c>
      <c r="AK149" s="33">
        <f>Programacion[[#This Row],[JULIO]]+Programacion[[#This Row],[AGOSTO]]+Programacion[[#This Row],[SEPTIEMBRE]]</f>
        <v>0</v>
      </c>
      <c r="AL149" s="33">
        <f>Programacion[[#This Row],[DEVENGADO JULIO]]+Programacion[[#This Row],[DEVENGADO AGOSTO]]+Programacion[[#This Row],[DEVENGADO SEPTIEMBRE]]</f>
        <v>0</v>
      </c>
      <c r="AM149" s="33">
        <f>Programacion[[#This Row],[OCTUBRE]]+Programacion[[#This Row],[NOVIEMBRE]]+Programacion[[#This Row],[DICIEMBRE]]</f>
        <v>44000</v>
      </c>
      <c r="AN149" s="21">
        <f>Programacion[[#This Row],[DEVENGADO OCTUBRE]]+Programacion[[#This Row],[DEVENGADO NOVIEMBRE]]+Programacion[[#This Row],[DEVENGADO DICIEMBRE]]</f>
        <v>0</v>
      </c>
      <c r="AO149" s="21">
        <f>Programacion[[#This Row],[ENERO]]+Programacion[[#This Row],[FEBRERO]]+Programacion[[#This Row],[MARZO]]+Programacion[[#This Row],[ABRIL]]+Programacion[[#This Row],[MAYO]]+Programacion[[#This Row],[JUNIO]]</f>
        <v>0</v>
      </c>
      <c r="AP14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9" s="21">
        <f>Programacion[[#This Row],[JULIO]]+Programacion[[#This Row],[AGOSTO]]+Programacion[[#This Row],[SEPTIEMBRE]]+Programacion[[#This Row],[OCTUBRE]]+Programacion[[#This Row],[NOVIEMBRE]]+Programacion[[#This Row],[DICIEMBRE]]</f>
        <v>44000</v>
      </c>
      <c r="AR14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49" s="116"/>
    </row>
    <row r="150" spans="1:46" x14ac:dyDescent="0.25">
      <c r="A150" s="76" t="s">
        <v>137</v>
      </c>
      <c r="B150" s="65" t="s">
        <v>151</v>
      </c>
      <c r="C150" s="54" t="s">
        <v>115</v>
      </c>
      <c r="D150" s="54" t="s">
        <v>48</v>
      </c>
      <c r="E150" s="54">
        <v>39</v>
      </c>
      <c r="F150" s="77">
        <v>2.2999999999999998</v>
      </c>
      <c r="G150" s="76" t="s">
        <v>116</v>
      </c>
      <c r="H150" s="78"/>
      <c r="I150" s="78"/>
      <c r="J150" s="78"/>
      <c r="K150" s="78"/>
      <c r="L150" s="78"/>
      <c r="M150" s="78"/>
      <c r="N150" s="78"/>
      <c r="O150" s="78"/>
      <c r="P150" s="78"/>
      <c r="Q150" s="78"/>
      <c r="R150" s="78"/>
      <c r="S150" s="78"/>
      <c r="T150" s="78"/>
      <c r="U150" s="78"/>
      <c r="V150" s="78"/>
      <c r="W150" s="78"/>
      <c r="X150" s="78"/>
      <c r="Y150" s="78"/>
      <c r="Z150" s="78"/>
      <c r="AA150" s="78"/>
      <c r="AB150" s="78">
        <v>42500</v>
      </c>
      <c r="AC150" s="78"/>
      <c r="AD150" s="78"/>
      <c r="AE150" s="78"/>
      <c r="AF15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42500</v>
      </c>
      <c r="AG150" s="19">
        <f>Programacion[[#This Row],[ENERO]]+Programacion[[#This Row],[FEBRERO]]+Programacion[[#This Row],[MARZO]]</f>
        <v>0</v>
      </c>
      <c r="AH150" s="19">
        <f>Programacion[[#This Row],[DEVENGADO ENERO]]+Programacion[[#This Row],[DEVENGADO FEBRERO]]+Programacion[[#This Row],[DEVENGADO MARZO]]</f>
        <v>0</v>
      </c>
      <c r="AI150" s="19">
        <f>Programacion[[#This Row],[ABRIL]]+Programacion[[#This Row],[MAYO]]+Programacion[[#This Row],[JUNIO]]</f>
        <v>0</v>
      </c>
      <c r="AJ150" s="19">
        <f>Programacion[[#This Row],[DEVENGADO ABRIL]]+Programacion[[#This Row],[DEVENGADO MAYO]]+Programacion[[#This Row],[DEVENGADO JUNIO]]</f>
        <v>0</v>
      </c>
      <c r="AK150" s="19">
        <f>Programacion[[#This Row],[JULIO]]+Programacion[[#This Row],[AGOSTO]]+Programacion[[#This Row],[SEPTIEMBRE]]</f>
        <v>0</v>
      </c>
      <c r="AL150" s="19">
        <f>Programacion[[#This Row],[DEVENGADO JULIO]]+Programacion[[#This Row],[DEVENGADO AGOSTO]]+Programacion[[#This Row],[DEVENGADO SEPTIEMBRE]]</f>
        <v>0</v>
      </c>
      <c r="AM150" s="19">
        <f>Programacion[[#This Row],[OCTUBRE]]+Programacion[[#This Row],[NOVIEMBRE]]+Programacion[[#This Row],[DICIEMBRE]]</f>
        <v>42500</v>
      </c>
      <c r="AN150" s="20">
        <f>Programacion[[#This Row],[DEVENGADO OCTUBRE]]+Programacion[[#This Row],[DEVENGADO NOVIEMBRE]]+Programacion[[#This Row],[DEVENGADO DICIEMBRE]]</f>
        <v>0</v>
      </c>
      <c r="AO150" s="20">
        <f>Programacion[[#This Row],[ENERO]]+Programacion[[#This Row],[FEBRERO]]+Programacion[[#This Row],[MARZO]]+Programacion[[#This Row],[ABRIL]]+Programacion[[#This Row],[MAYO]]+Programacion[[#This Row],[JUNIO]]</f>
        <v>0</v>
      </c>
      <c r="AP15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0" s="20">
        <f>Programacion[[#This Row],[JULIO]]+Programacion[[#This Row],[AGOSTO]]+Programacion[[#This Row],[SEPTIEMBRE]]+Programacion[[#This Row],[OCTUBRE]]+Programacion[[#This Row],[NOVIEMBRE]]+Programacion[[#This Row],[DICIEMBRE]]</f>
        <v>42500</v>
      </c>
      <c r="AR15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0" s="116"/>
    </row>
    <row r="151" spans="1:46" ht="45" x14ac:dyDescent="0.25">
      <c r="A151" s="79" t="s">
        <v>152</v>
      </c>
      <c r="B151" s="80" t="s">
        <v>153</v>
      </c>
      <c r="C151" s="81" t="s">
        <v>56</v>
      </c>
      <c r="D151" s="81" t="s">
        <v>154</v>
      </c>
      <c r="E151" s="82">
        <v>34</v>
      </c>
      <c r="F151" s="83">
        <v>2.2999999999999998</v>
      </c>
      <c r="G151" s="81" t="s">
        <v>57</v>
      </c>
      <c r="H151" s="81"/>
      <c r="I151" s="84"/>
      <c r="J151" s="84"/>
      <c r="K151" s="84"/>
      <c r="L151" s="84">
        <v>7000</v>
      </c>
      <c r="M151" s="84">
        <v>7000</v>
      </c>
      <c r="N151" s="84">
        <v>7000</v>
      </c>
      <c r="O151" s="84">
        <v>7000</v>
      </c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5"/>
      <c r="AB151" s="86"/>
      <c r="AC151" s="86"/>
      <c r="AD151" s="86"/>
      <c r="AE151" s="86"/>
      <c r="AF151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151" s="88">
        <f>Programacion[[#This Row],[ENERO]]+Programacion[[#This Row],[FEBRERO]]+Programacion[[#This Row],[MARZO]]</f>
        <v>7000</v>
      </c>
      <c r="AH151" s="88">
        <f>Programacion[[#This Row],[DEVENGADO ENERO]]+Programacion[[#This Row],[DEVENGADO FEBRERO]]+Programacion[[#This Row],[DEVENGADO MARZO]]</f>
        <v>7000</v>
      </c>
      <c r="AI151" s="88">
        <f>Programacion[[#This Row],[ABRIL]]+Programacion[[#This Row],[MAYO]]+Programacion[[#This Row],[JUNIO]]</f>
        <v>7000</v>
      </c>
      <c r="AJ151" s="88">
        <f>Programacion[[#This Row],[DEVENGADO ABRIL]]+Programacion[[#This Row],[DEVENGADO MAYO]]+Programacion[[#This Row],[DEVENGADO JUNIO]]</f>
        <v>7000</v>
      </c>
      <c r="AK151" s="88">
        <f>Programacion[[#This Row],[JULIO]]+Programacion[[#This Row],[AGOSTO]]+Programacion[[#This Row],[SEPTIEMBRE]]</f>
        <v>0</v>
      </c>
      <c r="AL151" s="88">
        <f>Programacion[[#This Row],[DEVENGADO JULIO]]+Programacion[[#This Row],[DEVENGADO AGOSTO]]+Programacion[[#This Row],[DEVENGADO SEPTIEMBRE]]</f>
        <v>0</v>
      </c>
      <c r="AM151" s="88">
        <f>Programacion[[#This Row],[OCTUBRE]]+Programacion[[#This Row],[NOVIEMBRE]]+Programacion[[#This Row],[DICIEMBRE]]</f>
        <v>0</v>
      </c>
      <c r="AN151" s="89">
        <f>Programacion[[#This Row],[DEVENGADO OCTUBRE]]+Programacion[[#This Row],[DEVENGADO NOVIEMBRE]]+Programacion[[#This Row],[DEVENGADO DICIEMBRE]]</f>
        <v>0</v>
      </c>
      <c r="AO151" s="89">
        <f>Programacion[[#This Row],[ENERO]]+Programacion[[#This Row],[FEBRERO]]+Programacion[[#This Row],[MARZO]]+Programacion[[#This Row],[ABRIL]]+Programacion[[#This Row],[MAYO]]+Programacion[[#This Row],[JUNIO]]</f>
        <v>14000</v>
      </c>
      <c r="AP151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14000</v>
      </c>
      <c r="AQ151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1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T151" s="116"/>
    </row>
    <row r="152" spans="1:46" x14ac:dyDescent="0.25">
      <c r="A152" s="79" t="s">
        <v>152</v>
      </c>
      <c r="B152" s="90" t="s">
        <v>155</v>
      </c>
      <c r="C152" s="91" t="s">
        <v>47</v>
      </c>
      <c r="D152" s="81" t="s">
        <v>154</v>
      </c>
      <c r="E152" s="92">
        <v>34</v>
      </c>
      <c r="F152" s="93">
        <v>2.2999999999999998</v>
      </c>
      <c r="G152" s="94" t="s">
        <v>49</v>
      </c>
      <c r="H152" s="88"/>
      <c r="I152" s="88"/>
      <c r="J152" s="88"/>
      <c r="K152" s="88"/>
      <c r="L152" s="88"/>
      <c r="M152" s="88"/>
      <c r="N152" s="88"/>
      <c r="O152" s="88"/>
      <c r="P152" s="88">
        <v>3564.19</v>
      </c>
      <c r="Q152" s="88">
        <v>3564.19</v>
      </c>
      <c r="R152" s="88"/>
      <c r="S152" s="88"/>
      <c r="T152" s="88"/>
      <c r="U152" s="88"/>
      <c r="V152" s="88"/>
      <c r="W152" s="88"/>
      <c r="X152" s="88"/>
      <c r="Y152" s="88"/>
      <c r="Z152" s="88"/>
      <c r="AA152" s="88"/>
      <c r="AB152" s="88"/>
      <c r="AC152" s="88"/>
      <c r="AD152" s="88"/>
      <c r="AE152" s="88"/>
      <c r="AF152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3564.19</v>
      </c>
      <c r="AG152" s="88">
        <f>Programacion[[#This Row],[ENERO]]+Programacion[[#This Row],[FEBRERO]]+Programacion[[#This Row],[MARZO]]</f>
        <v>0</v>
      </c>
      <c r="AH152" s="88">
        <f>Programacion[[#This Row],[DEVENGADO ENERO]]+Programacion[[#This Row],[DEVENGADO FEBRERO]]+Programacion[[#This Row],[DEVENGADO MARZO]]</f>
        <v>0</v>
      </c>
      <c r="AI152" s="88">
        <f>Programacion[[#This Row],[ABRIL]]+Programacion[[#This Row],[MAYO]]+Programacion[[#This Row],[JUNIO]]</f>
        <v>3564.19</v>
      </c>
      <c r="AJ152" s="88">
        <f>Programacion[[#This Row],[DEVENGADO ABRIL]]+Programacion[[#This Row],[DEVENGADO MAYO]]+Programacion[[#This Row],[DEVENGADO JUNIO]]</f>
        <v>3564.19</v>
      </c>
      <c r="AK152" s="88">
        <f>Programacion[[#This Row],[JULIO]]+Programacion[[#This Row],[AGOSTO]]+Programacion[[#This Row],[SEPTIEMBRE]]</f>
        <v>0</v>
      </c>
      <c r="AL152" s="88">
        <f>Programacion[[#This Row],[DEVENGADO JULIO]]+Programacion[[#This Row],[DEVENGADO AGOSTO]]+Programacion[[#This Row],[DEVENGADO SEPTIEMBRE]]</f>
        <v>0</v>
      </c>
      <c r="AM152" s="88">
        <f>Programacion[[#This Row],[OCTUBRE]]+Programacion[[#This Row],[NOVIEMBRE]]+Programacion[[#This Row],[DICIEMBRE]]</f>
        <v>0</v>
      </c>
      <c r="AN152" s="88">
        <f>Programacion[[#This Row],[DEVENGADO OCTUBRE]]+Programacion[[#This Row],[DEVENGADO NOVIEMBRE]]+Programacion[[#This Row],[DEVENGADO DICIEMBRE]]</f>
        <v>0</v>
      </c>
      <c r="AO152" s="88">
        <f>Programacion[[#This Row],[ENERO]]+Programacion[[#This Row],[FEBRERO]]+Programacion[[#This Row],[MARZO]]+Programacion[[#This Row],[ABRIL]]+Programacion[[#This Row],[MAYO]]+Programacion[[#This Row],[JUNIO]]</f>
        <v>3564.19</v>
      </c>
      <c r="AP152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3564.19</v>
      </c>
      <c r="AQ152" s="88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2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3564.19</v>
      </c>
      <c r="AT152" s="116"/>
    </row>
    <row r="153" spans="1:46" x14ac:dyDescent="0.25">
      <c r="A153" s="79" t="s">
        <v>152</v>
      </c>
      <c r="B153" s="90" t="s">
        <v>156</v>
      </c>
      <c r="C153" s="91" t="s">
        <v>47</v>
      </c>
      <c r="D153" s="81" t="s">
        <v>154</v>
      </c>
      <c r="E153" s="92">
        <v>34</v>
      </c>
      <c r="F153" s="93">
        <v>2.2999999999999998</v>
      </c>
      <c r="G153" s="94" t="s">
        <v>51</v>
      </c>
      <c r="H153" s="88"/>
      <c r="I153" s="88"/>
      <c r="J153" s="88"/>
      <c r="K153" s="88"/>
      <c r="L153" s="88"/>
      <c r="M153" s="88"/>
      <c r="N153" s="88"/>
      <c r="O153" s="88"/>
      <c r="P153" s="88">
        <v>1806</v>
      </c>
      <c r="Q153" s="88">
        <v>1806</v>
      </c>
      <c r="R153" s="88">
        <v>-317</v>
      </c>
      <c r="S153" s="88"/>
      <c r="T153" s="88"/>
      <c r="U153" s="88"/>
      <c r="V153" s="88"/>
      <c r="W153" s="88"/>
      <c r="X153" s="88"/>
      <c r="Y153" s="88"/>
      <c r="Z153" s="88"/>
      <c r="AA153" s="88"/>
      <c r="AB153" s="88"/>
      <c r="AC153" s="88"/>
      <c r="AD153" s="88"/>
      <c r="AE153" s="88"/>
      <c r="AF153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1489</v>
      </c>
      <c r="AG153" s="88">
        <f>Programacion[[#This Row],[ENERO]]+Programacion[[#This Row],[FEBRERO]]+Programacion[[#This Row],[MARZO]]</f>
        <v>0</v>
      </c>
      <c r="AH153" s="88">
        <f>Programacion[[#This Row],[DEVENGADO ENERO]]+Programacion[[#This Row],[DEVENGADO FEBRERO]]+Programacion[[#This Row],[DEVENGADO MARZO]]</f>
        <v>0</v>
      </c>
      <c r="AI153" s="88">
        <f>Programacion[[#This Row],[ABRIL]]+Programacion[[#This Row],[MAYO]]+Programacion[[#This Row],[JUNIO]]</f>
        <v>1489</v>
      </c>
      <c r="AJ153" s="88">
        <f>Programacion[[#This Row],[DEVENGADO ABRIL]]+Programacion[[#This Row],[DEVENGADO MAYO]]+Programacion[[#This Row],[DEVENGADO JUNIO]]</f>
        <v>1806</v>
      </c>
      <c r="AK153" s="88">
        <f>Programacion[[#This Row],[JULIO]]+Programacion[[#This Row],[AGOSTO]]+Programacion[[#This Row],[SEPTIEMBRE]]</f>
        <v>0</v>
      </c>
      <c r="AL153" s="88">
        <f>Programacion[[#This Row],[DEVENGADO JULIO]]+Programacion[[#This Row],[DEVENGADO AGOSTO]]+Programacion[[#This Row],[DEVENGADO SEPTIEMBRE]]</f>
        <v>0</v>
      </c>
      <c r="AM153" s="88">
        <f>Programacion[[#This Row],[OCTUBRE]]+Programacion[[#This Row],[NOVIEMBRE]]+Programacion[[#This Row],[DICIEMBRE]]</f>
        <v>0</v>
      </c>
      <c r="AN153" s="88">
        <f>Programacion[[#This Row],[DEVENGADO OCTUBRE]]+Programacion[[#This Row],[DEVENGADO NOVIEMBRE]]+Programacion[[#This Row],[DEVENGADO DICIEMBRE]]</f>
        <v>0</v>
      </c>
      <c r="AO153" s="88">
        <f>Programacion[[#This Row],[ENERO]]+Programacion[[#This Row],[FEBRERO]]+Programacion[[#This Row],[MARZO]]+Programacion[[#This Row],[ABRIL]]+Programacion[[#This Row],[MAYO]]+Programacion[[#This Row],[JUNIO]]</f>
        <v>1489</v>
      </c>
      <c r="AP153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1806</v>
      </c>
      <c r="AQ153" s="88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3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1806</v>
      </c>
      <c r="AT153" s="116"/>
    </row>
    <row r="154" spans="1:46" x14ac:dyDescent="0.25">
      <c r="A154" s="79" t="s">
        <v>152</v>
      </c>
      <c r="B154" s="90" t="s">
        <v>157</v>
      </c>
      <c r="C154" s="91" t="s">
        <v>74</v>
      </c>
      <c r="D154" s="81" t="s">
        <v>154</v>
      </c>
      <c r="E154" s="92">
        <v>34</v>
      </c>
      <c r="F154" s="93">
        <v>2.2999999999999998</v>
      </c>
      <c r="G154" s="94" t="s">
        <v>75</v>
      </c>
      <c r="H154" s="88"/>
      <c r="I154" s="88"/>
      <c r="J154" s="88"/>
      <c r="K154" s="88"/>
      <c r="L154" s="88"/>
      <c r="M154" s="88"/>
      <c r="N154" s="88"/>
      <c r="O154" s="88"/>
      <c r="P154" s="88">
        <v>500</v>
      </c>
      <c r="Q154" s="88">
        <v>500</v>
      </c>
      <c r="R154" s="88"/>
      <c r="S154" s="88"/>
      <c r="T154" s="88"/>
      <c r="U154" s="88"/>
      <c r="V154" s="88"/>
      <c r="W154" s="88"/>
      <c r="X154" s="88"/>
      <c r="Y154" s="88"/>
      <c r="Z154" s="88"/>
      <c r="AA154" s="88"/>
      <c r="AB154" s="88"/>
      <c r="AC154" s="88"/>
      <c r="AD154" s="88"/>
      <c r="AE154" s="88"/>
      <c r="AF154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</v>
      </c>
      <c r="AG154" s="88">
        <f>Programacion[[#This Row],[ENERO]]+Programacion[[#This Row],[FEBRERO]]+Programacion[[#This Row],[MARZO]]</f>
        <v>0</v>
      </c>
      <c r="AH154" s="88">
        <f>Programacion[[#This Row],[DEVENGADO ENERO]]+Programacion[[#This Row],[DEVENGADO FEBRERO]]+Programacion[[#This Row],[DEVENGADO MARZO]]</f>
        <v>0</v>
      </c>
      <c r="AI154" s="88">
        <f>Programacion[[#This Row],[ABRIL]]+Programacion[[#This Row],[MAYO]]+Programacion[[#This Row],[JUNIO]]</f>
        <v>500</v>
      </c>
      <c r="AJ154" s="88">
        <f>Programacion[[#This Row],[DEVENGADO ABRIL]]+Programacion[[#This Row],[DEVENGADO MAYO]]+Programacion[[#This Row],[DEVENGADO JUNIO]]</f>
        <v>500</v>
      </c>
      <c r="AK154" s="88">
        <f>Programacion[[#This Row],[JULIO]]+Programacion[[#This Row],[AGOSTO]]+Programacion[[#This Row],[SEPTIEMBRE]]</f>
        <v>0</v>
      </c>
      <c r="AL154" s="88">
        <f>Programacion[[#This Row],[DEVENGADO JULIO]]+Programacion[[#This Row],[DEVENGADO AGOSTO]]+Programacion[[#This Row],[DEVENGADO SEPTIEMBRE]]</f>
        <v>0</v>
      </c>
      <c r="AM154" s="88">
        <f>Programacion[[#This Row],[OCTUBRE]]+Programacion[[#This Row],[NOVIEMBRE]]+Programacion[[#This Row],[DICIEMBRE]]</f>
        <v>0</v>
      </c>
      <c r="AN154" s="88">
        <f>Programacion[[#This Row],[DEVENGADO OCTUBRE]]+Programacion[[#This Row],[DEVENGADO NOVIEMBRE]]+Programacion[[#This Row],[DEVENGADO DICIEMBRE]]</f>
        <v>0</v>
      </c>
      <c r="AO154" s="88">
        <f>Programacion[[#This Row],[ENERO]]+Programacion[[#This Row],[FEBRERO]]+Programacion[[#This Row],[MARZO]]+Programacion[[#This Row],[ABRIL]]+Programacion[[#This Row],[MAYO]]+Programacion[[#This Row],[JUNIO]]</f>
        <v>500</v>
      </c>
      <c r="AP154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</v>
      </c>
      <c r="AQ154" s="88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4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</v>
      </c>
      <c r="AT154" s="116"/>
    </row>
    <row r="155" spans="1:46" x14ac:dyDescent="0.25">
      <c r="A155" s="95" t="s">
        <v>152</v>
      </c>
      <c r="B155" s="90" t="s">
        <v>158</v>
      </c>
      <c r="C155" s="91" t="s">
        <v>56</v>
      </c>
      <c r="D155" s="94" t="s">
        <v>154</v>
      </c>
      <c r="E155" s="92">
        <v>34</v>
      </c>
      <c r="F155" s="93">
        <v>2.2999999999999998</v>
      </c>
      <c r="G155" s="94" t="s">
        <v>57</v>
      </c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>
        <v>7045.58</v>
      </c>
      <c r="AA155" s="88"/>
      <c r="AB155" s="88"/>
      <c r="AC155" s="88"/>
      <c r="AD155" s="88"/>
      <c r="AE155" s="88"/>
      <c r="AF155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7045.58</v>
      </c>
      <c r="AG155" s="88">
        <f>Programacion[[#This Row],[ENERO]]+Programacion[[#This Row],[FEBRERO]]+Programacion[[#This Row],[MARZO]]</f>
        <v>0</v>
      </c>
      <c r="AH155" s="88">
        <f>Programacion[[#This Row],[DEVENGADO ENERO]]+Programacion[[#This Row],[DEVENGADO FEBRERO]]+Programacion[[#This Row],[DEVENGADO MARZO]]</f>
        <v>0</v>
      </c>
      <c r="AI155" s="88">
        <f>Programacion[[#This Row],[ABRIL]]+Programacion[[#This Row],[MAYO]]+Programacion[[#This Row],[JUNIO]]</f>
        <v>0</v>
      </c>
      <c r="AJ155" s="88">
        <f>Programacion[[#This Row],[DEVENGADO ABRIL]]+Programacion[[#This Row],[DEVENGADO MAYO]]+Programacion[[#This Row],[DEVENGADO JUNIO]]</f>
        <v>0</v>
      </c>
      <c r="AK155" s="88">
        <f>Programacion[[#This Row],[JULIO]]+Programacion[[#This Row],[AGOSTO]]+Programacion[[#This Row],[SEPTIEMBRE]]</f>
        <v>0</v>
      </c>
      <c r="AL155" s="88">
        <f>Programacion[[#This Row],[DEVENGADO JULIO]]+Programacion[[#This Row],[DEVENGADO AGOSTO]]+Programacion[[#This Row],[DEVENGADO SEPTIEMBRE]]</f>
        <v>0</v>
      </c>
      <c r="AM155" s="88">
        <f>Programacion[[#This Row],[OCTUBRE]]+Programacion[[#This Row],[NOVIEMBRE]]+Programacion[[#This Row],[DICIEMBRE]]</f>
        <v>7045.58</v>
      </c>
      <c r="AN155" s="97">
        <f>Programacion[[#This Row],[DEVENGADO OCTUBRE]]+Programacion[[#This Row],[DEVENGADO NOVIEMBRE]]+Programacion[[#This Row],[DEVENGADO DICIEMBRE]]</f>
        <v>0</v>
      </c>
      <c r="AO155" s="97">
        <f>Programacion[[#This Row],[ENERO]]+Programacion[[#This Row],[FEBRERO]]+Programacion[[#This Row],[MARZO]]+Programacion[[#This Row],[ABRIL]]+Programacion[[#This Row],[MAYO]]+Programacion[[#This Row],[JUNIO]]</f>
        <v>0</v>
      </c>
      <c r="AP155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5" s="97">
        <f>Programacion[[#This Row],[JULIO]]+Programacion[[#This Row],[AGOSTO]]+Programacion[[#This Row],[SEPTIEMBRE]]+Programacion[[#This Row],[OCTUBRE]]+Programacion[[#This Row],[NOVIEMBRE]]+Programacion[[#This Row],[DICIEMBRE]]</f>
        <v>7045.58</v>
      </c>
      <c r="AR155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5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5" s="116"/>
    </row>
    <row r="156" spans="1:46" ht="30" x14ac:dyDescent="0.25">
      <c r="A156" s="95" t="s">
        <v>152</v>
      </c>
      <c r="B156" s="90" t="s">
        <v>159</v>
      </c>
      <c r="C156" s="91" t="s">
        <v>56</v>
      </c>
      <c r="D156" s="94" t="s">
        <v>154</v>
      </c>
      <c r="E156" s="92">
        <v>34</v>
      </c>
      <c r="F156" s="93">
        <v>2.2999999999999998</v>
      </c>
      <c r="G156" s="94" t="s">
        <v>57</v>
      </c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>
        <v>12537.5</v>
      </c>
      <c r="Y156" s="88"/>
      <c r="Z156" s="88">
        <v>12537.5</v>
      </c>
      <c r="AA156" s="88"/>
      <c r="AB156" s="88"/>
      <c r="AC156" s="88"/>
      <c r="AD156" s="88"/>
      <c r="AE156" s="88"/>
      <c r="AF156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25075</v>
      </c>
      <c r="AG156" s="88">
        <f>Programacion[[#This Row],[ENERO]]+Programacion[[#This Row],[FEBRERO]]+Programacion[[#This Row],[MARZO]]</f>
        <v>0</v>
      </c>
      <c r="AH156" s="88">
        <f>Programacion[[#This Row],[DEVENGADO ENERO]]+Programacion[[#This Row],[DEVENGADO FEBRERO]]+Programacion[[#This Row],[DEVENGADO MARZO]]</f>
        <v>0</v>
      </c>
      <c r="AI156" s="88">
        <f>Programacion[[#This Row],[ABRIL]]+Programacion[[#This Row],[MAYO]]+Programacion[[#This Row],[JUNIO]]</f>
        <v>0</v>
      </c>
      <c r="AJ156" s="88">
        <f>Programacion[[#This Row],[DEVENGADO ABRIL]]+Programacion[[#This Row],[DEVENGADO MAYO]]+Programacion[[#This Row],[DEVENGADO JUNIO]]</f>
        <v>0</v>
      </c>
      <c r="AK156" s="88">
        <f>Programacion[[#This Row],[JULIO]]+Programacion[[#This Row],[AGOSTO]]+Programacion[[#This Row],[SEPTIEMBRE]]</f>
        <v>12537.5</v>
      </c>
      <c r="AL156" s="88">
        <f>Programacion[[#This Row],[DEVENGADO JULIO]]+Programacion[[#This Row],[DEVENGADO AGOSTO]]+Programacion[[#This Row],[DEVENGADO SEPTIEMBRE]]</f>
        <v>0</v>
      </c>
      <c r="AM156" s="88">
        <f>Programacion[[#This Row],[OCTUBRE]]+Programacion[[#This Row],[NOVIEMBRE]]+Programacion[[#This Row],[DICIEMBRE]]</f>
        <v>12537.5</v>
      </c>
      <c r="AN156" s="97">
        <f>Programacion[[#This Row],[DEVENGADO OCTUBRE]]+Programacion[[#This Row],[DEVENGADO NOVIEMBRE]]+Programacion[[#This Row],[DEVENGADO DICIEMBRE]]</f>
        <v>0</v>
      </c>
      <c r="AO156" s="97">
        <f>Programacion[[#This Row],[ENERO]]+Programacion[[#This Row],[FEBRERO]]+Programacion[[#This Row],[MARZO]]+Programacion[[#This Row],[ABRIL]]+Programacion[[#This Row],[MAYO]]+Programacion[[#This Row],[JUNIO]]</f>
        <v>0</v>
      </c>
      <c r="AP156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6" s="97">
        <f>Programacion[[#This Row],[JULIO]]+Programacion[[#This Row],[AGOSTO]]+Programacion[[#This Row],[SEPTIEMBRE]]+Programacion[[#This Row],[OCTUBRE]]+Programacion[[#This Row],[NOVIEMBRE]]+Programacion[[#This Row],[DICIEMBRE]]</f>
        <v>25075</v>
      </c>
      <c r="AR156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6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6" s="116"/>
    </row>
    <row r="157" spans="1:46" ht="30" x14ac:dyDescent="0.25">
      <c r="A157" s="99" t="s">
        <v>152</v>
      </c>
      <c r="B157" s="90" t="s">
        <v>160</v>
      </c>
      <c r="C157" s="81" t="s">
        <v>56</v>
      </c>
      <c r="D157" s="81" t="s">
        <v>154</v>
      </c>
      <c r="E157" s="82">
        <v>34</v>
      </c>
      <c r="F157" s="83">
        <v>2.2999999999999998</v>
      </c>
      <c r="G157" s="81" t="s">
        <v>130</v>
      </c>
      <c r="H157" s="81"/>
      <c r="I157" s="84"/>
      <c r="J157" s="84">
        <v>4500</v>
      </c>
      <c r="K157" s="84">
        <v>4500</v>
      </c>
      <c r="L157" s="84">
        <v>10500</v>
      </c>
      <c r="M157" s="84">
        <v>10500</v>
      </c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5"/>
      <c r="AB157" s="100"/>
      <c r="AC157" s="100"/>
      <c r="AD157" s="100"/>
      <c r="AE157" s="100"/>
      <c r="AF157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157" s="88">
        <f>Programacion[[#This Row],[ENERO]]+Programacion[[#This Row],[FEBRERO]]+Programacion[[#This Row],[MARZO]]</f>
        <v>15000</v>
      </c>
      <c r="AH157" s="88">
        <f>Programacion[[#This Row],[DEVENGADO ENERO]]+Programacion[[#This Row],[DEVENGADO FEBRERO]]+Programacion[[#This Row],[DEVENGADO MARZO]]</f>
        <v>15000</v>
      </c>
      <c r="AI157" s="88">
        <f>Programacion[[#This Row],[ABRIL]]+Programacion[[#This Row],[MAYO]]+Programacion[[#This Row],[JUNIO]]</f>
        <v>0</v>
      </c>
      <c r="AJ157" s="88">
        <f>Programacion[[#This Row],[DEVENGADO ABRIL]]+Programacion[[#This Row],[DEVENGADO MAYO]]+Programacion[[#This Row],[DEVENGADO JUNIO]]</f>
        <v>0</v>
      </c>
      <c r="AK157" s="88">
        <f>Programacion[[#This Row],[JULIO]]+Programacion[[#This Row],[AGOSTO]]+Programacion[[#This Row],[SEPTIEMBRE]]</f>
        <v>0</v>
      </c>
      <c r="AL157" s="88">
        <f>Programacion[[#This Row],[DEVENGADO JULIO]]+Programacion[[#This Row],[DEVENGADO AGOSTO]]+Programacion[[#This Row],[DEVENGADO SEPTIEMBRE]]</f>
        <v>0</v>
      </c>
      <c r="AM157" s="88">
        <f>Programacion[[#This Row],[OCTUBRE]]+Programacion[[#This Row],[NOVIEMBRE]]+Programacion[[#This Row],[DICIEMBRE]]</f>
        <v>0</v>
      </c>
      <c r="AN157" s="89">
        <f>Programacion[[#This Row],[DEVENGADO OCTUBRE]]+Programacion[[#This Row],[DEVENGADO NOVIEMBRE]]+Programacion[[#This Row],[DEVENGADO DICIEMBRE]]</f>
        <v>0</v>
      </c>
      <c r="AO157" s="89">
        <f>Programacion[[#This Row],[ENERO]]+Programacion[[#This Row],[FEBRERO]]+Programacion[[#This Row],[MARZO]]+Programacion[[#This Row],[ABRIL]]+Programacion[[#This Row],[MAYO]]+Programacion[[#This Row],[JUNIO]]</f>
        <v>15000</v>
      </c>
      <c r="AP157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57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7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57" s="116"/>
    </row>
    <row r="158" spans="1:46" x14ac:dyDescent="0.25">
      <c r="A158" s="99" t="s">
        <v>152</v>
      </c>
      <c r="B158" s="90" t="s">
        <v>161</v>
      </c>
      <c r="C158" s="81" t="s">
        <v>47</v>
      </c>
      <c r="D158" s="81" t="s">
        <v>154</v>
      </c>
      <c r="E158" s="82">
        <v>34</v>
      </c>
      <c r="F158" s="83">
        <v>2.2999999999999998</v>
      </c>
      <c r="G158" s="81" t="s">
        <v>51</v>
      </c>
      <c r="H158" s="81"/>
      <c r="I158" s="84"/>
      <c r="J158" s="84">
        <v>170</v>
      </c>
      <c r="K158" s="84">
        <v>170</v>
      </c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5"/>
      <c r="AB158" s="100"/>
      <c r="AC158" s="100"/>
      <c r="AD158" s="100"/>
      <c r="AE158" s="100"/>
      <c r="AF158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170</v>
      </c>
      <c r="AG158" s="88">
        <f>Programacion[[#This Row],[ENERO]]+Programacion[[#This Row],[FEBRERO]]+Programacion[[#This Row],[MARZO]]</f>
        <v>170</v>
      </c>
      <c r="AH158" s="88">
        <f>Programacion[[#This Row],[DEVENGADO ENERO]]+Programacion[[#This Row],[DEVENGADO FEBRERO]]+Programacion[[#This Row],[DEVENGADO MARZO]]</f>
        <v>170</v>
      </c>
      <c r="AI158" s="88">
        <f>Programacion[[#This Row],[ABRIL]]+Programacion[[#This Row],[MAYO]]+Programacion[[#This Row],[JUNIO]]</f>
        <v>0</v>
      </c>
      <c r="AJ158" s="88">
        <f>Programacion[[#This Row],[DEVENGADO ABRIL]]+Programacion[[#This Row],[DEVENGADO MAYO]]+Programacion[[#This Row],[DEVENGADO JUNIO]]</f>
        <v>0</v>
      </c>
      <c r="AK158" s="88">
        <f>Programacion[[#This Row],[JULIO]]+Programacion[[#This Row],[AGOSTO]]+Programacion[[#This Row],[SEPTIEMBRE]]</f>
        <v>0</v>
      </c>
      <c r="AL158" s="88">
        <f>Programacion[[#This Row],[DEVENGADO JULIO]]+Programacion[[#This Row],[DEVENGADO AGOSTO]]+Programacion[[#This Row],[DEVENGADO SEPTIEMBRE]]</f>
        <v>0</v>
      </c>
      <c r="AM158" s="88">
        <f>Programacion[[#This Row],[OCTUBRE]]+Programacion[[#This Row],[NOVIEMBRE]]+Programacion[[#This Row],[DICIEMBRE]]</f>
        <v>0</v>
      </c>
      <c r="AN158" s="89">
        <f>Programacion[[#This Row],[DEVENGADO OCTUBRE]]+Programacion[[#This Row],[DEVENGADO NOVIEMBRE]]+Programacion[[#This Row],[DEVENGADO DICIEMBRE]]</f>
        <v>0</v>
      </c>
      <c r="AO158" s="89">
        <f>Programacion[[#This Row],[ENERO]]+Programacion[[#This Row],[FEBRERO]]+Programacion[[#This Row],[MARZO]]+Programacion[[#This Row],[ABRIL]]+Programacion[[#This Row],[MAYO]]+Programacion[[#This Row],[JUNIO]]</f>
        <v>170</v>
      </c>
      <c r="AP158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170</v>
      </c>
      <c r="AQ158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8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</v>
      </c>
      <c r="AT158" s="116"/>
    </row>
    <row r="159" spans="1:46" x14ac:dyDescent="0.25">
      <c r="A159" s="99" t="s">
        <v>152</v>
      </c>
      <c r="B159" s="90" t="s">
        <v>162</v>
      </c>
      <c r="C159" s="81" t="s">
        <v>47</v>
      </c>
      <c r="D159" s="81" t="s">
        <v>154</v>
      </c>
      <c r="E159" s="82">
        <v>34</v>
      </c>
      <c r="F159" s="83">
        <v>2.2999999999999998</v>
      </c>
      <c r="G159" s="81" t="s">
        <v>49</v>
      </c>
      <c r="H159" s="81"/>
      <c r="I159" s="84"/>
      <c r="J159" s="84">
        <v>165</v>
      </c>
      <c r="K159" s="84">
        <v>165</v>
      </c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5"/>
      <c r="AB159" s="100"/>
      <c r="AC159" s="100"/>
      <c r="AD159" s="100"/>
      <c r="AE159" s="100"/>
      <c r="AF159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165</v>
      </c>
      <c r="AG159" s="88">
        <f>Programacion[[#This Row],[ENERO]]+Programacion[[#This Row],[FEBRERO]]+Programacion[[#This Row],[MARZO]]</f>
        <v>165</v>
      </c>
      <c r="AH159" s="88">
        <f>Programacion[[#This Row],[DEVENGADO ENERO]]+Programacion[[#This Row],[DEVENGADO FEBRERO]]+Programacion[[#This Row],[DEVENGADO MARZO]]</f>
        <v>165</v>
      </c>
      <c r="AI159" s="88">
        <f>Programacion[[#This Row],[ABRIL]]+Programacion[[#This Row],[MAYO]]+Programacion[[#This Row],[JUNIO]]</f>
        <v>0</v>
      </c>
      <c r="AJ159" s="88">
        <f>Programacion[[#This Row],[DEVENGADO ABRIL]]+Programacion[[#This Row],[DEVENGADO MAYO]]+Programacion[[#This Row],[DEVENGADO JUNIO]]</f>
        <v>0</v>
      </c>
      <c r="AK159" s="88">
        <f>Programacion[[#This Row],[JULIO]]+Programacion[[#This Row],[AGOSTO]]+Programacion[[#This Row],[SEPTIEMBRE]]</f>
        <v>0</v>
      </c>
      <c r="AL159" s="88">
        <f>Programacion[[#This Row],[DEVENGADO JULIO]]+Programacion[[#This Row],[DEVENGADO AGOSTO]]+Programacion[[#This Row],[DEVENGADO SEPTIEMBRE]]</f>
        <v>0</v>
      </c>
      <c r="AM159" s="88">
        <f>Programacion[[#This Row],[OCTUBRE]]+Programacion[[#This Row],[NOVIEMBRE]]+Programacion[[#This Row],[DICIEMBRE]]</f>
        <v>0</v>
      </c>
      <c r="AN159" s="89">
        <f>Programacion[[#This Row],[DEVENGADO OCTUBRE]]+Programacion[[#This Row],[DEVENGADO NOVIEMBRE]]+Programacion[[#This Row],[DEVENGADO DICIEMBRE]]</f>
        <v>0</v>
      </c>
      <c r="AO159" s="89">
        <f>Programacion[[#This Row],[ENERO]]+Programacion[[#This Row],[FEBRERO]]+Programacion[[#This Row],[MARZO]]+Programacion[[#This Row],[ABRIL]]+Programacion[[#This Row],[MAYO]]+Programacion[[#This Row],[JUNIO]]</f>
        <v>165</v>
      </c>
      <c r="AP159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165</v>
      </c>
      <c r="AQ159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9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</v>
      </c>
      <c r="AT159" s="116"/>
    </row>
    <row r="160" spans="1:46" ht="30" x14ac:dyDescent="0.25">
      <c r="A160" s="99" t="s">
        <v>152</v>
      </c>
      <c r="B160" s="90" t="s">
        <v>163</v>
      </c>
      <c r="C160" s="81" t="s">
        <v>56</v>
      </c>
      <c r="D160" s="81" t="s">
        <v>154</v>
      </c>
      <c r="E160" s="82">
        <v>34</v>
      </c>
      <c r="F160" s="83">
        <v>2.2999999999999998</v>
      </c>
      <c r="G160" s="81" t="s">
        <v>57</v>
      </c>
      <c r="H160" s="81"/>
      <c r="I160" s="84"/>
      <c r="J160" s="84"/>
      <c r="K160" s="84"/>
      <c r="L160" s="84"/>
      <c r="M160" s="84"/>
      <c r="N160" s="84">
        <v>5848</v>
      </c>
      <c r="O160" s="84">
        <v>5848</v>
      </c>
      <c r="P160" s="84">
        <v>5848</v>
      </c>
      <c r="Q160" s="84">
        <v>5848</v>
      </c>
      <c r="R160" s="84">
        <v>2924</v>
      </c>
      <c r="S160" s="84">
        <v>2924</v>
      </c>
      <c r="T160" s="84"/>
      <c r="U160" s="84"/>
      <c r="V160" s="84"/>
      <c r="W160" s="84"/>
      <c r="X160" s="84"/>
      <c r="Y160" s="84"/>
      <c r="Z160" s="84">
        <v>0.39</v>
      </c>
      <c r="AA160" s="85"/>
      <c r="AB160" s="100"/>
      <c r="AC160" s="100"/>
      <c r="AD160" s="100"/>
      <c r="AE160" s="100"/>
      <c r="AF160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14620.39</v>
      </c>
      <c r="AG160" s="88">
        <f>Programacion[[#This Row],[ENERO]]+Programacion[[#This Row],[FEBRERO]]+Programacion[[#This Row],[MARZO]]</f>
        <v>0</v>
      </c>
      <c r="AH160" s="88">
        <f>Programacion[[#This Row],[DEVENGADO ENERO]]+Programacion[[#This Row],[DEVENGADO FEBRERO]]+Programacion[[#This Row],[DEVENGADO MARZO]]</f>
        <v>0</v>
      </c>
      <c r="AI160" s="88">
        <f>Programacion[[#This Row],[ABRIL]]+Programacion[[#This Row],[MAYO]]+Programacion[[#This Row],[JUNIO]]</f>
        <v>14620</v>
      </c>
      <c r="AJ160" s="88">
        <f>Programacion[[#This Row],[DEVENGADO ABRIL]]+Programacion[[#This Row],[DEVENGADO MAYO]]+Programacion[[#This Row],[DEVENGADO JUNIO]]</f>
        <v>14620</v>
      </c>
      <c r="AK160" s="88">
        <f>Programacion[[#This Row],[JULIO]]+Programacion[[#This Row],[AGOSTO]]+Programacion[[#This Row],[SEPTIEMBRE]]</f>
        <v>0</v>
      </c>
      <c r="AL160" s="88">
        <f>Programacion[[#This Row],[DEVENGADO JULIO]]+Programacion[[#This Row],[DEVENGADO AGOSTO]]+Programacion[[#This Row],[DEVENGADO SEPTIEMBRE]]</f>
        <v>0</v>
      </c>
      <c r="AM160" s="88">
        <f>Programacion[[#This Row],[OCTUBRE]]+Programacion[[#This Row],[NOVIEMBRE]]+Programacion[[#This Row],[DICIEMBRE]]</f>
        <v>0.39</v>
      </c>
      <c r="AN160" s="89">
        <f>Programacion[[#This Row],[DEVENGADO OCTUBRE]]+Programacion[[#This Row],[DEVENGADO NOVIEMBRE]]+Programacion[[#This Row],[DEVENGADO DICIEMBRE]]</f>
        <v>0</v>
      </c>
      <c r="AO160" s="89">
        <f>Programacion[[#This Row],[ENERO]]+Programacion[[#This Row],[FEBRERO]]+Programacion[[#This Row],[MARZO]]+Programacion[[#This Row],[ABRIL]]+Programacion[[#This Row],[MAYO]]+Programacion[[#This Row],[JUNIO]]</f>
        <v>14620</v>
      </c>
      <c r="AP160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14620</v>
      </c>
      <c r="AQ160" s="89">
        <f>Programacion[[#This Row],[JULIO]]+Programacion[[#This Row],[AGOSTO]]+Programacion[[#This Row],[SEPTIEMBRE]]+Programacion[[#This Row],[OCTUBRE]]+Programacion[[#This Row],[NOVIEMBRE]]+Programacion[[#This Row],[DICIEMBRE]]</f>
        <v>0.39</v>
      </c>
      <c r="AR160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14620</v>
      </c>
      <c r="AT160" s="116"/>
    </row>
    <row r="161" spans="1:46" ht="30" x14ac:dyDescent="0.25">
      <c r="A161" s="95" t="s">
        <v>152</v>
      </c>
      <c r="B161" s="90" t="s">
        <v>164</v>
      </c>
      <c r="C161" s="91" t="s">
        <v>56</v>
      </c>
      <c r="D161" s="94" t="s">
        <v>154</v>
      </c>
      <c r="E161" s="92">
        <v>34</v>
      </c>
      <c r="F161" s="93">
        <v>2.2999999999999998</v>
      </c>
      <c r="G161" s="94" t="s">
        <v>57</v>
      </c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>
        <v>6000</v>
      </c>
      <c r="U161" s="88">
        <v>6000</v>
      </c>
      <c r="V161" s="88">
        <v>6000</v>
      </c>
      <c r="W161" s="88">
        <v>6000</v>
      </c>
      <c r="X161" s="88">
        <v>6000</v>
      </c>
      <c r="Y161" s="88"/>
      <c r="Z161" s="88">
        <v>12000</v>
      </c>
      <c r="AA161" s="88"/>
      <c r="AB161" s="88"/>
      <c r="AC161" s="88"/>
      <c r="AD161" s="88"/>
      <c r="AE161" s="88"/>
      <c r="AF161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61" s="88">
        <f>Programacion[[#This Row],[ENERO]]+Programacion[[#This Row],[FEBRERO]]+Programacion[[#This Row],[MARZO]]</f>
        <v>0</v>
      </c>
      <c r="AH161" s="88">
        <f>Programacion[[#This Row],[DEVENGADO ENERO]]+Programacion[[#This Row],[DEVENGADO FEBRERO]]+Programacion[[#This Row],[DEVENGADO MARZO]]</f>
        <v>0</v>
      </c>
      <c r="AI161" s="88">
        <f>Programacion[[#This Row],[ABRIL]]+Programacion[[#This Row],[MAYO]]+Programacion[[#This Row],[JUNIO]]</f>
        <v>0</v>
      </c>
      <c r="AJ161" s="88">
        <f>Programacion[[#This Row],[DEVENGADO ABRIL]]+Programacion[[#This Row],[DEVENGADO MAYO]]+Programacion[[#This Row],[DEVENGADO JUNIO]]</f>
        <v>0</v>
      </c>
      <c r="AK161" s="88">
        <f>Programacion[[#This Row],[JULIO]]+Programacion[[#This Row],[AGOSTO]]+Programacion[[#This Row],[SEPTIEMBRE]]</f>
        <v>18000</v>
      </c>
      <c r="AL161" s="88">
        <f>Programacion[[#This Row],[DEVENGADO JULIO]]+Programacion[[#This Row],[DEVENGADO AGOSTO]]+Programacion[[#This Row],[DEVENGADO SEPTIEMBRE]]</f>
        <v>12000</v>
      </c>
      <c r="AM161" s="88">
        <f>Programacion[[#This Row],[OCTUBRE]]+Programacion[[#This Row],[NOVIEMBRE]]+Programacion[[#This Row],[DICIEMBRE]]</f>
        <v>12000</v>
      </c>
      <c r="AN161" s="97">
        <f>Programacion[[#This Row],[DEVENGADO OCTUBRE]]+Programacion[[#This Row],[DEVENGADO NOVIEMBRE]]+Programacion[[#This Row],[DEVENGADO DICIEMBRE]]</f>
        <v>0</v>
      </c>
      <c r="AO161" s="97">
        <f>Programacion[[#This Row],[ENERO]]+Programacion[[#This Row],[FEBRERO]]+Programacion[[#This Row],[MARZO]]+Programacion[[#This Row],[ABRIL]]+Programacion[[#This Row],[MAYO]]+Programacion[[#This Row],[JUNIO]]</f>
        <v>0</v>
      </c>
      <c r="AP161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1" s="97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61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161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161" s="116"/>
    </row>
    <row r="162" spans="1:46" x14ac:dyDescent="0.25">
      <c r="A162" s="95" t="s">
        <v>152</v>
      </c>
      <c r="B162" s="90" t="s">
        <v>165</v>
      </c>
      <c r="C162" s="91" t="s">
        <v>47</v>
      </c>
      <c r="D162" s="94" t="s">
        <v>154</v>
      </c>
      <c r="E162" s="92">
        <v>95</v>
      </c>
      <c r="F162" s="93">
        <v>2.2999999999999998</v>
      </c>
      <c r="G162" s="94" t="s">
        <v>49</v>
      </c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>
        <v>4000</v>
      </c>
      <c r="W162" s="88"/>
      <c r="X162" s="88"/>
      <c r="Y162" s="88"/>
      <c r="Z162" s="88"/>
      <c r="AA162" s="88"/>
      <c r="AB162" s="88"/>
      <c r="AC162" s="88"/>
      <c r="AD162" s="88"/>
      <c r="AE162" s="88"/>
      <c r="AF162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62" s="88">
        <f>Programacion[[#This Row],[ENERO]]+Programacion[[#This Row],[FEBRERO]]+Programacion[[#This Row],[MARZO]]</f>
        <v>0</v>
      </c>
      <c r="AH162" s="88">
        <f>Programacion[[#This Row],[DEVENGADO ENERO]]+Programacion[[#This Row],[DEVENGADO FEBRERO]]+Programacion[[#This Row],[DEVENGADO MARZO]]</f>
        <v>0</v>
      </c>
      <c r="AI162" s="88">
        <f>Programacion[[#This Row],[ABRIL]]+Programacion[[#This Row],[MAYO]]+Programacion[[#This Row],[JUNIO]]</f>
        <v>0</v>
      </c>
      <c r="AJ162" s="88">
        <f>Programacion[[#This Row],[DEVENGADO ABRIL]]+Programacion[[#This Row],[DEVENGADO MAYO]]+Programacion[[#This Row],[DEVENGADO JUNIO]]</f>
        <v>0</v>
      </c>
      <c r="AK162" s="88">
        <f>Programacion[[#This Row],[JULIO]]+Programacion[[#This Row],[AGOSTO]]+Programacion[[#This Row],[SEPTIEMBRE]]</f>
        <v>4000</v>
      </c>
      <c r="AL162" s="88">
        <f>Programacion[[#This Row],[DEVENGADO JULIO]]+Programacion[[#This Row],[DEVENGADO AGOSTO]]+Programacion[[#This Row],[DEVENGADO SEPTIEMBRE]]</f>
        <v>0</v>
      </c>
      <c r="AM162" s="88">
        <f>Programacion[[#This Row],[OCTUBRE]]+Programacion[[#This Row],[NOVIEMBRE]]+Programacion[[#This Row],[DICIEMBRE]]</f>
        <v>0</v>
      </c>
      <c r="AN162" s="97">
        <f>Programacion[[#This Row],[DEVENGADO OCTUBRE]]+Programacion[[#This Row],[DEVENGADO NOVIEMBRE]]+Programacion[[#This Row],[DEVENGADO DICIEMBRE]]</f>
        <v>0</v>
      </c>
      <c r="AO162" s="97">
        <f>Programacion[[#This Row],[ENERO]]+Programacion[[#This Row],[FEBRERO]]+Programacion[[#This Row],[MARZO]]+Programacion[[#This Row],[ABRIL]]+Programacion[[#This Row],[MAYO]]+Programacion[[#This Row],[JUNIO]]</f>
        <v>0</v>
      </c>
      <c r="AP162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2" s="97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62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2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2" s="116"/>
    </row>
    <row r="163" spans="1:46" x14ac:dyDescent="0.25">
      <c r="A163" s="95" t="s">
        <v>152</v>
      </c>
      <c r="B163" s="90" t="s">
        <v>166</v>
      </c>
      <c r="C163" s="91" t="s">
        <v>47</v>
      </c>
      <c r="D163" s="94" t="s">
        <v>154</v>
      </c>
      <c r="E163" s="92">
        <v>95</v>
      </c>
      <c r="F163" s="93">
        <v>2.2999999999999998</v>
      </c>
      <c r="G163" s="94" t="s">
        <v>51</v>
      </c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>
        <v>2160</v>
      </c>
      <c r="W163" s="88">
        <v>1656</v>
      </c>
      <c r="X163" s="88"/>
      <c r="Y163" s="88"/>
      <c r="Z163" s="88"/>
      <c r="AA163" s="88"/>
      <c r="AB163" s="88"/>
      <c r="AC163" s="88"/>
      <c r="AD163" s="88"/>
      <c r="AE163" s="88"/>
      <c r="AF163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</v>
      </c>
      <c r="AG163" s="88">
        <f>Programacion[[#This Row],[ENERO]]+Programacion[[#This Row],[FEBRERO]]+Programacion[[#This Row],[MARZO]]</f>
        <v>0</v>
      </c>
      <c r="AH163" s="88">
        <f>Programacion[[#This Row],[DEVENGADO ENERO]]+Programacion[[#This Row],[DEVENGADO FEBRERO]]+Programacion[[#This Row],[DEVENGADO MARZO]]</f>
        <v>0</v>
      </c>
      <c r="AI163" s="88">
        <f>Programacion[[#This Row],[ABRIL]]+Programacion[[#This Row],[MAYO]]+Programacion[[#This Row],[JUNIO]]</f>
        <v>0</v>
      </c>
      <c r="AJ163" s="88">
        <f>Programacion[[#This Row],[DEVENGADO ABRIL]]+Programacion[[#This Row],[DEVENGADO MAYO]]+Programacion[[#This Row],[DEVENGADO JUNIO]]</f>
        <v>0</v>
      </c>
      <c r="AK163" s="88">
        <f>Programacion[[#This Row],[JULIO]]+Programacion[[#This Row],[AGOSTO]]+Programacion[[#This Row],[SEPTIEMBRE]]</f>
        <v>2160</v>
      </c>
      <c r="AL163" s="88">
        <f>Programacion[[#This Row],[DEVENGADO JULIO]]+Programacion[[#This Row],[DEVENGADO AGOSTO]]+Programacion[[#This Row],[DEVENGADO SEPTIEMBRE]]</f>
        <v>1656</v>
      </c>
      <c r="AM163" s="88">
        <f>Programacion[[#This Row],[OCTUBRE]]+Programacion[[#This Row],[NOVIEMBRE]]+Programacion[[#This Row],[DICIEMBRE]]</f>
        <v>0</v>
      </c>
      <c r="AN163" s="88">
        <f>Programacion[[#This Row],[DEVENGADO OCTUBRE]]+Programacion[[#This Row],[DEVENGADO NOVIEMBRE]]+Programacion[[#This Row],[DEVENGADO DICIEMBRE]]</f>
        <v>0</v>
      </c>
      <c r="AO163" s="88">
        <f>Programacion[[#This Row],[ENERO]]+Programacion[[#This Row],[FEBRERO]]+Programacion[[#This Row],[MARZO]]+Programacion[[#This Row],[ABRIL]]+Programacion[[#This Row],[MAYO]]+Programacion[[#This Row],[JUNIO]]</f>
        <v>0</v>
      </c>
      <c r="AP163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3" s="88">
        <f>Programacion[[#This Row],[JULIO]]+Programacion[[#This Row],[AGOSTO]]+Programacion[[#This Row],[SEPTIEMBRE]]+Programacion[[#This Row],[OCTUBRE]]+Programacion[[#This Row],[NOVIEMBRE]]+Programacion[[#This Row],[DICIEMBRE]]</f>
        <v>2160</v>
      </c>
      <c r="AR163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1656</v>
      </c>
      <c r="AS16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1656</v>
      </c>
      <c r="AT163" s="116"/>
    </row>
    <row r="164" spans="1:46" x14ac:dyDescent="0.25">
      <c r="A164" s="95" t="s">
        <v>152</v>
      </c>
      <c r="B164" s="90" t="s">
        <v>167</v>
      </c>
      <c r="C164" s="91" t="s">
        <v>74</v>
      </c>
      <c r="D164" s="94" t="s">
        <v>154</v>
      </c>
      <c r="E164" s="92">
        <v>95</v>
      </c>
      <c r="F164" s="93">
        <v>2.2999999999999998</v>
      </c>
      <c r="G164" s="94" t="s">
        <v>75</v>
      </c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>
        <v>581.41</v>
      </c>
      <c r="W164" s="88"/>
      <c r="X164" s="88"/>
      <c r="Y164" s="88"/>
      <c r="Z164" s="88"/>
      <c r="AA164" s="88"/>
      <c r="AB164" s="88"/>
      <c r="AC164" s="88"/>
      <c r="AD164" s="88"/>
      <c r="AE164" s="88"/>
      <c r="AF164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581.41</v>
      </c>
      <c r="AG164" s="88">
        <f>Programacion[[#This Row],[ENERO]]+Programacion[[#This Row],[FEBRERO]]+Programacion[[#This Row],[MARZO]]</f>
        <v>0</v>
      </c>
      <c r="AH164" s="88">
        <f>Programacion[[#This Row],[DEVENGADO ENERO]]+Programacion[[#This Row],[DEVENGADO FEBRERO]]+Programacion[[#This Row],[DEVENGADO MARZO]]</f>
        <v>0</v>
      </c>
      <c r="AI164" s="88">
        <f>Programacion[[#This Row],[ABRIL]]+Programacion[[#This Row],[MAYO]]+Programacion[[#This Row],[JUNIO]]</f>
        <v>0</v>
      </c>
      <c r="AJ164" s="88">
        <f>Programacion[[#This Row],[DEVENGADO ABRIL]]+Programacion[[#This Row],[DEVENGADO MAYO]]+Programacion[[#This Row],[DEVENGADO JUNIO]]</f>
        <v>0</v>
      </c>
      <c r="AK164" s="88">
        <f>Programacion[[#This Row],[JULIO]]+Programacion[[#This Row],[AGOSTO]]+Programacion[[#This Row],[SEPTIEMBRE]]</f>
        <v>581.41</v>
      </c>
      <c r="AL164" s="88">
        <f>Programacion[[#This Row],[DEVENGADO JULIO]]+Programacion[[#This Row],[DEVENGADO AGOSTO]]+Programacion[[#This Row],[DEVENGADO SEPTIEMBRE]]</f>
        <v>0</v>
      </c>
      <c r="AM164" s="88">
        <f>Programacion[[#This Row],[OCTUBRE]]+Programacion[[#This Row],[NOVIEMBRE]]+Programacion[[#This Row],[DICIEMBRE]]</f>
        <v>0</v>
      </c>
      <c r="AN164" s="97">
        <f>Programacion[[#This Row],[DEVENGADO OCTUBRE]]+Programacion[[#This Row],[DEVENGADO NOVIEMBRE]]+Programacion[[#This Row],[DEVENGADO DICIEMBRE]]</f>
        <v>0</v>
      </c>
      <c r="AO164" s="97">
        <f>Programacion[[#This Row],[ENERO]]+Programacion[[#This Row],[FEBRERO]]+Programacion[[#This Row],[MARZO]]+Programacion[[#This Row],[ABRIL]]+Programacion[[#This Row],[MAYO]]+Programacion[[#This Row],[JUNIO]]</f>
        <v>0</v>
      </c>
      <c r="AP164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4" s="97">
        <f>Programacion[[#This Row],[JULIO]]+Programacion[[#This Row],[AGOSTO]]+Programacion[[#This Row],[SEPTIEMBRE]]+Programacion[[#This Row],[OCTUBRE]]+Programacion[[#This Row],[NOVIEMBRE]]+Programacion[[#This Row],[DICIEMBRE]]</f>
        <v>581.41</v>
      </c>
      <c r="AR164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4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4" s="116"/>
    </row>
    <row r="165" spans="1:46" ht="30" x14ac:dyDescent="0.25">
      <c r="A165" s="99" t="s">
        <v>152</v>
      </c>
      <c r="B165" s="90" t="s">
        <v>168</v>
      </c>
      <c r="C165" s="81" t="s">
        <v>56</v>
      </c>
      <c r="D165" s="81" t="s">
        <v>154</v>
      </c>
      <c r="E165" s="82">
        <v>95</v>
      </c>
      <c r="F165" s="83">
        <v>2.2999999999999998</v>
      </c>
      <c r="G165" s="81" t="s">
        <v>57</v>
      </c>
      <c r="H165" s="81"/>
      <c r="I165" s="84"/>
      <c r="J165" s="84"/>
      <c r="K165" s="84"/>
      <c r="L165" s="84">
        <v>12000</v>
      </c>
      <c r="M165" s="84">
        <v>12000</v>
      </c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5"/>
      <c r="AB165" s="100"/>
      <c r="AC165" s="100"/>
      <c r="AD165" s="100"/>
      <c r="AE165" s="100"/>
      <c r="AF165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65" s="88">
        <f>Programacion[[#This Row],[ENERO]]+Programacion[[#This Row],[FEBRERO]]+Programacion[[#This Row],[MARZO]]</f>
        <v>12000</v>
      </c>
      <c r="AH165" s="88">
        <f>Programacion[[#This Row],[DEVENGADO ENERO]]+Programacion[[#This Row],[DEVENGADO FEBRERO]]+Programacion[[#This Row],[DEVENGADO MARZO]]</f>
        <v>12000</v>
      </c>
      <c r="AI165" s="88">
        <f>Programacion[[#This Row],[ABRIL]]+Programacion[[#This Row],[MAYO]]+Programacion[[#This Row],[JUNIO]]</f>
        <v>0</v>
      </c>
      <c r="AJ165" s="88">
        <f>Programacion[[#This Row],[DEVENGADO ABRIL]]+Programacion[[#This Row],[DEVENGADO MAYO]]+Programacion[[#This Row],[DEVENGADO JUNIO]]</f>
        <v>0</v>
      </c>
      <c r="AK165" s="88">
        <f>Programacion[[#This Row],[JULIO]]+Programacion[[#This Row],[AGOSTO]]+Programacion[[#This Row],[SEPTIEMBRE]]</f>
        <v>0</v>
      </c>
      <c r="AL165" s="88">
        <f>Programacion[[#This Row],[DEVENGADO JULIO]]+Programacion[[#This Row],[DEVENGADO AGOSTO]]+Programacion[[#This Row],[DEVENGADO SEPTIEMBRE]]</f>
        <v>0</v>
      </c>
      <c r="AM165" s="88">
        <f>Programacion[[#This Row],[OCTUBRE]]+Programacion[[#This Row],[NOVIEMBRE]]+Programacion[[#This Row],[DICIEMBRE]]</f>
        <v>0</v>
      </c>
      <c r="AN165" s="89">
        <f>Programacion[[#This Row],[DEVENGADO OCTUBRE]]+Programacion[[#This Row],[DEVENGADO NOVIEMBRE]]+Programacion[[#This Row],[DEVENGADO DICIEMBRE]]</f>
        <v>0</v>
      </c>
      <c r="AO165" s="89">
        <f>Programacion[[#This Row],[ENERO]]+Programacion[[#This Row],[FEBRERO]]+Programacion[[#This Row],[MARZO]]+Programacion[[#This Row],[ABRIL]]+Programacion[[#This Row],[MAYO]]+Programacion[[#This Row],[JUNIO]]</f>
        <v>12000</v>
      </c>
      <c r="AP165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165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5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165" s="116"/>
    </row>
    <row r="166" spans="1:46" ht="30" x14ac:dyDescent="0.25">
      <c r="A166" s="99" t="s">
        <v>152</v>
      </c>
      <c r="B166" s="90" t="s">
        <v>169</v>
      </c>
      <c r="C166" s="91" t="s">
        <v>56</v>
      </c>
      <c r="D166" s="94" t="s">
        <v>154</v>
      </c>
      <c r="E166" s="92">
        <v>95</v>
      </c>
      <c r="F166" s="93">
        <v>2.2999999999999998</v>
      </c>
      <c r="G166" s="94" t="s">
        <v>57</v>
      </c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>
        <v>2000</v>
      </c>
      <c r="U166" s="88">
        <v>2000</v>
      </c>
      <c r="V166" s="88">
        <v>2000</v>
      </c>
      <c r="W166" s="88">
        <v>2000</v>
      </c>
      <c r="X166" s="88"/>
      <c r="Y166" s="88"/>
      <c r="Z166" s="88"/>
      <c r="AA166" s="88"/>
      <c r="AB166" s="88"/>
      <c r="AC166" s="88"/>
      <c r="AD166" s="88"/>
      <c r="AE166" s="88"/>
      <c r="AF166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66" s="88">
        <f>Programacion[[#This Row],[ENERO]]+Programacion[[#This Row],[FEBRERO]]+Programacion[[#This Row],[MARZO]]</f>
        <v>0</v>
      </c>
      <c r="AH166" s="88">
        <f>Programacion[[#This Row],[DEVENGADO ENERO]]+Programacion[[#This Row],[DEVENGADO FEBRERO]]+Programacion[[#This Row],[DEVENGADO MARZO]]</f>
        <v>0</v>
      </c>
      <c r="AI166" s="88">
        <f>Programacion[[#This Row],[ABRIL]]+Programacion[[#This Row],[MAYO]]+Programacion[[#This Row],[JUNIO]]</f>
        <v>0</v>
      </c>
      <c r="AJ166" s="88">
        <f>Programacion[[#This Row],[DEVENGADO ABRIL]]+Programacion[[#This Row],[DEVENGADO MAYO]]+Programacion[[#This Row],[DEVENGADO JUNIO]]</f>
        <v>0</v>
      </c>
      <c r="AK166" s="88">
        <f>Programacion[[#This Row],[JULIO]]+Programacion[[#This Row],[AGOSTO]]+Programacion[[#This Row],[SEPTIEMBRE]]</f>
        <v>4000</v>
      </c>
      <c r="AL166" s="88">
        <f>Programacion[[#This Row],[DEVENGADO JULIO]]+Programacion[[#This Row],[DEVENGADO AGOSTO]]+Programacion[[#This Row],[DEVENGADO SEPTIEMBRE]]</f>
        <v>4000</v>
      </c>
      <c r="AM166" s="88">
        <f>Programacion[[#This Row],[OCTUBRE]]+Programacion[[#This Row],[NOVIEMBRE]]+Programacion[[#This Row],[DICIEMBRE]]</f>
        <v>0</v>
      </c>
      <c r="AN166" s="88">
        <f>Programacion[[#This Row],[DEVENGADO OCTUBRE]]+Programacion[[#This Row],[DEVENGADO NOVIEMBRE]]+Programacion[[#This Row],[DEVENGADO DICIEMBRE]]</f>
        <v>0</v>
      </c>
      <c r="AO166" s="88">
        <f>Programacion[[#This Row],[ENERO]]+Programacion[[#This Row],[FEBRERO]]+Programacion[[#This Row],[MARZO]]+Programacion[[#This Row],[ABRIL]]+Programacion[[#This Row],[MAYO]]+Programacion[[#This Row],[JUNIO]]</f>
        <v>0</v>
      </c>
      <c r="AP166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6" s="88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66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6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166" s="116"/>
    </row>
    <row r="167" spans="1:46" x14ac:dyDescent="0.25">
      <c r="A167" s="99" t="s">
        <v>152</v>
      </c>
      <c r="B167" s="90" t="s">
        <v>170</v>
      </c>
      <c r="C167" s="81" t="s">
        <v>171</v>
      </c>
      <c r="D167" s="81" t="s">
        <v>154</v>
      </c>
      <c r="E167" s="82">
        <v>95</v>
      </c>
      <c r="F167" s="83">
        <v>2.2999999999999998</v>
      </c>
      <c r="G167" s="81" t="s">
        <v>172</v>
      </c>
      <c r="H167" s="81"/>
      <c r="I167" s="84"/>
      <c r="J167" s="84"/>
      <c r="K167" s="84"/>
      <c r="L167" s="84"/>
      <c r="M167" s="84"/>
      <c r="N167" s="84"/>
      <c r="O167" s="84"/>
      <c r="P167" s="84"/>
      <c r="Q167" s="84"/>
      <c r="R167" s="84">
        <v>600</v>
      </c>
      <c r="S167" s="84">
        <v>600</v>
      </c>
      <c r="T167" s="84"/>
      <c r="U167" s="84"/>
      <c r="V167" s="84"/>
      <c r="W167" s="84"/>
      <c r="X167" s="84"/>
      <c r="Y167" s="84"/>
      <c r="Z167" s="84"/>
      <c r="AA167" s="85"/>
      <c r="AB167" s="100"/>
      <c r="AC167" s="100"/>
      <c r="AD167" s="100"/>
      <c r="AE167" s="100"/>
      <c r="AF167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</v>
      </c>
      <c r="AG167" s="88">
        <f>Programacion[[#This Row],[ENERO]]+Programacion[[#This Row],[FEBRERO]]+Programacion[[#This Row],[MARZO]]</f>
        <v>0</v>
      </c>
      <c r="AH167" s="88">
        <f>Programacion[[#This Row],[DEVENGADO ENERO]]+Programacion[[#This Row],[DEVENGADO FEBRERO]]+Programacion[[#This Row],[DEVENGADO MARZO]]</f>
        <v>0</v>
      </c>
      <c r="AI167" s="88">
        <f>Programacion[[#This Row],[ABRIL]]+Programacion[[#This Row],[MAYO]]+Programacion[[#This Row],[JUNIO]]</f>
        <v>600</v>
      </c>
      <c r="AJ167" s="88">
        <f>Programacion[[#This Row],[DEVENGADO ABRIL]]+Programacion[[#This Row],[DEVENGADO MAYO]]+Programacion[[#This Row],[DEVENGADO JUNIO]]</f>
        <v>600</v>
      </c>
      <c r="AK167" s="88">
        <f>Programacion[[#This Row],[JULIO]]+Programacion[[#This Row],[AGOSTO]]+Programacion[[#This Row],[SEPTIEMBRE]]</f>
        <v>0</v>
      </c>
      <c r="AL167" s="88">
        <f>Programacion[[#This Row],[DEVENGADO JULIO]]+Programacion[[#This Row],[DEVENGADO AGOSTO]]+Programacion[[#This Row],[DEVENGADO SEPTIEMBRE]]</f>
        <v>0</v>
      </c>
      <c r="AM167" s="88">
        <f>Programacion[[#This Row],[OCTUBRE]]+Programacion[[#This Row],[NOVIEMBRE]]+Programacion[[#This Row],[DICIEMBRE]]</f>
        <v>0</v>
      </c>
      <c r="AN167" s="89">
        <f>Programacion[[#This Row],[DEVENGADO OCTUBRE]]+Programacion[[#This Row],[DEVENGADO NOVIEMBRE]]+Programacion[[#This Row],[DEVENGADO DICIEMBRE]]</f>
        <v>0</v>
      </c>
      <c r="AO167" s="89">
        <f>Programacion[[#This Row],[ENERO]]+Programacion[[#This Row],[FEBRERO]]+Programacion[[#This Row],[MARZO]]+Programacion[[#This Row],[ABRIL]]+Programacion[[#This Row],[MAYO]]+Programacion[[#This Row],[JUNIO]]</f>
        <v>600</v>
      </c>
      <c r="AP167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600</v>
      </c>
      <c r="AQ167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7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T167" s="116"/>
    </row>
    <row r="168" spans="1:46" x14ac:dyDescent="0.25">
      <c r="A168" s="99" t="s">
        <v>152</v>
      </c>
      <c r="B168" s="90" t="s">
        <v>173</v>
      </c>
      <c r="C168" s="81" t="s">
        <v>74</v>
      </c>
      <c r="D168" s="81" t="s">
        <v>154</v>
      </c>
      <c r="E168" s="82">
        <v>95</v>
      </c>
      <c r="F168" s="83">
        <v>2.2999999999999998</v>
      </c>
      <c r="G168" s="81" t="s">
        <v>75</v>
      </c>
      <c r="H168" s="81"/>
      <c r="I168" s="84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>
        <v>900</v>
      </c>
      <c r="U168" s="84">
        <v>900</v>
      </c>
      <c r="V168" s="84"/>
      <c r="W168" s="84"/>
      <c r="X168" s="84"/>
      <c r="Y168" s="84"/>
      <c r="Z168" s="84"/>
      <c r="AA168" s="85"/>
      <c r="AB168" s="100"/>
      <c r="AC168" s="100"/>
      <c r="AD168" s="100"/>
      <c r="AE168" s="100"/>
      <c r="AF168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900</v>
      </c>
      <c r="AG168" s="88">
        <f>Programacion[[#This Row],[ENERO]]+Programacion[[#This Row],[FEBRERO]]+Programacion[[#This Row],[MARZO]]</f>
        <v>0</v>
      </c>
      <c r="AH168" s="88">
        <f>Programacion[[#This Row],[DEVENGADO ENERO]]+Programacion[[#This Row],[DEVENGADO FEBRERO]]+Programacion[[#This Row],[DEVENGADO MARZO]]</f>
        <v>0</v>
      </c>
      <c r="AI168" s="88">
        <f>Programacion[[#This Row],[ABRIL]]+Programacion[[#This Row],[MAYO]]+Programacion[[#This Row],[JUNIO]]</f>
        <v>0</v>
      </c>
      <c r="AJ168" s="88">
        <f>Programacion[[#This Row],[DEVENGADO ABRIL]]+Programacion[[#This Row],[DEVENGADO MAYO]]+Programacion[[#This Row],[DEVENGADO JUNIO]]</f>
        <v>0</v>
      </c>
      <c r="AK168" s="88">
        <f>Programacion[[#This Row],[JULIO]]+Programacion[[#This Row],[AGOSTO]]+Programacion[[#This Row],[SEPTIEMBRE]]</f>
        <v>900</v>
      </c>
      <c r="AL168" s="88">
        <f>Programacion[[#This Row],[DEVENGADO JULIO]]+Programacion[[#This Row],[DEVENGADO AGOSTO]]+Programacion[[#This Row],[DEVENGADO SEPTIEMBRE]]</f>
        <v>900</v>
      </c>
      <c r="AM168" s="88">
        <f>Programacion[[#This Row],[OCTUBRE]]+Programacion[[#This Row],[NOVIEMBRE]]+Programacion[[#This Row],[DICIEMBRE]]</f>
        <v>0</v>
      </c>
      <c r="AN168" s="89">
        <f>Programacion[[#This Row],[DEVENGADO OCTUBRE]]+Programacion[[#This Row],[DEVENGADO NOVIEMBRE]]+Programacion[[#This Row],[DEVENGADO DICIEMBRE]]</f>
        <v>0</v>
      </c>
      <c r="AO168" s="89">
        <f>Programacion[[#This Row],[ENERO]]+Programacion[[#This Row],[FEBRERO]]+Programacion[[#This Row],[MARZO]]+Programacion[[#This Row],[ABRIL]]+Programacion[[#This Row],[MAYO]]+Programacion[[#This Row],[JUNIO]]</f>
        <v>0</v>
      </c>
      <c r="AP168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8" s="89">
        <f>Programacion[[#This Row],[JULIO]]+Programacion[[#This Row],[AGOSTO]]+Programacion[[#This Row],[SEPTIEMBRE]]+Programacion[[#This Row],[OCTUBRE]]+Programacion[[#This Row],[NOVIEMBRE]]+Programacion[[#This Row],[DICIEMBRE]]</f>
        <v>900</v>
      </c>
      <c r="AR168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S16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T168" s="116"/>
    </row>
    <row r="169" spans="1:46" ht="30" x14ac:dyDescent="0.25">
      <c r="A169" s="99" t="s">
        <v>152</v>
      </c>
      <c r="B169" s="90" t="s">
        <v>174</v>
      </c>
      <c r="C169" s="81" t="s">
        <v>56</v>
      </c>
      <c r="D169" s="81" t="s">
        <v>154</v>
      </c>
      <c r="E169" s="82">
        <v>95</v>
      </c>
      <c r="F169" s="83">
        <v>2.2999999999999998</v>
      </c>
      <c r="G169" s="81" t="s">
        <v>57</v>
      </c>
      <c r="H169" s="81"/>
      <c r="I169" s="84"/>
      <c r="J169" s="84"/>
      <c r="K169" s="84"/>
      <c r="L169" s="84"/>
      <c r="M169" s="84"/>
      <c r="N169" s="84">
        <v>5000</v>
      </c>
      <c r="O169" s="84">
        <v>5000</v>
      </c>
      <c r="P169" s="84">
        <v>5000</v>
      </c>
      <c r="Q169" s="84">
        <v>5000</v>
      </c>
      <c r="R169" s="84"/>
      <c r="S169" s="84"/>
      <c r="T169" s="84"/>
      <c r="U169" s="84"/>
      <c r="V169" s="84"/>
      <c r="W169" s="84"/>
      <c r="X169" s="84"/>
      <c r="Y169" s="84"/>
      <c r="Z169" s="84"/>
      <c r="AA169" s="85"/>
      <c r="AB169" s="100"/>
      <c r="AC169" s="100"/>
      <c r="AD169" s="100"/>
      <c r="AE169" s="100"/>
      <c r="AF169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169" s="88">
        <f>Programacion[[#This Row],[ENERO]]+Programacion[[#This Row],[FEBRERO]]+Programacion[[#This Row],[MARZO]]</f>
        <v>0</v>
      </c>
      <c r="AH169" s="88">
        <f>Programacion[[#This Row],[DEVENGADO ENERO]]+Programacion[[#This Row],[DEVENGADO FEBRERO]]+Programacion[[#This Row],[DEVENGADO MARZO]]</f>
        <v>0</v>
      </c>
      <c r="AI169" s="88">
        <f>Programacion[[#This Row],[ABRIL]]+Programacion[[#This Row],[MAYO]]+Programacion[[#This Row],[JUNIO]]</f>
        <v>10000</v>
      </c>
      <c r="AJ169" s="88">
        <f>Programacion[[#This Row],[DEVENGADO ABRIL]]+Programacion[[#This Row],[DEVENGADO MAYO]]+Programacion[[#This Row],[DEVENGADO JUNIO]]</f>
        <v>10000</v>
      </c>
      <c r="AK169" s="88">
        <f>Programacion[[#This Row],[JULIO]]+Programacion[[#This Row],[AGOSTO]]+Programacion[[#This Row],[SEPTIEMBRE]]</f>
        <v>0</v>
      </c>
      <c r="AL169" s="88">
        <f>Programacion[[#This Row],[DEVENGADO JULIO]]+Programacion[[#This Row],[DEVENGADO AGOSTO]]+Programacion[[#This Row],[DEVENGADO SEPTIEMBRE]]</f>
        <v>0</v>
      </c>
      <c r="AM169" s="88">
        <f>Programacion[[#This Row],[OCTUBRE]]+Programacion[[#This Row],[NOVIEMBRE]]+Programacion[[#This Row],[DICIEMBRE]]</f>
        <v>0</v>
      </c>
      <c r="AN169" s="89">
        <f>Programacion[[#This Row],[DEVENGADO OCTUBRE]]+Programacion[[#This Row],[DEVENGADO NOVIEMBRE]]+Programacion[[#This Row],[DEVENGADO DICIEMBRE]]</f>
        <v>0</v>
      </c>
      <c r="AO169" s="89">
        <f>Programacion[[#This Row],[ENERO]]+Programacion[[#This Row],[FEBRERO]]+Programacion[[#This Row],[MARZO]]+Programacion[[#This Row],[ABRIL]]+Programacion[[#This Row],[MAYO]]+Programacion[[#This Row],[JUNIO]]</f>
        <v>10000</v>
      </c>
      <c r="AP169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10000</v>
      </c>
      <c r="AQ169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9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69" s="116"/>
    </row>
    <row r="170" spans="1:46" ht="45" x14ac:dyDescent="0.25">
      <c r="A170" s="99" t="s">
        <v>152</v>
      </c>
      <c r="B170" s="90" t="s">
        <v>175</v>
      </c>
      <c r="C170" s="91" t="s">
        <v>56</v>
      </c>
      <c r="D170" s="81" t="s">
        <v>154</v>
      </c>
      <c r="E170" s="92">
        <v>95</v>
      </c>
      <c r="F170" s="93">
        <v>2.2999999999999998</v>
      </c>
      <c r="G170" s="94" t="s">
        <v>57</v>
      </c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>
        <v>6000</v>
      </c>
      <c r="Y170" s="88"/>
      <c r="Z170" s="88">
        <v>6000</v>
      </c>
      <c r="AA170" s="88"/>
      <c r="AB170" s="88"/>
      <c r="AC170" s="88"/>
      <c r="AD170" s="88"/>
      <c r="AE170" s="88"/>
      <c r="AF170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70" s="88">
        <f>Programacion[[#This Row],[ENERO]]+Programacion[[#This Row],[FEBRERO]]+Programacion[[#This Row],[MARZO]]</f>
        <v>0</v>
      </c>
      <c r="AH170" s="88">
        <f>Programacion[[#This Row],[DEVENGADO ENERO]]+Programacion[[#This Row],[DEVENGADO FEBRERO]]+Programacion[[#This Row],[DEVENGADO MARZO]]</f>
        <v>0</v>
      </c>
      <c r="AI170" s="88">
        <f>Programacion[[#This Row],[ABRIL]]+Programacion[[#This Row],[MAYO]]+Programacion[[#This Row],[JUNIO]]</f>
        <v>0</v>
      </c>
      <c r="AJ170" s="88">
        <f>Programacion[[#This Row],[DEVENGADO ABRIL]]+Programacion[[#This Row],[DEVENGADO MAYO]]+Programacion[[#This Row],[DEVENGADO JUNIO]]</f>
        <v>0</v>
      </c>
      <c r="AK170" s="88">
        <f>Programacion[[#This Row],[JULIO]]+Programacion[[#This Row],[AGOSTO]]+Programacion[[#This Row],[SEPTIEMBRE]]</f>
        <v>6000</v>
      </c>
      <c r="AL170" s="88">
        <f>Programacion[[#This Row],[DEVENGADO JULIO]]+Programacion[[#This Row],[DEVENGADO AGOSTO]]+Programacion[[#This Row],[DEVENGADO SEPTIEMBRE]]</f>
        <v>0</v>
      </c>
      <c r="AM170" s="88">
        <f>Programacion[[#This Row],[OCTUBRE]]+Programacion[[#This Row],[NOVIEMBRE]]+Programacion[[#This Row],[DICIEMBRE]]</f>
        <v>6000</v>
      </c>
      <c r="AN170" s="97">
        <f>Programacion[[#This Row],[DEVENGADO OCTUBRE]]+Programacion[[#This Row],[DEVENGADO NOVIEMBRE]]+Programacion[[#This Row],[DEVENGADO DICIEMBRE]]</f>
        <v>0</v>
      </c>
      <c r="AO170" s="97">
        <f>Programacion[[#This Row],[ENERO]]+Programacion[[#This Row],[FEBRERO]]+Programacion[[#This Row],[MARZO]]+Programacion[[#This Row],[ABRIL]]+Programacion[[#This Row],[MAYO]]+Programacion[[#This Row],[JUNIO]]</f>
        <v>0</v>
      </c>
      <c r="AP170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0" s="97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170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0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0" s="116"/>
    </row>
    <row r="171" spans="1:46" x14ac:dyDescent="0.25">
      <c r="A171" s="99" t="s">
        <v>152</v>
      </c>
      <c r="B171" s="90" t="s">
        <v>176</v>
      </c>
      <c r="C171" s="81" t="s">
        <v>177</v>
      </c>
      <c r="D171" s="81" t="s">
        <v>154</v>
      </c>
      <c r="E171" s="82">
        <v>95</v>
      </c>
      <c r="F171" s="83">
        <v>2.2999999999999998</v>
      </c>
      <c r="G171" s="81" t="s">
        <v>178</v>
      </c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>
        <v>35</v>
      </c>
      <c r="S171" s="88">
        <v>35</v>
      </c>
      <c r="T171" s="88"/>
      <c r="U171" s="88"/>
      <c r="V171" s="88"/>
      <c r="W171" s="88"/>
      <c r="X171" s="88"/>
      <c r="Y171" s="88"/>
      <c r="Z171" s="88"/>
      <c r="AA171" s="88"/>
      <c r="AB171" s="88"/>
      <c r="AC171" s="88"/>
      <c r="AD171" s="88"/>
      <c r="AE171" s="88"/>
      <c r="AF171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</v>
      </c>
      <c r="AG171" s="88">
        <f>Programacion[[#This Row],[ENERO]]+Programacion[[#This Row],[FEBRERO]]+Programacion[[#This Row],[MARZO]]</f>
        <v>0</v>
      </c>
      <c r="AH171" s="88">
        <f>Programacion[[#This Row],[DEVENGADO ENERO]]+Programacion[[#This Row],[DEVENGADO FEBRERO]]+Programacion[[#This Row],[DEVENGADO MARZO]]</f>
        <v>0</v>
      </c>
      <c r="AI171" s="88">
        <f>Programacion[[#This Row],[ABRIL]]+Programacion[[#This Row],[MAYO]]+Programacion[[#This Row],[JUNIO]]</f>
        <v>35</v>
      </c>
      <c r="AJ171" s="88">
        <f>Programacion[[#This Row],[DEVENGADO ABRIL]]+Programacion[[#This Row],[DEVENGADO MAYO]]+Programacion[[#This Row],[DEVENGADO JUNIO]]</f>
        <v>35</v>
      </c>
      <c r="AK171" s="88">
        <f>Programacion[[#This Row],[JULIO]]+Programacion[[#This Row],[AGOSTO]]+Programacion[[#This Row],[SEPTIEMBRE]]</f>
        <v>0</v>
      </c>
      <c r="AL171" s="88">
        <f>Programacion[[#This Row],[DEVENGADO JULIO]]+Programacion[[#This Row],[DEVENGADO AGOSTO]]+Programacion[[#This Row],[DEVENGADO SEPTIEMBRE]]</f>
        <v>0</v>
      </c>
      <c r="AM171" s="88">
        <f>Programacion[[#This Row],[OCTUBRE]]+Programacion[[#This Row],[NOVIEMBRE]]+Programacion[[#This Row],[DICIEMBRE]]</f>
        <v>0</v>
      </c>
      <c r="AN171" s="89">
        <f>Programacion[[#This Row],[DEVENGADO OCTUBRE]]+Programacion[[#This Row],[DEVENGADO NOVIEMBRE]]+Programacion[[#This Row],[DEVENGADO DICIEMBRE]]</f>
        <v>0</v>
      </c>
      <c r="AO171" s="89">
        <f>Programacion[[#This Row],[ENERO]]+Programacion[[#This Row],[FEBRERO]]+Programacion[[#This Row],[MARZO]]+Programacion[[#This Row],[ABRIL]]+Programacion[[#This Row],[MAYO]]+Programacion[[#This Row],[JUNIO]]</f>
        <v>35</v>
      </c>
      <c r="AP171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</v>
      </c>
      <c r="AQ171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1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</v>
      </c>
      <c r="AT171" s="116"/>
    </row>
    <row r="172" spans="1:46" x14ac:dyDescent="0.25">
      <c r="A172" s="99" t="s">
        <v>152</v>
      </c>
      <c r="B172" s="90" t="s">
        <v>179</v>
      </c>
      <c r="C172" s="81" t="s">
        <v>56</v>
      </c>
      <c r="D172" s="81" t="s">
        <v>154</v>
      </c>
      <c r="E172" s="82">
        <v>95</v>
      </c>
      <c r="F172" s="83">
        <v>2.2999999999999998</v>
      </c>
      <c r="G172" s="81" t="s">
        <v>57</v>
      </c>
      <c r="H172" s="81"/>
      <c r="I172" s="84"/>
      <c r="J172" s="84"/>
      <c r="K172" s="84"/>
      <c r="L172" s="84">
        <v>2800</v>
      </c>
      <c r="M172" s="84">
        <v>2800</v>
      </c>
      <c r="N172" s="84"/>
      <c r="O172" s="84"/>
      <c r="P172" s="84">
        <v>4200</v>
      </c>
      <c r="Q172" s="84">
        <v>4200</v>
      </c>
      <c r="R172" s="84"/>
      <c r="S172" s="84"/>
      <c r="T172" s="84"/>
      <c r="U172" s="84"/>
      <c r="V172" s="84"/>
      <c r="W172" s="84"/>
      <c r="X172" s="84"/>
      <c r="Y172" s="84"/>
      <c r="Z172" s="84"/>
      <c r="AA172" s="85"/>
      <c r="AB172" s="100"/>
      <c r="AC172" s="100"/>
      <c r="AD172" s="100"/>
      <c r="AE172" s="100"/>
      <c r="AF172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172" s="88">
        <f>Programacion[[#This Row],[ENERO]]+Programacion[[#This Row],[FEBRERO]]+Programacion[[#This Row],[MARZO]]</f>
        <v>2800</v>
      </c>
      <c r="AH172" s="88">
        <f>Programacion[[#This Row],[DEVENGADO ENERO]]+Programacion[[#This Row],[DEVENGADO FEBRERO]]+Programacion[[#This Row],[DEVENGADO MARZO]]</f>
        <v>2800</v>
      </c>
      <c r="AI172" s="88">
        <f>Programacion[[#This Row],[ABRIL]]+Programacion[[#This Row],[MAYO]]+Programacion[[#This Row],[JUNIO]]</f>
        <v>4200</v>
      </c>
      <c r="AJ172" s="88">
        <f>Programacion[[#This Row],[DEVENGADO ABRIL]]+Programacion[[#This Row],[DEVENGADO MAYO]]+Programacion[[#This Row],[DEVENGADO JUNIO]]</f>
        <v>4200</v>
      </c>
      <c r="AK172" s="88">
        <f>Programacion[[#This Row],[JULIO]]+Programacion[[#This Row],[AGOSTO]]+Programacion[[#This Row],[SEPTIEMBRE]]</f>
        <v>0</v>
      </c>
      <c r="AL172" s="88">
        <f>Programacion[[#This Row],[DEVENGADO JULIO]]+Programacion[[#This Row],[DEVENGADO AGOSTO]]+Programacion[[#This Row],[DEVENGADO SEPTIEMBRE]]</f>
        <v>0</v>
      </c>
      <c r="AM172" s="88">
        <f>Programacion[[#This Row],[OCTUBRE]]+Programacion[[#This Row],[NOVIEMBRE]]+Programacion[[#This Row],[DICIEMBRE]]</f>
        <v>0</v>
      </c>
      <c r="AN172" s="89">
        <f>Programacion[[#This Row],[DEVENGADO OCTUBRE]]+Programacion[[#This Row],[DEVENGADO NOVIEMBRE]]+Programacion[[#This Row],[DEVENGADO DICIEMBRE]]</f>
        <v>0</v>
      </c>
      <c r="AO172" s="89">
        <f>Programacion[[#This Row],[ENERO]]+Programacion[[#This Row],[FEBRERO]]+Programacion[[#This Row],[MARZO]]+Programacion[[#This Row],[ABRIL]]+Programacion[[#This Row],[MAYO]]+Programacion[[#This Row],[JUNIO]]</f>
        <v>7000</v>
      </c>
      <c r="AP172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7000</v>
      </c>
      <c r="AQ172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2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7000</v>
      </c>
      <c r="AT172" s="116"/>
    </row>
    <row r="173" spans="1:46" ht="30" x14ac:dyDescent="0.25">
      <c r="A173" s="99" t="s">
        <v>152</v>
      </c>
      <c r="B173" s="90" t="s">
        <v>180</v>
      </c>
      <c r="C173" s="81" t="s">
        <v>56</v>
      </c>
      <c r="D173" s="81" t="s">
        <v>154</v>
      </c>
      <c r="E173" s="82">
        <v>96</v>
      </c>
      <c r="F173" s="83">
        <v>2.2999999999999998</v>
      </c>
      <c r="G173" s="81" t="s">
        <v>57</v>
      </c>
      <c r="H173" s="81">
        <v>10500</v>
      </c>
      <c r="I173" s="84">
        <v>10500</v>
      </c>
      <c r="J173" s="84"/>
      <c r="K173" s="84"/>
      <c r="L173" s="84">
        <v>10500</v>
      </c>
      <c r="M173" s="84">
        <v>10500</v>
      </c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5"/>
      <c r="AB173" s="100"/>
      <c r="AC173" s="100"/>
      <c r="AD173" s="100"/>
      <c r="AE173" s="100"/>
      <c r="AF173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21000</v>
      </c>
      <c r="AG173" s="88">
        <f>Programacion[[#This Row],[ENERO]]+Programacion[[#This Row],[FEBRERO]]+Programacion[[#This Row],[MARZO]]</f>
        <v>21000</v>
      </c>
      <c r="AH173" s="88">
        <f>Programacion[[#This Row],[DEVENGADO ENERO]]+Programacion[[#This Row],[DEVENGADO FEBRERO]]+Programacion[[#This Row],[DEVENGADO MARZO]]</f>
        <v>21000</v>
      </c>
      <c r="AI173" s="88">
        <f>Programacion[[#This Row],[ABRIL]]+Programacion[[#This Row],[MAYO]]+Programacion[[#This Row],[JUNIO]]</f>
        <v>0</v>
      </c>
      <c r="AJ173" s="88">
        <f>Programacion[[#This Row],[DEVENGADO ABRIL]]+Programacion[[#This Row],[DEVENGADO MAYO]]+Programacion[[#This Row],[DEVENGADO JUNIO]]</f>
        <v>0</v>
      </c>
      <c r="AK173" s="88">
        <f>Programacion[[#This Row],[JULIO]]+Programacion[[#This Row],[AGOSTO]]+Programacion[[#This Row],[SEPTIEMBRE]]</f>
        <v>0</v>
      </c>
      <c r="AL173" s="88">
        <f>Programacion[[#This Row],[DEVENGADO JULIO]]+Programacion[[#This Row],[DEVENGADO AGOSTO]]+Programacion[[#This Row],[DEVENGADO SEPTIEMBRE]]</f>
        <v>0</v>
      </c>
      <c r="AM173" s="88">
        <f>Programacion[[#This Row],[OCTUBRE]]+Programacion[[#This Row],[NOVIEMBRE]]+Programacion[[#This Row],[DICIEMBRE]]</f>
        <v>0</v>
      </c>
      <c r="AN173" s="89">
        <f>Programacion[[#This Row],[DEVENGADO OCTUBRE]]+Programacion[[#This Row],[DEVENGADO NOVIEMBRE]]+Programacion[[#This Row],[DEVENGADO DICIEMBRE]]</f>
        <v>0</v>
      </c>
      <c r="AO173" s="89">
        <f>Programacion[[#This Row],[ENERO]]+Programacion[[#This Row],[FEBRERO]]+Programacion[[#This Row],[MARZO]]+Programacion[[#This Row],[ABRIL]]+Programacion[[#This Row],[MAYO]]+Programacion[[#This Row],[JUNIO]]</f>
        <v>21000</v>
      </c>
      <c r="AP173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21000</v>
      </c>
      <c r="AQ173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3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21000</v>
      </c>
      <c r="AT173" s="116"/>
    </row>
    <row r="174" spans="1:46" ht="30" x14ac:dyDescent="0.25">
      <c r="A174" s="99" t="s">
        <v>152</v>
      </c>
      <c r="B174" s="90" t="s">
        <v>181</v>
      </c>
      <c r="C174" s="81" t="s">
        <v>56</v>
      </c>
      <c r="D174" s="81" t="s">
        <v>154</v>
      </c>
      <c r="E174" s="82">
        <v>96</v>
      </c>
      <c r="F174" s="83">
        <v>2.2999999999999998</v>
      </c>
      <c r="G174" s="81" t="s">
        <v>57</v>
      </c>
      <c r="H174" s="81"/>
      <c r="I174" s="84"/>
      <c r="J174" s="84"/>
      <c r="K174" s="84"/>
      <c r="L174" s="84">
        <v>10800</v>
      </c>
      <c r="M174" s="84">
        <v>10800</v>
      </c>
      <c r="N174" s="84">
        <v>10800</v>
      </c>
      <c r="O174" s="84">
        <v>10800</v>
      </c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5"/>
      <c r="AB174" s="100"/>
      <c r="AC174" s="100"/>
      <c r="AD174" s="100"/>
      <c r="AE174" s="100"/>
      <c r="AF174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174" s="88">
        <f>Programacion[[#This Row],[ENERO]]+Programacion[[#This Row],[FEBRERO]]+Programacion[[#This Row],[MARZO]]</f>
        <v>10800</v>
      </c>
      <c r="AH174" s="88">
        <f>Programacion[[#This Row],[DEVENGADO ENERO]]+Programacion[[#This Row],[DEVENGADO FEBRERO]]+Programacion[[#This Row],[DEVENGADO MARZO]]</f>
        <v>10800</v>
      </c>
      <c r="AI174" s="88">
        <f>Programacion[[#This Row],[ABRIL]]+Programacion[[#This Row],[MAYO]]+Programacion[[#This Row],[JUNIO]]</f>
        <v>10800</v>
      </c>
      <c r="AJ174" s="88">
        <f>Programacion[[#This Row],[DEVENGADO ABRIL]]+Programacion[[#This Row],[DEVENGADO MAYO]]+Programacion[[#This Row],[DEVENGADO JUNIO]]</f>
        <v>10800</v>
      </c>
      <c r="AK174" s="88">
        <f>Programacion[[#This Row],[JULIO]]+Programacion[[#This Row],[AGOSTO]]+Programacion[[#This Row],[SEPTIEMBRE]]</f>
        <v>0</v>
      </c>
      <c r="AL174" s="88">
        <f>Programacion[[#This Row],[DEVENGADO JULIO]]+Programacion[[#This Row],[DEVENGADO AGOSTO]]+Programacion[[#This Row],[DEVENGADO SEPTIEMBRE]]</f>
        <v>0</v>
      </c>
      <c r="AM174" s="88">
        <f>Programacion[[#This Row],[OCTUBRE]]+Programacion[[#This Row],[NOVIEMBRE]]+Programacion[[#This Row],[DICIEMBRE]]</f>
        <v>0</v>
      </c>
      <c r="AN174" s="89">
        <f>Programacion[[#This Row],[DEVENGADO OCTUBRE]]+Programacion[[#This Row],[DEVENGADO NOVIEMBRE]]+Programacion[[#This Row],[DEVENGADO DICIEMBRE]]</f>
        <v>0</v>
      </c>
      <c r="AO174" s="89">
        <f>Programacion[[#This Row],[ENERO]]+Programacion[[#This Row],[FEBRERO]]+Programacion[[#This Row],[MARZO]]+Programacion[[#This Row],[ABRIL]]+Programacion[[#This Row],[MAYO]]+Programacion[[#This Row],[JUNIO]]</f>
        <v>21600</v>
      </c>
      <c r="AP174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174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4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T174" s="116"/>
    </row>
    <row r="175" spans="1:46" ht="30" x14ac:dyDescent="0.25">
      <c r="A175" s="95" t="s">
        <v>152</v>
      </c>
      <c r="B175" s="90" t="s">
        <v>180</v>
      </c>
      <c r="C175" s="91" t="s">
        <v>56</v>
      </c>
      <c r="D175" s="94" t="s">
        <v>154</v>
      </c>
      <c r="E175" s="92">
        <v>96</v>
      </c>
      <c r="F175" s="93">
        <v>2.2999999999999998</v>
      </c>
      <c r="G175" s="81" t="s">
        <v>57</v>
      </c>
      <c r="H175" s="88"/>
      <c r="I175" s="88"/>
      <c r="J175" s="88"/>
      <c r="K175" s="88"/>
      <c r="L175" s="88"/>
      <c r="M175" s="88"/>
      <c r="N175" s="88"/>
      <c r="O175" s="88"/>
      <c r="P175" s="88">
        <v>10800</v>
      </c>
      <c r="Q175" s="88">
        <v>10800</v>
      </c>
      <c r="R175" s="88">
        <v>10800</v>
      </c>
      <c r="S175" s="88">
        <v>10800</v>
      </c>
      <c r="T175" s="88">
        <v>10800</v>
      </c>
      <c r="U175" s="88">
        <v>10800</v>
      </c>
      <c r="V175" s="88">
        <v>10800</v>
      </c>
      <c r="W175" s="88"/>
      <c r="X175" s="88"/>
      <c r="Y175" s="88"/>
      <c r="Z175" s="88"/>
      <c r="AA175" s="88"/>
      <c r="AB175" s="88"/>
      <c r="AC175" s="88"/>
      <c r="AD175" s="88"/>
      <c r="AE175" s="88"/>
      <c r="AF175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43200</v>
      </c>
      <c r="AG175" s="88">
        <f>Programacion[[#This Row],[ENERO]]+Programacion[[#This Row],[FEBRERO]]+Programacion[[#This Row],[MARZO]]</f>
        <v>0</v>
      </c>
      <c r="AH175" s="88">
        <f>Programacion[[#This Row],[DEVENGADO ENERO]]+Programacion[[#This Row],[DEVENGADO FEBRERO]]+Programacion[[#This Row],[DEVENGADO MARZO]]</f>
        <v>0</v>
      </c>
      <c r="AI175" s="88">
        <f>Programacion[[#This Row],[ABRIL]]+Programacion[[#This Row],[MAYO]]+Programacion[[#This Row],[JUNIO]]</f>
        <v>21600</v>
      </c>
      <c r="AJ175" s="88">
        <f>Programacion[[#This Row],[DEVENGADO ABRIL]]+Programacion[[#This Row],[DEVENGADO MAYO]]+Programacion[[#This Row],[DEVENGADO JUNIO]]</f>
        <v>21600</v>
      </c>
      <c r="AK175" s="88">
        <f>Programacion[[#This Row],[JULIO]]+Programacion[[#This Row],[AGOSTO]]+Programacion[[#This Row],[SEPTIEMBRE]]</f>
        <v>21600</v>
      </c>
      <c r="AL175" s="88">
        <f>Programacion[[#This Row],[DEVENGADO JULIO]]+Programacion[[#This Row],[DEVENGADO AGOSTO]]+Programacion[[#This Row],[DEVENGADO SEPTIEMBRE]]</f>
        <v>10800</v>
      </c>
      <c r="AM175" s="88">
        <f>Programacion[[#This Row],[OCTUBRE]]+Programacion[[#This Row],[NOVIEMBRE]]+Programacion[[#This Row],[DICIEMBRE]]</f>
        <v>0</v>
      </c>
      <c r="AN175" s="97">
        <f>Programacion[[#This Row],[DEVENGADO OCTUBRE]]+Programacion[[#This Row],[DEVENGADO NOVIEMBRE]]+Programacion[[#This Row],[DEVENGADO DICIEMBRE]]</f>
        <v>0</v>
      </c>
      <c r="AO175" s="97">
        <f>Programacion[[#This Row],[ENERO]]+Programacion[[#This Row],[FEBRERO]]+Programacion[[#This Row],[MARZO]]+Programacion[[#This Row],[ABRIL]]+Programacion[[#This Row],[MAYO]]+Programacion[[#This Row],[JUNIO]]</f>
        <v>21600</v>
      </c>
      <c r="AP175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175" s="97">
        <f>Programacion[[#This Row],[JULIO]]+Programacion[[#This Row],[AGOSTO]]+Programacion[[#This Row],[SEPTIEMBRE]]+Programacion[[#This Row],[OCTUBRE]]+Programacion[[#This Row],[NOVIEMBRE]]+Programacion[[#This Row],[DICIEMBRE]]</f>
        <v>21600</v>
      </c>
      <c r="AR175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10800</v>
      </c>
      <c r="AS175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32400</v>
      </c>
      <c r="AT175" s="116"/>
    </row>
    <row r="176" spans="1:46" ht="30" x14ac:dyDescent="0.25">
      <c r="A176" s="95" t="s">
        <v>152</v>
      </c>
      <c r="B176" s="90" t="s">
        <v>182</v>
      </c>
      <c r="C176" s="91" t="s">
        <v>56</v>
      </c>
      <c r="D176" s="94" t="s">
        <v>154</v>
      </c>
      <c r="E176" s="92">
        <v>96</v>
      </c>
      <c r="F176" s="93">
        <v>2.2999999999999998</v>
      </c>
      <c r="G176" s="81" t="s">
        <v>57</v>
      </c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>
        <v>21600</v>
      </c>
      <c r="AA176" s="88"/>
      <c r="AB176" s="88"/>
      <c r="AC176" s="88"/>
      <c r="AD176" s="88"/>
      <c r="AE176" s="88"/>
      <c r="AF176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176" s="88">
        <f>Programacion[[#This Row],[ENERO]]+Programacion[[#This Row],[FEBRERO]]+Programacion[[#This Row],[MARZO]]</f>
        <v>0</v>
      </c>
      <c r="AH176" s="88">
        <f>Programacion[[#This Row],[DEVENGADO ENERO]]+Programacion[[#This Row],[DEVENGADO FEBRERO]]+Programacion[[#This Row],[DEVENGADO MARZO]]</f>
        <v>0</v>
      </c>
      <c r="AI176" s="88">
        <f>Programacion[[#This Row],[ABRIL]]+Programacion[[#This Row],[MAYO]]+Programacion[[#This Row],[JUNIO]]</f>
        <v>0</v>
      </c>
      <c r="AJ176" s="88">
        <f>Programacion[[#This Row],[DEVENGADO ABRIL]]+Programacion[[#This Row],[DEVENGADO MAYO]]+Programacion[[#This Row],[DEVENGADO JUNIO]]</f>
        <v>0</v>
      </c>
      <c r="AK176" s="88">
        <f>Programacion[[#This Row],[JULIO]]+Programacion[[#This Row],[AGOSTO]]+Programacion[[#This Row],[SEPTIEMBRE]]</f>
        <v>0</v>
      </c>
      <c r="AL176" s="88">
        <f>Programacion[[#This Row],[DEVENGADO JULIO]]+Programacion[[#This Row],[DEVENGADO AGOSTO]]+Programacion[[#This Row],[DEVENGADO SEPTIEMBRE]]</f>
        <v>0</v>
      </c>
      <c r="AM176" s="88">
        <f>Programacion[[#This Row],[OCTUBRE]]+Programacion[[#This Row],[NOVIEMBRE]]+Programacion[[#This Row],[DICIEMBRE]]</f>
        <v>21600</v>
      </c>
      <c r="AN176" s="97">
        <f>Programacion[[#This Row],[DEVENGADO OCTUBRE]]+Programacion[[#This Row],[DEVENGADO NOVIEMBRE]]+Programacion[[#This Row],[DEVENGADO DICIEMBRE]]</f>
        <v>0</v>
      </c>
      <c r="AO176" s="97">
        <f>Programacion[[#This Row],[ENERO]]+Programacion[[#This Row],[FEBRERO]]+Programacion[[#This Row],[MARZO]]+Programacion[[#This Row],[ABRIL]]+Programacion[[#This Row],[MAYO]]+Programacion[[#This Row],[JUNIO]]</f>
        <v>0</v>
      </c>
      <c r="AP176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6" s="97">
        <f>Programacion[[#This Row],[JULIO]]+Programacion[[#This Row],[AGOSTO]]+Programacion[[#This Row],[SEPTIEMBRE]]+Programacion[[#This Row],[OCTUBRE]]+Programacion[[#This Row],[NOVIEMBRE]]+Programacion[[#This Row],[DICIEMBRE]]</f>
        <v>21600</v>
      </c>
      <c r="AR176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6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6" s="116"/>
    </row>
    <row r="177" spans="1:46" ht="30" x14ac:dyDescent="0.25">
      <c r="A177" s="95" t="s">
        <v>152</v>
      </c>
      <c r="B177" s="90" t="s">
        <v>183</v>
      </c>
      <c r="C177" s="91" t="s">
        <v>56</v>
      </c>
      <c r="D177" s="94" t="s">
        <v>154</v>
      </c>
      <c r="E177" s="92">
        <v>96</v>
      </c>
      <c r="F177" s="93">
        <v>2.2999999999999998</v>
      </c>
      <c r="G177" s="81" t="s">
        <v>57</v>
      </c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>
        <v>5000</v>
      </c>
      <c r="S177" s="88">
        <v>5000</v>
      </c>
      <c r="T177" s="88">
        <v>5000</v>
      </c>
      <c r="U177" s="88">
        <v>5000</v>
      </c>
      <c r="V177" s="88"/>
      <c r="W177" s="88"/>
      <c r="X177" s="88">
        <v>5000</v>
      </c>
      <c r="Y177" s="88"/>
      <c r="Z177" s="88"/>
      <c r="AA177" s="88"/>
      <c r="AB177" s="88"/>
      <c r="AC177" s="88"/>
      <c r="AD177" s="88"/>
      <c r="AE177" s="88"/>
      <c r="AF177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177" s="88">
        <f>Programacion[[#This Row],[ENERO]]+Programacion[[#This Row],[FEBRERO]]+Programacion[[#This Row],[MARZO]]</f>
        <v>0</v>
      </c>
      <c r="AH177" s="88">
        <f>Programacion[[#This Row],[DEVENGADO ENERO]]+Programacion[[#This Row],[DEVENGADO FEBRERO]]+Programacion[[#This Row],[DEVENGADO MARZO]]</f>
        <v>0</v>
      </c>
      <c r="AI177" s="88">
        <f>Programacion[[#This Row],[ABRIL]]+Programacion[[#This Row],[MAYO]]+Programacion[[#This Row],[JUNIO]]</f>
        <v>5000</v>
      </c>
      <c r="AJ177" s="88">
        <f>Programacion[[#This Row],[DEVENGADO ABRIL]]+Programacion[[#This Row],[DEVENGADO MAYO]]+Programacion[[#This Row],[DEVENGADO JUNIO]]</f>
        <v>5000</v>
      </c>
      <c r="AK177" s="88">
        <f>Programacion[[#This Row],[JULIO]]+Programacion[[#This Row],[AGOSTO]]+Programacion[[#This Row],[SEPTIEMBRE]]</f>
        <v>10000</v>
      </c>
      <c r="AL177" s="88">
        <f>Programacion[[#This Row],[DEVENGADO JULIO]]+Programacion[[#This Row],[DEVENGADO AGOSTO]]+Programacion[[#This Row],[DEVENGADO SEPTIEMBRE]]</f>
        <v>5000</v>
      </c>
      <c r="AM177" s="88">
        <f>Programacion[[#This Row],[OCTUBRE]]+Programacion[[#This Row],[NOVIEMBRE]]+Programacion[[#This Row],[DICIEMBRE]]</f>
        <v>0</v>
      </c>
      <c r="AN177" s="97">
        <f>Programacion[[#This Row],[DEVENGADO OCTUBRE]]+Programacion[[#This Row],[DEVENGADO NOVIEMBRE]]+Programacion[[#This Row],[DEVENGADO DICIEMBRE]]</f>
        <v>0</v>
      </c>
      <c r="AO177" s="97">
        <f>Programacion[[#This Row],[ENERO]]+Programacion[[#This Row],[FEBRERO]]+Programacion[[#This Row],[MARZO]]+Programacion[[#This Row],[ABRIL]]+Programacion[[#This Row],[MAYO]]+Programacion[[#This Row],[JUNIO]]</f>
        <v>5000</v>
      </c>
      <c r="AP177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77" s="97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177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77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77" s="116"/>
    </row>
    <row r="178" spans="1:46" ht="30" x14ac:dyDescent="0.25">
      <c r="A178" s="140" t="s">
        <v>152</v>
      </c>
      <c r="B178" s="141" t="s">
        <v>274</v>
      </c>
      <c r="C178" s="142" t="s">
        <v>269</v>
      </c>
      <c r="D178" s="142" t="s">
        <v>275</v>
      </c>
      <c r="E178" s="140">
        <v>96</v>
      </c>
      <c r="F178" s="143">
        <v>23</v>
      </c>
      <c r="G178" s="142" t="s">
        <v>276</v>
      </c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>
        <v>10000</v>
      </c>
      <c r="AA178" s="33"/>
      <c r="AB178" s="33"/>
      <c r="AC178" s="33"/>
      <c r="AD178" s="33"/>
      <c r="AE178" s="33"/>
      <c r="AF17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178" s="33">
        <f>Programacion[[#This Row],[ENERO]]+Programacion[[#This Row],[FEBRERO]]+Programacion[[#This Row],[MARZO]]</f>
        <v>0</v>
      </c>
      <c r="AH178" s="33">
        <f>Programacion[[#This Row],[DEVENGADO ENERO]]+Programacion[[#This Row],[DEVENGADO FEBRERO]]+Programacion[[#This Row],[DEVENGADO MARZO]]</f>
        <v>0</v>
      </c>
      <c r="AI178" s="33">
        <f>Programacion[[#This Row],[ABRIL]]+Programacion[[#This Row],[MAYO]]+Programacion[[#This Row],[JUNIO]]</f>
        <v>0</v>
      </c>
      <c r="AJ178" s="33">
        <f>Programacion[[#This Row],[DEVENGADO ABRIL]]+Programacion[[#This Row],[DEVENGADO MAYO]]+Programacion[[#This Row],[DEVENGADO JUNIO]]</f>
        <v>0</v>
      </c>
      <c r="AK178" s="33">
        <f>Programacion[[#This Row],[JULIO]]+Programacion[[#This Row],[AGOSTO]]+Programacion[[#This Row],[SEPTIEMBRE]]</f>
        <v>0</v>
      </c>
      <c r="AL178" s="33">
        <f>Programacion[[#This Row],[DEVENGADO JULIO]]+Programacion[[#This Row],[DEVENGADO AGOSTO]]+Programacion[[#This Row],[DEVENGADO SEPTIEMBRE]]</f>
        <v>0</v>
      </c>
      <c r="AM178" s="33">
        <f>Programacion[[#This Row],[OCTUBRE]]+Programacion[[#This Row],[NOVIEMBRE]]+Programacion[[#This Row],[DICIEMBRE]]</f>
        <v>10000</v>
      </c>
      <c r="AN178" s="21">
        <f>Programacion[[#This Row],[DEVENGADO OCTUBRE]]+Programacion[[#This Row],[DEVENGADO NOVIEMBRE]]+Programacion[[#This Row],[DEVENGADO DICIEMBRE]]</f>
        <v>0</v>
      </c>
      <c r="AO178" s="21">
        <f>Programacion[[#This Row],[ENERO]]+Programacion[[#This Row],[FEBRERO]]+Programacion[[#This Row],[MARZO]]+Programacion[[#This Row],[ABRIL]]+Programacion[[#This Row],[MAYO]]+Programacion[[#This Row],[JUNIO]]</f>
        <v>0</v>
      </c>
      <c r="AP17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8" s="21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17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8" s="116"/>
    </row>
    <row r="179" spans="1:46" ht="30" x14ac:dyDescent="0.25">
      <c r="A179" s="99" t="s">
        <v>152</v>
      </c>
      <c r="B179" s="90" t="s">
        <v>184</v>
      </c>
      <c r="C179" s="81" t="s">
        <v>56</v>
      </c>
      <c r="D179" s="81" t="s">
        <v>154</v>
      </c>
      <c r="E179" s="82">
        <v>96</v>
      </c>
      <c r="F179" s="83">
        <v>2.2999999999999998</v>
      </c>
      <c r="G179" s="81" t="s">
        <v>57</v>
      </c>
      <c r="H179" s="81">
        <v>8774</v>
      </c>
      <c r="I179" s="84">
        <v>8774</v>
      </c>
      <c r="J179" s="84"/>
      <c r="K179" s="84"/>
      <c r="L179" s="84">
        <v>8774</v>
      </c>
      <c r="M179" s="84">
        <v>8774</v>
      </c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5"/>
      <c r="AB179" s="100"/>
      <c r="AC179" s="100"/>
      <c r="AD179" s="100"/>
      <c r="AE179" s="100"/>
      <c r="AF179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17548</v>
      </c>
      <c r="AG179" s="88">
        <f>Programacion[[#This Row],[ENERO]]+Programacion[[#This Row],[FEBRERO]]+Programacion[[#This Row],[MARZO]]</f>
        <v>17548</v>
      </c>
      <c r="AH179" s="88">
        <f>Programacion[[#This Row],[DEVENGADO ENERO]]+Programacion[[#This Row],[DEVENGADO FEBRERO]]+Programacion[[#This Row],[DEVENGADO MARZO]]</f>
        <v>17548</v>
      </c>
      <c r="AI179" s="88">
        <f>Programacion[[#This Row],[ABRIL]]+Programacion[[#This Row],[MAYO]]+Programacion[[#This Row],[JUNIO]]</f>
        <v>0</v>
      </c>
      <c r="AJ179" s="88">
        <f>Programacion[[#This Row],[DEVENGADO ABRIL]]+Programacion[[#This Row],[DEVENGADO MAYO]]+Programacion[[#This Row],[DEVENGADO JUNIO]]</f>
        <v>0</v>
      </c>
      <c r="AK179" s="88">
        <f>Programacion[[#This Row],[JULIO]]+Programacion[[#This Row],[AGOSTO]]+Programacion[[#This Row],[SEPTIEMBRE]]</f>
        <v>0</v>
      </c>
      <c r="AL179" s="88">
        <f>Programacion[[#This Row],[DEVENGADO JULIO]]+Programacion[[#This Row],[DEVENGADO AGOSTO]]+Programacion[[#This Row],[DEVENGADO SEPTIEMBRE]]</f>
        <v>0</v>
      </c>
      <c r="AM179" s="88">
        <f>Programacion[[#This Row],[OCTUBRE]]+Programacion[[#This Row],[NOVIEMBRE]]+Programacion[[#This Row],[DICIEMBRE]]</f>
        <v>0</v>
      </c>
      <c r="AN179" s="89">
        <f>Programacion[[#This Row],[DEVENGADO OCTUBRE]]+Programacion[[#This Row],[DEVENGADO NOVIEMBRE]]+Programacion[[#This Row],[DEVENGADO DICIEMBRE]]</f>
        <v>0</v>
      </c>
      <c r="AO179" s="89">
        <f>Programacion[[#This Row],[ENERO]]+Programacion[[#This Row],[FEBRERO]]+Programacion[[#This Row],[MARZO]]+Programacion[[#This Row],[ABRIL]]+Programacion[[#This Row],[MAYO]]+Programacion[[#This Row],[JUNIO]]</f>
        <v>17548</v>
      </c>
      <c r="AP179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17548</v>
      </c>
      <c r="AQ179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9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17548</v>
      </c>
      <c r="AT179" s="116"/>
    </row>
    <row r="180" spans="1:46" ht="30" x14ac:dyDescent="0.25">
      <c r="A180" s="99" t="s">
        <v>152</v>
      </c>
      <c r="B180" s="90" t="s">
        <v>185</v>
      </c>
      <c r="C180" s="81" t="s">
        <v>56</v>
      </c>
      <c r="D180" s="81" t="s">
        <v>154</v>
      </c>
      <c r="E180" s="82">
        <v>96</v>
      </c>
      <c r="F180" s="83">
        <v>2.2999999999999998</v>
      </c>
      <c r="G180" s="81" t="s">
        <v>57</v>
      </c>
      <c r="H180" s="81"/>
      <c r="I180" s="84"/>
      <c r="J180" s="84"/>
      <c r="K180" s="84"/>
      <c r="L180" s="84">
        <v>8520</v>
      </c>
      <c r="M180" s="84">
        <v>8520</v>
      </c>
      <c r="N180" s="84">
        <v>5680</v>
      </c>
      <c r="O180" s="84">
        <v>5680</v>
      </c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5"/>
      <c r="AB180" s="100"/>
      <c r="AC180" s="100"/>
      <c r="AD180" s="100"/>
      <c r="AE180" s="100"/>
      <c r="AF180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14200</v>
      </c>
      <c r="AG180" s="88">
        <f>Programacion[[#This Row],[ENERO]]+Programacion[[#This Row],[FEBRERO]]+Programacion[[#This Row],[MARZO]]</f>
        <v>8520</v>
      </c>
      <c r="AH180" s="88">
        <f>Programacion[[#This Row],[DEVENGADO ENERO]]+Programacion[[#This Row],[DEVENGADO FEBRERO]]+Programacion[[#This Row],[DEVENGADO MARZO]]</f>
        <v>8520</v>
      </c>
      <c r="AI180" s="88">
        <f>Programacion[[#This Row],[ABRIL]]+Programacion[[#This Row],[MAYO]]+Programacion[[#This Row],[JUNIO]]</f>
        <v>5680</v>
      </c>
      <c r="AJ180" s="88">
        <f>Programacion[[#This Row],[DEVENGADO ABRIL]]+Programacion[[#This Row],[DEVENGADO MAYO]]+Programacion[[#This Row],[DEVENGADO JUNIO]]</f>
        <v>5680</v>
      </c>
      <c r="AK180" s="88">
        <f>Programacion[[#This Row],[JULIO]]+Programacion[[#This Row],[AGOSTO]]+Programacion[[#This Row],[SEPTIEMBRE]]</f>
        <v>0</v>
      </c>
      <c r="AL180" s="88">
        <f>Programacion[[#This Row],[DEVENGADO JULIO]]+Programacion[[#This Row],[DEVENGADO AGOSTO]]+Programacion[[#This Row],[DEVENGADO SEPTIEMBRE]]</f>
        <v>0</v>
      </c>
      <c r="AM180" s="88">
        <f>Programacion[[#This Row],[OCTUBRE]]+Programacion[[#This Row],[NOVIEMBRE]]+Programacion[[#This Row],[DICIEMBRE]]</f>
        <v>0</v>
      </c>
      <c r="AN180" s="89">
        <f>Programacion[[#This Row],[DEVENGADO OCTUBRE]]+Programacion[[#This Row],[DEVENGADO NOVIEMBRE]]+Programacion[[#This Row],[DEVENGADO DICIEMBRE]]</f>
        <v>0</v>
      </c>
      <c r="AO180" s="89">
        <f>Programacion[[#This Row],[ENERO]]+Programacion[[#This Row],[FEBRERO]]+Programacion[[#This Row],[MARZO]]+Programacion[[#This Row],[ABRIL]]+Programacion[[#This Row],[MAYO]]+Programacion[[#This Row],[JUNIO]]</f>
        <v>14200</v>
      </c>
      <c r="AP180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14200</v>
      </c>
      <c r="AQ180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0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14200</v>
      </c>
      <c r="AT180" s="116"/>
    </row>
    <row r="181" spans="1:46" ht="45" x14ac:dyDescent="0.25">
      <c r="A181" s="95" t="s">
        <v>152</v>
      </c>
      <c r="B181" s="90" t="s">
        <v>186</v>
      </c>
      <c r="C181" s="91" t="s">
        <v>56</v>
      </c>
      <c r="D181" s="94" t="s">
        <v>154</v>
      </c>
      <c r="E181" s="92">
        <v>96</v>
      </c>
      <c r="F181" s="93">
        <v>2.2999999999999998</v>
      </c>
      <c r="G181" s="81" t="s">
        <v>57</v>
      </c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>
        <v>15000</v>
      </c>
      <c r="S181" s="88">
        <v>15000</v>
      </c>
      <c r="T181" s="88">
        <v>7500</v>
      </c>
      <c r="U181" s="88">
        <v>7500</v>
      </c>
      <c r="V181" s="88">
        <v>7500</v>
      </c>
      <c r="W181" s="88"/>
      <c r="X181" s="88">
        <v>7500</v>
      </c>
      <c r="Y181" s="88"/>
      <c r="Z181" s="88"/>
      <c r="AA181" s="88"/>
      <c r="AB181" s="88"/>
      <c r="AC181" s="88"/>
      <c r="AD181" s="88"/>
      <c r="AE181" s="88"/>
      <c r="AF181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37500</v>
      </c>
      <c r="AG181" s="88">
        <f>Programacion[[#This Row],[ENERO]]+Programacion[[#This Row],[FEBRERO]]+Programacion[[#This Row],[MARZO]]</f>
        <v>0</v>
      </c>
      <c r="AH181" s="88">
        <f>Programacion[[#This Row],[DEVENGADO ENERO]]+Programacion[[#This Row],[DEVENGADO FEBRERO]]+Programacion[[#This Row],[DEVENGADO MARZO]]</f>
        <v>0</v>
      </c>
      <c r="AI181" s="88">
        <f>Programacion[[#This Row],[ABRIL]]+Programacion[[#This Row],[MAYO]]+Programacion[[#This Row],[JUNIO]]</f>
        <v>15000</v>
      </c>
      <c r="AJ181" s="88">
        <f>Programacion[[#This Row],[DEVENGADO ABRIL]]+Programacion[[#This Row],[DEVENGADO MAYO]]+Programacion[[#This Row],[DEVENGADO JUNIO]]</f>
        <v>15000</v>
      </c>
      <c r="AK181" s="88">
        <f>Programacion[[#This Row],[JULIO]]+Programacion[[#This Row],[AGOSTO]]+Programacion[[#This Row],[SEPTIEMBRE]]</f>
        <v>22500</v>
      </c>
      <c r="AL181" s="88">
        <f>Programacion[[#This Row],[DEVENGADO JULIO]]+Programacion[[#This Row],[DEVENGADO AGOSTO]]+Programacion[[#This Row],[DEVENGADO SEPTIEMBRE]]</f>
        <v>7500</v>
      </c>
      <c r="AM181" s="88">
        <f>Programacion[[#This Row],[OCTUBRE]]+Programacion[[#This Row],[NOVIEMBRE]]+Programacion[[#This Row],[DICIEMBRE]]</f>
        <v>0</v>
      </c>
      <c r="AN181" s="97">
        <f>Programacion[[#This Row],[DEVENGADO OCTUBRE]]+Programacion[[#This Row],[DEVENGADO NOVIEMBRE]]+Programacion[[#This Row],[DEVENGADO DICIEMBRE]]</f>
        <v>0</v>
      </c>
      <c r="AO181" s="97">
        <f>Programacion[[#This Row],[ENERO]]+Programacion[[#This Row],[FEBRERO]]+Programacion[[#This Row],[MARZO]]+Programacion[[#This Row],[ABRIL]]+Programacion[[#This Row],[MAYO]]+Programacion[[#This Row],[JUNIO]]</f>
        <v>15000</v>
      </c>
      <c r="AP181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81" s="97">
        <f>Programacion[[#This Row],[JULIO]]+Programacion[[#This Row],[AGOSTO]]+Programacion[[#This Row],[SEPTIEMBRE]]+Programacion[[#This Row],[OCTUBRE]]+Programacion[[#This Row],[NOVIEMBRE]]+Programacion[[#This Row],[DICIEMBRE]]</f>
        <v>22500</v>
      </c>
      <c r="AR181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7500</v>
      </c>
      <c r="AS181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81" s="116"/>
    </row>
    <row r="182" spans="1:46" ht="45" x14ac:dyDescent="0.25">
      <c r="A182" s="95" t="s">
        <v>152</v>
      </c>
      <c r="B182" s="90" t="s">
        <v>187</v>
      </c>
      <c r="C182" s="91" t="s">
        <v>56</v>
      </c>
      <c r="D182" s="94" t="s">
        <v>154</v>
      </c>
      <c r="E182" s="92">
        <v>96</v>
      </c>
      <c r="F182" s="93">
        <v>2.2999999999999998</v>
      </c>
      <c r="G182" s="81" t="s">
        <v>57</v>
      </c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>
        <v>9444.0300000000007</v>
      </c>
      <c r="AA182" s="88"/>
      <c r="AB182" s="88"/>
      <c r="AC182" s="88"/>
      <c r="AD182" s="88"/>
      <c r="AE182" s="88"/>
      <c r="AF182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9444.0300000000007</v>
      </c>
      <c r="AG182" s="88">
        <f>Programacion[[#This Row],[ENERO]]+Programacion[[#This Row],[FEBRERO]]+Programacion[[#This Row],[MARZO]]</f>
        <v>0</v>
      </c>
      <c r="AH182" s="88">
        <f>Programacion[[#This Row],[DEVENGADO ENERO]]+Programacion[[#This Row],[DEVENGADO FEBRERO]]+Programacion[[#This Row],[DEVENGADO MARZO]]</f>
        <v>0</v>
      </c>
      <c r="AI182" s="88">
        <f>Programacion[[#This Row],[ABRIL]]+Programacion[[#This Row],[MAYO]]+Programacion[[#This Row],[JUNIO]]</f>
        <v>0</v>
      </c>
      <c r="AJ182" s="88">
        <f>Programacion[[#This Row],[DEVENGADO ABRIL]]+Programacion[[#This Row],[DEVENGADO MAYO]]+Programacion[[#This Row],[DEVENGADO JUNIO]]</f>
        <v>0</v>
      </c>
      <c r="AK182" s="88">
        <f>Programacion[[#This Row],[JULIO]]+Programacion[[#This Row],[AGOSTO]]+Programacion[[#This Row],[SEPTIEMBRE]]</f>
        <v>0</v>
      </c>
      <c r="AL182" s="88">
        <f>Programacion[[#This Row],[DEVENGADO JULIO]]+Programacion[[#This Row],[DEVENGADO AGOSTO]]+Programacion[[#This Row],[DEVENGADO SEPTIEMBRE]]</f>
        <v>0</v>
      </c>
      <c r="AM182" s="88">
        <f>Programacion[[#This Row],[OCTUBRE]]+Programacion[[#This Row],[NOVIEMBRE]]+Programacion[[#This Row],[DICIEMBRE]]</f>
        <v>9444.0300000000007</v>
      </c>
      <c r="AN182" s="97">
        <f>Programacion[[#This Row],[DEVENGADO OCTUBRE]]+Programacion[[#This Row],[DEVENGADO NOVIEMBRE]]+Programacion[[#This Row],[DEVENGADO DICIEMBRE]]</f>
        <v>0</v>
      </c>
      <c r="AO182" s="97">
        <f>Programacion[[#This Row],[ENERO]]+Programacion[[#This Row],[FEBRERO]]+Programacion[[#This Row],[MARZO]]+Programacion[[#This Row],[ABRIL]]+Programacion[[#This Row],[MAYO]]+Programacion[[#This Row],[JUNIO]]</f>
        <v>0</v>
      </c>
      <c r="AP182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2" s="97">
        <f>Programacion[[#This Row],[JULIO]]+Programacion[[#This Row],[AGOSTO]]+Programacion[[#This Row],[SEPTIEMBRE]]+Programacion[[#This Row],[OCTUBRE]]+Programacion[[#This Row],[NOVIEMBRE]]+Programacion[[#This Row],[DICIEMBRE]]</f>
        <v>9444.0300000000007</v>
      </c>
      <c r="AR182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2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2" s="116"/>
    </row>
    <row r="183" spans="1:46" ht="45" x14ac:dyDescent="0.25">
      <c r="A183" s="99" t="s">
        <v>152</v>
      </c>
      <c r="B183" s="90" t="s">
        <v>188</v>
      </c>
      <c r="C183" s="81" t="s">
        <v>56</v>
      </c>
      <c r="D183" s="81" t="s">
        <v>154</v>
      </c>
      <c r="E183" s="82">
        <v>96</v>
      </c>
      <c r="F183" s="83">
        <v>2.2999999999999998</v>
      </c>
      <c r="G183" s="81" t="s">
        <v>71</v>
      </c>
      <c r="H183" s="81"/>
      <c r="I183" s="84"/>
      <c r="J183" s="84"/>
      <c r="K183" s="84"/>
      <c r="L183" s="84">
        <v>6000</v>
      </c>
      <c r="M183" s="84">
        <v>6000</v>
      </c>
      <c r="N183" s="84"/>
      <c r="O183" s="84"/>
      <c r="P183" s="84">
        <v>14000</v>
      </c>
      <c r="Q183" s="84">
        <v>14000</v>
      </c>
      <c r="R183" s="84"/>
      <c r="S183" s="84"/>
      <c r="T183" s="84"/>
      <c r="U183" s="84"/>
      <c r="V183" s="84"/>
      <c r="W183" s="84"/>
      <c r="X183" s="84"/>
      <c r="Y183" s="84"/>
      <c r="Z183" s="84"/>
      <c r="AA183" s="85"/>
      <c r="AB183" s="100"/>
      <c r="AC183" s="100"/>
      <c r="AD183" s="100"/>
      <c r="AE183" s="100"/>
      <c r="AF183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83" s="88">
        <f>Programacion[[#This Row],[ENERO]]+Programacion[[#This Row],[FEBRERO]]+Programacion[[#This Row],[MARZO]]</f>
        <v>6000</v>
      </c>
      <c r="AH183" s="88">
        <f>Programacion[[#This Row],[DEVENGADO ENERO]]+Programacion[[#This Row],[DEVENGADO FEBRERO]]+Programacion[[#This Row],[DEVENGADO MARZO]]</f>
        <v>6000</v>
      </c>
      <c r="AI183" s="88">
        <f>Programacion[[#This Row],[ABRIL]]+Programacion[[#This Row],[MAYO]]+Programacion[[#This Row],[JUNIO]]</f>
        <v>14000</v>
      </c>
      <c r="AJ183" s="88">
        <f>Programacion[[#This Row],[DEVENGADO ABRIL]]+Programacion[[#This Row],[DEVENGADO MAYO]]+Programacion[[#This Row],[DEVENGADO JUNIO]]</f>
        <v>14000</v>
      </c>
      <c r="AK183" s="88">
        <f>Programacion[[#This Row],[JULIO]]+Programacion[[#This Row],[AGOSTO]]+Programacion[[#This Row],[SEPTIEMBRE]]</f>
        <v>0</v>
      </c>
      <c r="AL183" s="88">
        <f>Programacion[[#This Row],[DEVENGADO JULIO]]+Programacion[[#This Row],[DEVENGADO AGOSTO]]+Programacion[[#This Row],[DEVENGADO SEPTIEMBRE]]</f>
        <v>0</v>
      </c>
      <c r="AM183" s="88">
        <f>Programacion[[#This Row],[OCTUBRE]]+Programacion[[#This Row],[NOVIEMBRE]]+Programacion[[#This Row],[DICIEMBRE]]</f>
        <v>0</v>
      </c>
      <c r="AN183" s="89">
        <f>Programacion[[#This Row],[DEVENGADO OCTUBRE]]+Programacion[[#This Row],[DEVENGADO NOVIEMBRE]]+Programacion[[#This Row],[DEVENGADO DICIEMBRE]]</f>
        <v>0</v>
      </c>
      <c r="AO183" s="89">
        <f>Programacion[[#This Row],[ENERO]]+Programacion[[#This Row],[FEBRERO]]+Programacion[[#This Row],[MARZO]]+Programacion[[#This Row],[ABRIL]]+Programacion[[#This Row],[MAYO]]+Programacion[[#This Row],[JUNIO]]</f>
        <v>20000</v>
      </c>
      <c r="AP183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83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3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83" s="116"/>
    </row>
    <row r="184" spans="1:46" x14ac:dyDescent="0.25">
      <c r="A184" s="95" t="s">
        <v>152</v>
      </c>
      <c r="B184" s="90" t="s">
        <v>189</v>
      </c>
      <c r="C184" s="91" t="s">
        <v>56</v>
      </c>
      <c r="D184" s="94" t="s">
        <v>154</v>
      </c>
      <c r="E184" s="92">
        <v>96</v>
      </c>
      <c r="F184" s="93">
        <v>2.2999999999999998</v>
      </c>
      <c r="G184" s="94" t="s">
        <v>71</v>
      </c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>
        <v>6000</v>
      </c>
      <c r="W184" s="88"/>
      <c r="X184" s="88">
        <v>6000</v>
      </c>
      <c r="Y184" s="88"/>
      <c r="Z184" s="88"/>
      <c r="AA184" s="88"/>
      <c r="AB184" s="88"/>
      <c r="AC184" s="88"/>
      <c r="AD184" s="88"/>
      <c r="AE184" s="88"/>
      <c r="AF184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84" s="88">
        <f>Programacion[[#This Row],[ENERO]]+Programacion[[#This Row],[FEBRERO]]+Programacion[[#This Row],[MARZO]]</f>
        <v>0</v>
      </c>
      <c r="AH184" s="88">
        <f>Programacion[[#This Row],[DEVENGADO ENERO]]+Programacion[[#This Row],[DEVENGADO FEBRERO]]+Programacion[[#This Row],[DEVENGADO MARZO]]</f>
        <v>0</v>
      </c>
      <c r="AI184" s="88">
        <f>Programacion[[#This Row],[ABRIL]]+Programacion[[#This Row],[MAYO]]+Programacion[[#This Row],[JUNIO]]</f>
        <v>0</v>
      </c>
      <c r="AJ184" s="88">
        <f>Programacion[[#This Row],[DEVENGADO ABRIL]]+Programacion[[#This Row],[DEVENGADO MAYO]]+Programacion[[#This Row],[DEVENGADO JUNIO]]</f>
        <v>0</v>
      </c>
      <c r="AK184" s="88">
        <f>Programacion[[#This Row],[JULIO]]+Programacion[[#This Row],[AGOSTO]]+Programacion[[#This Row],[SEPTIEMBRE]]</f>
        <v>12000</v>
      </c>
      <c r="AL184" s="88">
        <f>Programacion[[#This Row],[DEVENGADO JULIO]]+Programacion[[#This Row],[DEVENGADO AGOSTO]]+Programacion[[#This Row],[DEVENGADO SEPTIEMBRE]]</f>
        <v>0</v>
      </c>
      <c r="AM184" s="88">
        <f>Programacion[[#This Row],[OCTUBRE]]+Programacion[[#This Row],[NOVIEMBRE]]+Programacion[[#This Row],[DICIEMBRE]]</f>
        <v>0</v>
      </c>
      <c r="AN184" s="97">
        <f>Programacion[[#This Row],[DEVENGADO OCTUBRE]]+Programacion[[#This Row],[DEVENGADO NOVIEMBRE]]+Programacion[[#This Row],[DEVENGADO DICIEMBRE]]</f>
        <v>0</v>
      </c>
      <c r="AO184" s="97">
        <f>Programacion[[#This Row],[ENERO]]+Programacion[[#This Row],[FEBRERO]]+Programacion[[#This Row],[MARZO]]+Programacion[[#This Row],[ABRIL]]+Programacion[[#This Row],[MAYO]]+Programacion[[#This Row],[JUNIO]]</f>
        <v>0</v>
      </c>
      <c r="AP184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4" s="97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184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4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4" s="116"/>
    </row>
    <row r="185" spans="1:46" ht="30" x14ac:dyDescent="0.25">
      <c r="A185" s="99" t="s">
        <v>152</v>
      </c>
      <c r="B185" s="90" t="s">
        <v>190</v>
      </c>
      <c r="C185" s="81" t="s">
        <v>56</v>
      </c>
      <c r="D185" s="81" t="s">
        <v>154</v>
      </c>
      <c r="E185" s="82">
        <v>96</v>
      </c>
      <c r="F185" s="83">
        <v>2.2999999999999998</v>
      </c>
      <c r="G185" s="81" t="s">
        <v>57</v>
      </c>
      <c r="H185" s="81"/>
      <c r="I185" s="84"/>
      <c r="J185" s="84"/>
      <c r="K185" s="84"/>
      <c r="L185" s="84">
        <v>6480</v>
      </c>
      <c r="M185" s="84">
        <v>6480</v>
      </c>
      <c r="N185" s="84">
        <v>15120</v>
      </c>
      <c r="O185" s="84">
        <v>15120</v>
      </c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5"/>
      <c r="AB185" s="100"/>
      <c r="AC185" s="100"/>
      <c r="AD185" s="100"/>
      <c r="AE185" s="100"/>
      <c r="AF185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185" s="88">
        <f>Programacion[[#This Row],[ENERO]]+Programacion[[#This Row],[FEBRERO]]+Programacion[[#This Row],[MARZO]]</f>
        <v>6480</v>
      </c>
      <c r="AH185" s="88">
        <f>Programacion[[#This Row],[DEVENGADO ENERO]]+Programacion[[#This Row],[DEVENGADO FEBRERO]]+Programacion[[#This Row],[DEVENGADO MARZO]]</f>
        <v>6480</v>
      </c>
      <c r="AI185" s="88">
        <f>Programacion[[#This Row],[ABRIL]]+Programacion[[#This Row],[MAYO]]+Programacion[[#This Row],[JUNIO]]</f>
        <v>15120</v>
      </c>
      <c r="AJ185" s="88">
        <f>Programacion[[#This Row],[DEVENGADO ABRIL]]+Programacion[[#This Row],[DEVENGADO MAYO]]+Programacion[[#This Row],[DEVENGADO JUNIO]]</f>
        <v>15120</v>
      </c>
      <c r="AK185" s="88">
        <f>Programacion[[#This Row],[JULIO]]+Programacion[[#This Row],[AGOSTO]]+Programacion[[#This Row],[SEPTIEMBRE]]</f>
        <v>0</v>
      </c>
      <c r="AL185" s="88">
        <f>Programacion[[#This Row],[DEVENGADO JULIO]]+Programacion[[#This Row],[DEVENGADO AGOSTO]]+Programacion[[#This Row],[DEVENGADO SEPTIEMBRE]]</f>
        <v>0</v>
      </c>
      <c r="AM185" s="88">
        <f>Programacion[[#This Row],[OCTUBRE]]+Programacion[[#This Row],[NOVIEMBRE]]+Programacion[[#This Row],[DICIEMBRE]]</f>
        <v>0</v>
      </c>
      <c r="AN185" s="89">
        <f>Programacion[[#This Row],[DEVENGADO OCTUBRE]]+Programacion[[#This Row],[DEVENGADO NOVIEMBRE]]+Programacion[[#This Row],[DEVENGADO DICIEMBRE]]</f>
        <v>0</v>
      </c>
      <c r="AO185" s="89">
        <f>Programacion[[#This Row],[ENERO]]+Programacion[[#This Row],[FEBRERO]]+Programacion[[#This Row],[MARZO]]+Programacion[[#This Row],[ABRIL]]+Programacion[[#This Row],[MAYO]]+Programacion[[#This Row],[JUNIO]]</f>
        <v>21600</v>
      </c>
      <c r="AP185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185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5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T185" s="116"/>
    </row>
    <row r="186" spans="1:46" x14ac:dyDescent="0.25">
      <c r="A186" s="99" t="s">
        <v>152</v>
      </c>
      <c r="B186" s="90" t="s">
        <v>191</v>
      </c>
      <c r="C186" s="91" t="s">
        <v>192</v>
      </c>
      <c r="D186" s="94" t="s">
        <v>154</v>
      </c>
      <c r="E186" s="92">
        <v>96</v>
      </c>
      <c r="F186" s="93">
        <v>2.2999999999999998</v>
      </c>
      <c r="G186" s="94" t="s">
        <v>193</v>
      </c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>
        <v>228.6</v>
      </c>
      <c r="U186" s="88">
        <v>228.6</v>
      </c>
      <c r="V186" s="88"/>
      <c r="W186" s="88"/>
      <c r="X186" s="88"/>
      <c r="Y186" s="88"/>
      <c r="Z186" s="88"/>
      <c r="AA186" s="88"/>
      <c r="AB186" s="88"/>
      <c r="AC186" s="88"/>
      <c r="AD186" s="88"/>
      <c r="AE186" s="88"/>
      <c r="AF186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228.6</v>
      </c>
      <c r="AG186" s="88">
        <f>Programacion[[#This Row],[ENERO]]+Programacion[[#This Row],[FEBRERO]]+Programacion[[#This Row],[MARZO]]</f>
        <v>0</v>
      </c>
      <c r="AH186" s="88">
        <f>Programacion[[#This Row],[DEVENGADO ENERO]]+Programacion[[#This Row],[DEVENGADO FEBRERO]]+Programacion[[#This Row],[DEVENGADO MARZO]]</f>
        <v>0</v>
      </c>
      <c r="AI186" s="88">
        <f>Programacion[[#This Row],[ABRIL]]+Programacion[[#This Row],[MAYO]]+Programacion[[#This Row],[JUNIO]]</f>
        <v>0</v>
      </c>
      <c r="AJ186" s="88">
        <f>Programacion[[#This Row],[DEVENGADO ABRIL]]+Programacion[[#This Row],[DEVENGADO MAYO]]+Programacion[[#This Row],[DEVENGADO JUNIO]]</f>
        <v>0</v>
      </c>
      <c r="AK186" s="88">
        <f>Programacion[[#This Row],[JULIO]]+Programacion[[#This Row],[AGOSTO]]+Programacion[[#This Row],[SEPTIEMBRE]]</f>
        <v>228.6</v>
      </c>
      <c r="AL186" s="88">
        <f>Programacion[[#This Row],[DEVENGADO JULIO]]+Programacion[[#This Row],[DEVENGADO AGOSTO]]+Programacion[[#This Row],[DEVENGADO SEPTIEMBRE]]</f>
        <v>228.6</v>
      </c>
      <c r="AM186" s="88">
        <f>Programacion[[#This Row],[OCTUBRE]]+Programacion[[#This Row],[NOVIEMBRE]]+Programacion[[#This Row],[DICIEMBRE]]</f>
        <v>0</v>
      </c>
      <c r="AN186" s="88">
        <f>Programacion[[#This Row],[DEVENGADO OCTUBRE]]+Programacion[[#This Row],[DEVENGADO NOVIEMBRE]]+Programacion[[#This Row],[DEVENGADO DICIEMBRE]]</f>
        <v>0</v>
      </c>
      <c r="AO186" s="88">
        <f>Programacion[[#This Row],[ENERO]]+Programacion[[#This Row],[FEBRERO]]+Programacion[[#This Row],[MARZO]]+Programacion[[#This Row],[ABRIL]]+Programacion[[#This Row],[MAYO]]+Programacion[[#This Row],[JUNIO]]</f>
        <v>0</v>
      </c>
      <c r="AP186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6" s="88">
        <f>Programacion[[#This Row],[JULIO]]+Programacion[[#This Row],[AGOSTO]]+Programacion[[#This Row],[SEPTIEMBRE]]+Programacion[[#This Row],[OCTUBRE]]+Programacion[[#This Row],[NOVIEMBRE]]+Programacion[[#This Row],[DICIEMBRE]]</f>
        <v>228.6</v>
      </c>
      <c r="AR186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228.6</v>
      </c>
      <c r="AS18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228.6</v>
      </c>
      <c r="AT186" s="116"/>
    </row>
    <row r="187" spans="1:46" x14ac:dyDescent="0.25">
      <c r="A187" s="99" t="s">
        <v>152</v>
      </c>
      <c r="B187" s="90" t="s">
        <v>194</v>
      </c>
      <c r="C187" s="81" t="s">
        <v>192</v>
      </c>
      <c r="D187" s="81" t="s">
        <v>154</v>
      </c>
      <c r="E187" s="82">
        <v>96</v>
      </c>
      <c r="F187" s="83">
        <v>2.2999999999999998</v>
      </c>
      <c r="G187" s="81" t="s">
        <v>193</v>
      </c>
      <c r="H187" s="81"/>
      <c r="I187" s="84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>
        <v>30671.4</v>
      </c>
      <c r="U187" s="84">
        <v>30671.4</v>
      </c>
      <c r="V187" s="84"/>
      <c r="W187" s="84"/>
      <c r="X187" s="84"/>
      <c r="Y187" s="84"/>
      <c r="Z187" s="84"/>
      <c r="AA187" s="85"/>
      <c r="AB187" s="100"/>
      <c r="AC187" s="100"/>
      <c r="AD187" s="100"/>
      <c r="AE187" s="100"/>
      <c r="AF187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30671.4</v>
      </c>
      <c r="AG187" s="88">
        <f>Programacion[[#This Row],[ENERO]]+Programacion[[#This Row],[FEBRERO]]+Programacion[[#This Row],[MARZO]]</f>
        <v>0</v>
      </c>
      <c r="AH187" s="88">
        <f>Programacion[[#This Row],[DEVENGADO ENERO]]+Programacion[[#This Row],[DEVENGADO FEBRERO]]+Programacion[[#This Row],[DEVENGADO MARZO]]</f>
        <v>0</v>
      </c>
      <c r="AI187" s="88">
        <f>Programacion[[#This Row],[ABRIL]]+Programacion[[#This Row],[MAYO]]+Programacion[[#This Row],[JUNIO]]</f>
        <v>0</v>
      </c>
      <c r="AJ187" s="88">
        <f>Programacion[[#This Row],[DEVENGADO ABRIL]]+Programacion[[#This Row],[DEVENGADO MAYO]]+Programacion[[#This Row],[DEVENGADO JUNIO]]</f>
        <v>0</v>
      </c>
      <c r="AK187" s="88">
        <f>Programacion[[#This Row],[JULIO]]+Programacion[[#This Row],[AGOSTO]]+Programacion[[#This Row],[SEPTIEMBRE]]</f>
        <v>30671.4</v>
      </c>
      <c r="AL187" s="88">
        <f>Programacion[[#This Row],[DEVENGADO JULIO]]+Programacion[[#This Row],[DEVENGADO AGOSTO]]+Programacion[[#This Row],[DEVENGADO SEPTIEMBRE]]</f>
        <v>30671.4</v>
      </c>
      <c r="AM187" s="88">
        <f>Programacion[[#This Row],[OCTUBRE]]+Programacion[[#This Row],[NOVIEMBRE]]+Programacion[[#This Row],[DICIEMBRE]]</f>
        <v>0</v>
      </c>
      <c r="AN187" s="89">
        <f>Programacion[[#This Row],[DEVENGADO OCTUBRE]]+Programacion[[#This Row],[DEVENGADO NOVIEMBRE]]+Programacion[[#This Row],[DEVENGADO DICIEMBRE]]</f>
        <v>0</v>
      </c>
      <c r="AO187" s="89">
        <f>Programacion[[#This Row],[ENERO]]+Programacion[[#This Row],[FEBRERO]]+Programacion[[#This Row],[MARZO]]+Programacion[[#This Row],[ABRIL]]+Programacion[[#This Row],[MAYO]]+Programacion[[#This Row],[JUNIO]]</f>
        <v>0</v>
      </c>
      <c r="AP187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7" s="89">
        <f>Programacion[[#This Row],[JULIO]]+Programacion[[#This Row],[AGOSTO]]+Programacion[[#This Row],[SEPTIEMBRE]]+Programacion[[#This Row],[OCTUBRE]]+Programacion[[#This Row],[NOVIEMBRE]]+Programacion[[#This Row],[DICIEMBRE]]</f>
        <v>30671.4</v>
      </c>
      <c r="AR187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30671.4</v>
      </c>
      <c r="AS18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30671.4</v>
      </c>
      <c r="AT187" s="116"/>
    </row>
    <row r="188" spans="1:46" x14ac:dyDescent="0.25">
      <c r="A188" s="99" t="s">
        <v>152</v>
      </c>
      <c r="B188" s="90" t="s">
        <v>63</v>
      </c>
      <c r="C188" s="81" t="s">
        <v>56</v>
      </c>
      <c r="D188" s="81" t="s">
        <v>154</v>
      </c>
      <c r="E188" s="82">
        <v>96</v>
      </c>
      <c r="F188" s="83">
        <v>2.2999999999999998</v>
      </c>
      <c r="G188" s="81" t="s">
        <v>57</v>
      </c>
      <c r="H188" s="81">
        <v>7380</v>
      </c>
      <c r="I188" s="84">
        <v>7380</v>
      </c>
      <c r="J188" s="84">
        <v>7380</v>
      </c>
      <c r="K188" s="84">
        <v>7380</v>
      </c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5"/>
      <c r="AB188" s="100"/>
      <c r="AC188" s="100"/>
      <c r="AD188" s="100"/>
      <c r="AE188" s="100"/>
      <c r="AF188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14760</v>
      </c>
      <c r="AG188" s="88">
        <f>Programacion[[#This Row],[ENERO]]+Programacion[[#This Row],[FEBRERO]]+Programacion[[#This Row],[MARZO]]</f>
        <v>14760</v>
      </c>
      <c r="AH188" s="88">
        <f>Programacion[[#This Row],[DEVENGADO ENERO]]+Programacion[[#This Row],[DEVENGADO FEBRERO]]+Programacion[[#This Row],[DEVENGADO MARZO]]</f>
        <v>14760</v>
      </c>
      <c r="AI188" s="88">
        <f>Programacion[[#This Row],[ABRIL]]+Programacion[[#This Row],[MAYO]]+Programacion[[#This Row],[JUNIO]]</f>
        <v>0</v>
      </c>
      <c r="AJ188" s="88">
        <f>Programacion[[#This Row],[DEVENGADO ABRIL]]+Programacion[[#This Row],[DEVENGADO MAYO]]+Programacion[[#This Row],[DEVENGADO JUNIO]]</f>
        <v>0</v>
      </c>
      <c r="AK188" s="88">
        <f>Programacion[[#This Row],[JULIO]]+Programacion[[#This Row],[AGOSTO]]+Programacion[[#This Row],[SEPTIEMBRE]]</f>
        <v>0</v>
      </c>
      <c r="AL188" s="88">
        <f>Programacion[[#This Row],[DEVENGADO JULIO]]+Programacion[[#This Row],[DEVENGADO AGOSTO]]+Programacion[[#This Row],[DEVENGADO SEPTIEMBRE]]</f>
        <v>0</v>
      </c>
      <c r="AM188" s="88">
        <f>Programacion[[#This Row],[OCTUBRE]]+Programacion[[#This Row],[NOVIEMBRE]]+Programacion[[#This Row],[DICIEMBRE]]</f>
        <v>0</v>
      </c>
      <c r="AN188" s="89">
        <f>Programacion[[#This Row],[DEVENGADO OCTUBRE]]+Programacion[[#This Row],[DEVENGADO NOVIEMBRE]]+Programacion[[#This Row],[DEVENGADO DICIEMBRE]]</f>
        <v>0</v>
      </c>
      <c r="AO188" s="89">
        <f>Programacion[[#This Row],[ENERO]]+Programacion[[#This Row],[FEBRERO]]+Programacion[[#This Row],[MARZO]]+Programacion[[#This Row],[ABRIL]]+Programacion[[#This Row],[MAYO]]+Programacion[[#This Row],[JUNIO]]</f>
        <v>14760</v>
      </c>
      <c r="AP188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14760</v>
      </c>
      <c r="AQ188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8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14760</v>
      </c>
      <c r="AT188" s="116"/>
    </row>
    <row r="189" spans="1:46" x14ac:dyDescent="0.25">
      <c r="A189" s="99" t="s">
        <v>152</v>
      </c>
      <c r="B189" s="90" t="s">
        <v>195</v>
      </c>
      <c r="C189" s="81" t="s">
        <v>56</v>
      </c>
      <c r="D189" s="81" t="s">
        <v>154</v>
      </c>
      <c r="E189" s="82">
        <v>96</v>
      </c>
      <c r="F189" s="83">
        <v>2.2999999999999998</v>
      </c>
      <c r="G189" s="81" t="s">
        <v>57</v>
      </c>
      <c r="H189" s="81"/>
      <c r="I189" s="84"/>
      <c r="J189" s="84">
        <v>6001.2</v>
      </c>
      <c r="K189" s="84">
        <v>6001.2</v>
      </c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5"/>
      <c r="AB189" s="100"/>
      <c r="AC189" s="100"/>
      <c r="AD189" s="100"/>
      <c r="AE189" s="100"/>
      <c r="AF189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6001.2</v>
      </c>
      <c r="AG189" s="88">
        <f>Programacion[[#This Row],[ENERO]]+Programacion[[#This Row],[FEBRERO]]+Programacion[[#This Row],[MARZO]]</f>
        <v>6001.2</v>
      </c>
      <c r="AH189" s="88">
        <f>Programacion[[#This Row],[DEVENGADO ENERO]]+Programacion[[#This Row],[DEVENGADO FEBRERO]]+Programacion[[#This Row],[DEVENGADO MARZO]]</f>
        <v>6001.2</v>
      </c>
      <c r="AI189" s="88">
        <f>Programacion[[#This Row],[ABRIL]]+Programacion[[#This Row],[MAYO]]+Programacion[[#This Row],[JUNIO]]</f>
        <v>0</v>
      </c>
      <c r="AJ189" s="88">
        <f>Programacion[[#This Row],[DEVENGADO ABRIL]]+Programacion[[#This Row],[DEVENGADO MAYO]]+Programacion[[#This Row],[DEVENGADO JUNIO]]</f>
        <v>0</v>
      </c>
      <c r="AK189" s="88">
        <f>Programacion[[#This Row],[JULIO]]+Programacion[[#This Row],[AGOSTO]]+Programacion[[#This Row],[SEPTIEMBRE]]</f>
        <v>0</v>
      </c>
      <c r="AL189" s="88">
        <f>Programacion[[#This Row],[DEVENGADO JULIO]]+Programacion[[#This Row],[DEVENGADO AGOSTO]]+Programacion[[#This Row],[DEVENGADO SEPTIEMBRE]]</f>
        <v>0</v>
      </c>
      <c r="AM189" s="88">
        <f>Programacion[[#This Row],[OCTUBRE]]+Programacion[[#This Row],[NOVIEMBRE]]+Programacion[[#This Row],[DICIEMBRE]]</f>
        <v>0</v>
      </c>
      <c r="AN189" s="89">
        <f>Programacion[[#This Row],[DEVENGADO OCTUBRE]]+Programacion[[#This Row],[DEVENGADO NOVIEMBRE]]+Programacion[[#This Row],[DEVENGADO DICIEMBRE]]</f>
        <v>0</v>
      </c>
      <c r="AO189" s="89">
        <f>Programacion[[#This Row],[ENERO]]+Programacion[[#This Row],[FEBRERO]]+Programacion[[#This Row],[MARZO]]+Programacion[[#This Row],[ABRIL]]+Programacion[[#This Row],[MAYO]]+Programacion[[#This Row],[JUNIO]]</f>
        <v>6001.2</v>
      </c>
      <c r="AP189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6001.2</v>
      </c>
      <c r="AQ189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9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6001.2</v>
      </c>
      <c r="AT189" s="116"/>
    </row>
    <row r="190" spans="1:46" x14ac:dyDescent="0.25">
      <c r="A190" s="99" t="s">
        <v>152</v>
      </c>
      <c r="B190" s="90" t="s">
        <v>196</v>
      </c>
      <c r="C190" s="81" t="s">
        <v>56</v>
      </c>
      <c r="D190" s="81" t="s">
        <v>154</v>
      </c>
      <c r="E190" s="82">
        <v>96</v>
      </c>
      <c r="F190" s="83">
        <v>2.2999999999999998</v>
      </c>
      <c r="G190" s="81" t="s">
        <v>57</v>
      </c>
      <c r="H190" s="81"/>
      <c r="I190" s="84"/>
      <c r="J190" s="84"/>
      <c r="K190" s="84"/>
      <c r="L190" s="84">
        <v>6000</v>
      </c>
      <c r="M190" s="84">
        <v>6000</v>
      </c>
      <c r="N190" s="84">
        <v>6000</v>
      </c>
      <c r="O190" s="84">
        <v>6000</v>
      </c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5"/>
      <c r="AB190" s="100"/>
      <c r="AC190" s="100"/>
      <c r="AD190" s="100"/>
      <c r="AE190" s="100"/>
      <c r="AF190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90" s="88">
        <f>Programacion[[#This Row],[ENERO]]+Programacion[[#This Row],[FEBRERO]]+Programacion[[#This Row],[MARZO]]</f>
        <v>6000</v>
      </c>
      <c r="AH190" s="88">
        <f>Programacion[[#This Row],[DEVENGADO ENERO]]+Programacion[[#This Row],[DEVENGADO FEBRERO]]+Programacion[[#This Row],[DEVENGADO MARZO]]</f>
        <v>6000</v>
      </c>
      <c r="AI190" s="88">
        <f>Programacion[[#This Row],[ABRIL]]+Programacion[[#This Row],[MAYO]]+Programacion[[#This Row],[JUNIO]]</f>
        <v>6000</v>
      </c>
      <c r="AJ190" s="88">
        <f>Programacion[[#This Row],[DEVENGADO ABRIL]]+Programacion[[#This Row],[DEVENGADO MAYO]]+Programacion[[#This Row],[DEVENGADO JUNIO]]</f>
        <v>6000</v>
      </c>
      <c r="AK190" s="88">
        <f>Programacion[[#This Row],[JULIO]]+Programacion[[#This Row],[AGOSTO]]+Programacion[[#This Row],[SEPTIEMBRE]]</f>
        <v>0</v>
      </c>
      <c r="AL190" s="88">
        <f>Programacion[[#This Row],[DEVENGADO JULIO]]+Programacion[[#This Row],[DEVENGADO AGOSTO]]+Programacion[[#This Row],[DEVENGADO SEPTIEMBRE]]</f>
        <v>0</v>
      </c>
      <c r="AM190" s="88">
        <f>Programacion[[#This Row],[OCTUBRE]]+Programacion[[#This Row],[NOVIEMBRE]]+Programacion[[#This Row],[DICIEMBRE]]</f>
        <v>0</v>
      </c>
      <c r="AN190" s="89">
        <f>Programacion[[#This Row],[DEVENGADO OCTUBRE]]+Programacion[[#This Row],[DEVENGADO NOVIEMBRE]]+Programacion[[#This Row],[DEVENGADO DICIEMBRE]]</f>
        <v>0</v>
      </c>
      <c r="AO190" s="89">
        <f>Programacion[[#This Row],[ENERO]]+Programacion[[#This Row],[FEBRERO]]+Programacion[[#This Row],[MARZO]]+Programacion[[#This Row],[ABRIL]]+Programacion[[#This Row],[MAYO]]+Programacion[[#This Row],[JUNIO]]</f>
        <v>12000</v>
      </c>
      <c r="AP190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190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0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190" s="116"/>
    </row>
    <row r="191" spans="1:46" x14ac:dyDescent="0.25">
      <c r="A191" s="95" t="s">
        <v>152</v>
      </c>
      <c r="B191" s="90" t="s">
        <v>197</v>
      </c>
      <c r="C191" s="91" t="s">
        <v>56</v>
      </c>
      <c r="D191" s="94" t="s">
        <v>154</v>
      </c>
      <c r="E191" s="92">
        <v>96</v>
      </c>
      <c r="F191" s="93">
        <v>2.2999999999999998</v>
      </c>
      <c r="G191" s="94" t="s">
        <v>57</v>
      </c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>
        <v>12000</v>
      </c>
      <c r="S191" s="88">
        <v>12000</v>
      </c>
      <c r="T191" s="88">
        <v>6000</v>
      </c>
      <c r="U191" s="88">
        <v>6000</v>
      </c>
      <c r="V191" s="88">
        <v>6000</v>
      </c>
      <c r="W191" s="88">
        <v>6000</v>
      </c>
      <c r="X191" s="88"/>
      <c r="Y191" s="88"/>
      <c r="Z191" s="88"/>
      <c r="AA191" s="88"/>
      <c r="AB191" s="88"/>
      <c r="AC191" s="88"/>
      <c r="AD191" s="88"/>
      <c r="AE191" s="88"/>
      <c r="AF191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91" s="88">
        <f>Programacion[[#This Row],[ENERO]]+Programacion[[#This Row],[FEBRERO]]+Programacion[[#This Row],[MARZO]]</f>
        <v>0</v>
      </c>
      <c r="AH191" s="88">
        <f>Programacion[[#This Row],[DEVENGADO ENERO]]+Programacion[[#This Row],[DEVENGADO FEBRERO]]+Programacion[[#This Row],[DEVENGADO MARZO]]</f>
        <v>0</v>
      </c>
      <c r="AI191" s="88">
        <f>Programacion[[#This Row],[ABRIL]]+Programacion[[#This Row],[MAYO]]+Programacion[[#This Row],[JUNIO]]</f>
        <v>12000</v>
      </c>
      <c r="AJ191" s="88">
        <f>Programacion[[#This Row],[DEVENGADO ABRIL]]+Programacion[[#This Row],[DEVENGADO MAYO]]+Programacion[[#This Row],[DEVENGADO JUNIO]]</f>
        <v>12000</v>
      </c>
      <c r="AK191" s="88">
        <f>Programacion[[#This Row],[JULIO]]+Programacion[[#This Row],[AGOSTO]]+Programacion[[#This Row],[SEPTIEMBRE]]</f>
        <v>12000</v>
      </c>
      <c r="AL191" s="88">
        <f>Programacion[[#This Row],[DEVENGADO JULIO]]+Programacion[[#This Row],[DEVENGADO AGOSTO]]+Programacion[[#This Row],[DEVENGADO SEPTIEMBRE]]</f>
        <v>12000</v>
      </c>
      <c r="AM191" s="88">
        <f>Programacion[[#This Row],[OCTUBRE]]+Programacion[[#This Row],[NOVIEMBRE]]+Programacion[[#This Row],[DICIEMBRE]]</f>
        <v>0</v>
      </c>
      <c r="AN191" s="97">
        <f>Programacion[[#This Row],[DEVENGADO OCTUBRE]]+Programacion[[#This Row],[DEVENGADO NOVIEMBRE]]+Programacion[[#This Row],[DEVENGADO DICIEMBRE]]</f>
        <v>0</v>
      </c>
      <c r="AO191" s="97">
        <f>Programacion[[#This Row],[ENERO]]+Programacion[[#This Row],[FEBRERO]]+Programacion[[#This Row],[MARZO]]+Programacion[[#This Row],[ABRIL]]+Programacion[[#This Row],[MAYO]]+Programacion[[#This Row],[JUNIO]]</f>
        <v>12000</v>
      </c>
      <c r="AP191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191" s="97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191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191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191" s="116"/>
    </row>
    <row r="192" spans="1:46" x14ac:dyDescent="0.25">
      <c r="A192" s="140" t="s">
        <v>152</v>
      </c>
      <c r="B192" s="144" t="s">
        <v>277</v>
      </c>
      <c r="C192" s="142" t="s">
        <v>269</v>
      </c>
      <c r="D192" s="142" t="s">
        <v>275</v>
      </c>
      <c r="E192" s="145">
        <v>96</v>
      </c>
      <c r="F192" s="146">
        <v>23</v>
      </c>
      <c r="G192" s="142" t="s">
        <v>276</v>
      </c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>
        <v>6000</v>
      </c>
      <c r="Y192" s="33"/>
      <c r="Z192" s="33">
        <v>6000</v>
      </c>
      <c r="AA192" s="33"/>
      <c r="AB192" s="33"/>
      <c r="AC192" s="33"/>
      <c r="AD192" s="33"/>
      <c r="AE192" s="33"/>
      <c r="AF19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92" s="33">
        <f>Programacion[[#This Row],[ENERO]]+Programacion[[#This Row],[FEBRERO]]+Programacion[[#This Row],[MARZO]]</f>
        <v>0</v>
      </c>
      <c r="AH192" s="33">
        <f>Programacion[[#This Row],[DEVENGADO ENERO]]+Programacion[[#This Row],[DEVENGADO FEBRERO]]+Programacion[[#This Row],[DEVENGADO MARZO]]</f>
        <v>0</v>
      </c>
      <c r="AI192" s="33">
        <f>Programacion[[#This Row],[ABRIL]]+Programacion[[#This Row],[MAYO]]+Programacion[[#This Row],[JUNIO]]</f>
        <v>0</v>
      </c>
      <c r="AJ192" s="33">
        <f>Programacion[[#This Row],[DEVENGADO ABRIL]]+Programacion[[#This Row],[DEVENGADO MAYO]]+Programacion[[#This Row],[DEVENGADO JUNIO]]</f>
        <v>0</v>
      </c>
      <c r="AK192" s="33">
        <f>Programacion[[#This Row],[JULIO]]+Programacion[[#This Row],[AGOSTO]]+Programacion[[#This Row],[SEPTIEMBRE]]</f>
        <v>6000</v>
      </c>
      <c r="AL192" s="33">
        <f>Programacion[[#This Row],[DEVENGADO JULIO]]+Programacion[[#This Row],[DEVENGADO AGOSTO]]+Programacion[[#This Row],[DEVENGADO SEPTIEMBRE]]</f>
        <v>0</v>
      </c>
      <c r="AM192" s="33">
        <f>Programacion[[#This Row],[OCTUBRE]]+Programacion[[#This Row],[NOVIEMBRE]]+Programacion[[#This Row],[DICIEMBRE]]</f>
        <v>6000</v>
      </c>
      <c r="AN192" s="21">
        <f>Programacion[[#This Row],[DEVENGADO OCTUBRE]]+Programacion[[#This Row],[DEVENGADO NOVIEMBRE]]+Programacion[[#This Row],[DEVENGADO DICIEMBRE]]</f>
        <v>0</v>
      </c>
      <c r="AO192" s="21">
        <f>Programacion[[#This Row],[ENERO]]+Programacion[[#This Row],[FEBRERO]]+Programacion[[#This Row],[MARZO]]+Programacion[[#This Row],[ABRIL]]+Programacion[[#This Row],[MAYO]]+Programacion[[#This Row],[JUNIO]]</f>
        <v>0</v>
      </c>
      <c r="AP19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2" s="21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19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2" s="116"/>
    </row>
    <row r="193" spans="1:46" ht="30" x14ac:dyDescent="0.25">
      <c r="A193" s="99" t="s">
        <v>152</v>
      </c>
      <c r="B193" s="90" t="s">
        <v>198</v>
      </c>
      <c r="C193" s="81" t="s">
        <v>56</v>
      </c>
      <c r="D193" s="81" t="s">
        <v>154</v>
      </c>
      <c r="E193" s="82">
        <v>97</v>
      </c>
      <c r="F193" s="83">
        <v>2.2999999999999998</v>
      </c>
      <c r="G193" s="81" t="s">
        <v>57</v>
      </c>
      <c r="H193" s="81">
        <v>7892.5</v>
      </c>
      <c r="I193" s="84">
        <v>7892.5</v>
      </c>
      <c r="J193" s="84"/>
      <c r="K193" s="84"/>
      <c r="L193" s="84">
        <v>7892.5</v>
      </c>
      <c r="M193" s="84">
        <v>7892.5</v>
      </c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5"/>
      <c r="AB193" s="100"/>
      <c r="AC193" s="100"/>
      <c r="AD193" s="100"/>
      <c r="AE193" s="100"/>
      <c r="AF193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15785</v>
      </c>
      <c r="AG193" s="88">
        <f>Programacion[[#This Row],[ENERO]]+Programacion[[#This Row],[FEBRERO]]+Programacion[[#This Row],[MARZO]]</f>
        <v>15785</v>
      </c>
      <c r="AH193" s="88">
        <f>Programacion[[#This Row],[DEVENGADO ENERO]]+Programacion[[#This Row],[DEVENGADO FEBRERO]]+Programacion[[#This Row],[DEVENGADO MARZO]]</f>
        <v>15785</v>
      </c>
      <c r="AI193" s="88">
        <f>Programacion[[#This Row],[ABRIL]]+Programacion[[#This Row],[MAYO]]+Programacion[[#This Row],[JUNIO]]</f>
        <v>0</v>
      </c>
      <c r="AJ193" s="88">
        <f>Programacion[[#This Row],[DEVENGADO ABRIL]]+Programacion[[#This Row],[DEVENGADO MAYO]]+Programacion[[#This Row],[DEVENGADO JUNIO]]</f>
        <v>0</v>
      </c>
      <c r="AK193" s="88">
        <f>Programacion[[#This Row],[JULIO]]+Programacion[[#This Row],[AGOSTO]]+Programacion[[#This Row],[SEPTIEMBRE]]</f>
        <v>0</v>
      </c>
      <c r="AL193" s="88">
        <f>Programacion[[#This Row],[DEVENGADO JULIO]]+Programacion[[#This Row],[DEVENGADO AGOSTO]]+Programacion[[#This Row],[DEVENGADO SEPTIEMBRE]]</f>
        <v>0</v>
      </c>
      <c r="AM193" s="88">
        <f>Programacion[[#This Row],[OCTUBRE]]+Programacion[[#This Row],[NOVIEMBRE]]+Programacion[[#This Row],[DICIEMBRE]]</f>
        <v>0</v>
      </c>
      <c r="AN193" s="89">
        <f>Programacion[[#This Row],[DEVENGADO OCTUBRE]]+Programacion[[#This Row],[DEVENGADO NOVIEMBRE]]+Programacion[[#This Row],[DEVENGADO DICIEMBRE]]</f>
        <v>0</v>
      </c>
      <c r="AO193" s="89">
        <f>Programacion[[#This Row],[ENERO]]+Programacion[[#This Row],[FEBRERO]]+Programacion[[#This Row],[MARZO]]+Programacion[[#This Row],[ABRIL]]+Programacion[[#This Row],[MAYO]]+Programacion[[#This Row],[JUNIO]]</f>
        <v>15785</v>
      </c>
      <c r="AP193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15785</v>
      </c>
      <c r="AQ193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3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15785</v>
      </c>
      <c r="AT193" s="116"/>
    </row>
    <row r="194" spans="1:46" x14ac:dyDescent="0.25">
      <c r="A194" s="99" t="s">
        <v>152</v>
      </c>
      <c r="B194" s="90" t="s">
        <v>199</v>
      </c>
      <c r="C194" s="81" t="s">
        <v>200</v>
      </c>
      <c r="D194" s="81" t="s">
        <v>154</v>
      </c>
      <c r="E194" s="82">
        <v>97</v>
      </c>
      <c r="F194" s="83">
        <v>2.2999999999999998</v>
      </c>
      <c r="G194" s="81" t="s">
        <v>172</v>
      </c>
      <c r="H194" s="81"/>
      <c r="I194" s="84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>
        <v>1870.2</v>
      </c>
      <c r="Y194" s="84"/>
      <c r="Z194" s="84"/>
      <c r="AA194" s="85"/>
      <c r="AB194" s="100"/>
      <c r="AC194" s="100"/>
      <c r="AD194" s="100"/>
      <c r="AE194" s="100"/>
      <c r="AF194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1870.2</v>
      </c>
      <c r="AG194" s="88">
        <f>Programacion[[#This Row],[ENERO]]+Programacion[[#This Row],[FEBRERO]]+Programacion[[#This Row],[MARZO]]</f>
        <v>0</v>
      </c>
      <c r="AH194" s="88">
        <f>Programacion[[#This Row],[DEVENGADO ENERO]]+Programacion[[#This Row],[DEVENGADO FEBRERO]]+Programacion[[#This Row],[DEVENGADO MARZO]]</f>
        <v>0</v>
      </c>
      <c r="AI194" s="88">
        <f>Programacion[[#This Row],[ABRIL]]+Programacion[[#This Row],[MAYO]]+Programacion[[#This Row],[JUNIO]]</f>
        <v>0</v>
      </c>
      <c r="AJ194" s="88">
        <f>Programacion[[#This Row],[DEVENGADO ABRIL]]+Programacion[[#This Row],[DEVENGADO MAYO]]+Programacion[[#This Row],[DEVENGADO JUNIO]]</f>
        <v>0</v>
      </c>
      <c r="AK194" s="88">
        <f>Programacion[[#This Row],[JULIO]]+Programacion[[#This Row],[AGOSTO]]+Programacion[[#This Row],[SEPTIEMBRE]]</f>
        <v>1870.2</v>
      </c>
      <c r="AL194" s="88">
        <f>Programacion[[#This Row],[DEVENGADO JULIO]]+Programacion[[#This Row],[DEVENGADO AGOSTO]]+Programacion[[#This Row],[DEVENGADO SEPTIEMBRE]]</f>
        <v>0</v>
      </c>
      <c r="AM194" s="88">
        <f>Programacion[[#This Row],[OCTUBRE]]+Programacion[[#This Row],[NOVIEMBRE]]+Programacion[[#This Row],[DICIEMBRE]]</f>
        <v>0</v>
      </c>
      <c r="AN194" s="89">
        <f>Programacion[[#This Row],[DEVENGADO OCTUBRE]]+Programacion[[#This Row],[DEVENGADO NOVIEMBRE]]+Programacion[[#This Row],[DEVENGADO DICIEMBRE]]</f>
        <v>0</v>
      </c>
      <c r="AO194" s="89">
        <f>Programacion[[#This Row],[ENERO]]+Programacion[[#This Row],[FEBRERO]]+Programacion[[#This Row],[MARZO]]+Programacion[[#This Row],[ABRIL]]+Programacion[[#This Row],[MAYO]]+Programacion[[#This Row],[JUNIO]]</f>
        <v>0</v>
      </c>
      <c r="AP194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4" s="89">
        <f>Programacion[[#This Row],[JULIO]]+Programacion[[#This Row],[AGOSTO]]+Programacion[[#This Row],[SEPTIEMBRE]]+Programacion[[#This Row],[OCTUBRE]]+Programacion[[#This Row],[NOVIEMBRE]]+Programacion[[#This Row],[DICIEMBRE]]</f>
        <v>1870.2</v>
      </c>
      <c r="AR194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4" s="116"/>
    </row>
    <row r="195" spans="1:46" x14ac:dyDescent="0.25">
      <c r="A195" s="99" t="s">
        <v>152</v>
      </c>
      <c r="B195" s="90" t="s">
        <v>201</v>
      </c>
      <c r="C195" s="91" t="s">
        <v>47</v>
      </c>
      <c r="D195" s="81" t="s">
        <v>154</v>
      </c>
      <c r="E195" s="92">
        <v>97</v>
      </c>
      <c r="F195" s="93">
        <v>2.2999999999999998</v>
      </c>
      <c r="G195" s="94" t="s">
        <v>49</v>
      </c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>
        <v>1600</v>
      </c>
      <c r="Y195" s="88"/>
      <c r="Z195" s="88"/>
      <c r="AA195" s="88"/>
      <c r="AB195" s="88"/>
      <c r="AC195" s="88"/>
      <c r="AD195" s="88"/>
      <c r="AE195" s="88"/>
      <c r="AF195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95" s="88">
        <f>Programacion[[#This Row],[ENERO]]+Programacion[[#This Row],[FEBRERO]]+Programacion[[#This Row],[MARZO]]</f>
        <v>0</v>
      </c>
      <c r="AH195" s="88">
        <f>Programacion[[#This Row],[DEVENGADO ENERO]]+Programacion[[#This Row],[DEVENGADO FEBRERO]]+Programacion[[#This Row],[DEVENGADO MARZO]]</f>
        <v>0</v>
      </c>
      <c r="AI195" s="88">
        <f>Programacion[[#This Row],[ABRIL]]+Programacion[[#This Row],[MAYO]]+Programacion[[#This Row],[JUNIO]]</f>
        <v>0</v>
      </c>
      <c r="AJ195" s="88">
        <f>Programacion[[#This Row],[DEVENGADO ABRIL]]+Programacion[[#This Row],[DEVENGADO MAYO]]+Programacion[[#This Row],[DEVENGADO JUNIO]]</f>
        <v>0</v>
      </c>
      <c r="AK195" s="88">
        <f>Programacion[[#This Row],[JULIO]]+Programacion[[#This Row],[AGOSTO]]+Programacion[[#This Row],[SEPTIEMBRE]]</f>
        <v>1600</v>
      </c>
      <c r="AL195" s="88">
        <f>Programacion[[#This Row],[DEVENGADO JULIO]]+Programacion[[#This Row],[DEVENGADO AGOSTO]]+Programacion[[#This Row],[DEVENGADO SEPTIEMBRE]]</f>
        <v>0</v>
      </c>
      <c r="AM195" s="88">
        <f>Programacion[[#This Row],[OCTUBRE]]+Programacion[[#This Row],[NOVIEMBRE]]+Programacion[[#This Row],[DICIEMBRE]]</f>
        <v>0</v>
      </c>
      <c r="AN195" s="88">
        <f>Programacion[[#This Row],[DEVENGADO OCTUBRE]]+Programacion[[#This Row],[DEVENGADO NOVIEMBRE]]+Programacion[[#This Row],[DEVENGADO DICIEMBRE]]</f>
        <v>0</v>
      </c>
      <c r="AO195" s="88">
        <f>Programacion[[#This Row],[ENERO]]+Programacion[[#This Row],[FEBRERO]]+Programacion[[#This Row],[MARZO]]+Programacion[[#This Row],[ABRIL]]+Programacion[[#This Row],[MAYO]]+Programacion[[#This Row],[JUNIO]]</f>
        <v>0</v>
      </c>
      <c r="AP195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5" s="88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95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5" s="116"/>
    </row>
    <row r="196" spans="1:46" x14ac:dyDescent="0.25">
      <c r="A196" s="99" t="s">
        <v>152</v>
      </c>
      <c r="B196" s="90" t="s">
        <v>202</v>
      </c>
      <c r="C196" s="91" t="s">
        <v>47</v>
      </c>
      <c r="D196" s="81" t="s">
        <v>154</v>
      </c>
      <c r="E196" s="92">
        <v>97</v>
      </c>
      <c r="F196" s="93">
        <v>2.2999999999999998</v>
      </c>
      <c r="G196" s="94" t="s">
        <v>51</v>
      </c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>
        <v>1620</v>
      </c>
      <c r="Y196" s="88"/>
      <c r="Z196" s="88"/>
      <c r="AA196" s="88"/>
      <c r="AB196" s="88"/>
      <c r="AC196" s="88"/>
      <c r="AD196" s="88"/>
      <c r="AE196" s="88"/>
      <c r="AF196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96" s="88">
        <f>Programacion[[#This Row],[ENERO]]+Programacion[[#This Row],[FEBRERO]]+Programacion[[#This Row],[MARZO]]</f>
        <v>0</v>
      </c>
      <c r="AH196" s="88">
        <f>Programacion[[#This Row],[DEVENGADO ENERO]]+Programacion[[#This Row],[DEVENGADO FEBRERO]]+Programacion[[#This Row],[DEVENGADO MARZO]]</f>
        <v>0</v>
      </c>
      <c r="AI196" s="88">
        <f>Programacion[[#This Row],[ABRIL]]+Programacion[[#This Row],[MAYO]]+Programacion[[#This Row],[JUNIO]]</f>
        <v>0</v>
      </c>
      <c r="AJ196" s="88">
        <f>Programacion[[#This Row],[DEVENGADO ABRIL]]+Programacion[[#This Row],[DEVENGADO MAYO]]+Programacion[[#This Row],[DEVENGADO JUNIO]]</f>
        <v>0</v>
      </c>
      <c r="AK196" s="88">
        <f>Programacion[[#This Row],[JULIO]]+Programacion[[#This Row],[AGOSTO]]+Programacion[[#This Row],[SEPTIEMBRE]]</f>
        <v>1620</v>
      </c>
      <c r="AL196" s="88">
        <f>Programacion[[#This Row],[DEVENGADO JULIO]]+Programacion[[#This Row],[DEVENGADO AGOSTO]]+Programacion[[#This Row],[DEVENGADO SEPTIEMBRE]]</f>
        <v>0</v>
      </c>
      <c r="AM196" s="88">
        <f>Programacion[[#This Row],[OCTUBRE]]+Programacion[[#This Row],[NOVIEMBRE]]+Programacion[[#This Row],[DICIEMBRE]]</f>
        <v>0</v>
      </c>
      <c r="AN196" s="88">
        <f>Programacion[[#This Row],[DEVENGADO OCTUBRE]]+Programacion[[#This Row],[DEVENGADO NOVIEMBRE]]+Programacion[[#This Row],[DEVENGADO DICIEMBRE]]</f>
        <v>0</v>
      </c>
      <c r="AO196" s="88">
        <f>Programacion[[#This Row],[ENERO]]+Programacion[[#This Row],[FEBRERO]]+Programacion[[#This Row],[MARZO]]+Programacion[[#This Row],[ABRIL]]+Programacion[[#This Row],[MAYO]]+Programacion[[#This Row],[JUNIO]]</f>
        <v>0</v>
      </c>
      <c r="AP196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6" s="88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96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6" s="116"/>
    </row>
    <row r="197" spans="1:46" x14ac:dyDescent="0.25">
      <c r="A197" s="99" t="s">
        <v>152</v>
      </c>
      <c r="B197" s="90" t="s">
        <v>203</v>
      </c>
      <c r="C197" s="91" t="s">
        <v>47</v>
      </c>
      <c r="D197" s="81" t="s">
        <v>154</v>
      </c>
      <c r="E197" s="92">
        <v>97</v>
      </c>
      <c r="F197" s="93">
        <v>2.2999999999999998</v>
      </c>
      <c r="G197" s="94" t="s">
        <v>49</v>
      </c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>
        <v>344.7</v>
      </c>
      <c r="Y197" s="88"/>
      <c r="Z197" s="88"/>
      <c r="AA197" s="88"/>
      <c r="AB197" s="88"/>
      <c r="AC197" s="88"/>
      <c r="AD197" s="88"/>
      <c r="AE197" s="88"/>
      <c r="AF197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344.7</v>
      </c>
      <c r="AG197" s="88">
        <f>Programacion[[#This Row],[ENERO]]+Programacion[[#This Row],[FEBRERO]]+Programacion[[#This Row],[MARZO]]</f>
        <v>0</v>
      </c>
      <c r="AH197" s="88">
        <f>Programacion[[#This Row],[DEVENGADO ENERO]]+Programacion[[#This Row],[DEVENGADO FEBRERO]]+Programacion[[#This Row],[DEVENGADO MARZO]]</f>
        <v>0</v>
      </c>
      <c r="AI197" s="88">
        <f>Programacion[[#This Row],[ABRIL]]+Programacion[[#This Row],[MAYO]]+Programacion[[#This Row],[JUNIO]]</f>
        <v>0</v>
      </c>
      <c r="AJ197" s="88">
        <f>Programacion[[#This Row],[DEVENGADO ABRIL]]+Programacion[[#This Row],[DEVENGADO MAYO]]+Programacion[[#This Row],[DEVENGADO JUNIO]]</f>
        <v>0</v>
      </c>
      <c r="AK197" s="88">
        <f>Programacion[[#This Row],[JULIO]]+Programacion[[#This Row],[AGOSTO]]+Programacion[[#This Row],[SEPTIEMBRE]]</f>
        <v>344.7</v>
      </c>
      <c r="AL197" s="88">
        <f>Programacion[[#This Row],[DEVENGADO JULIO]]+Programacion[[#This Row],[DEVENGADO AGOSTO]]+Programacion[[#This Row],[DEVENGADO SEPTIEMBRE]]</f>
        <v>0</v>
      </c>
      <c r="AM197" s="88">
        <f>Programacion[[#This Row],[OCTUBRE]]+Programacion[[#This Row],[NOVIEMBRE]]+Programacion[[#This Row],[DICIEMBRE]]</f>
        <v>0</v>
      </c>
      <c r="AN197" s="88">
        <f>Programacion[[#This Row],[DEVENGADO OCTUBRE]]+Programacion[[#This Row],[DEVENGADO NOVIEMBRE]]+Programacion[[#This Row],[DEVENGADO DICIEMBRE]]</f>
        <v>0</v>
      </c>
      <c r="AO197" s="88">
        <f>Programacion[[#This Row],[ENERO]]+Programacion[[#This Row],[FEBRERO]]+Programacion[[#This Row],[MARZO]]+Programacion[[#This Row],[ABRIL]]+Programacion[[#This Row],[MAYO]]+Programacion[[#This Row],[JUNIO]]</f>
        <v>0</v>
      </c>
      <c r="AP197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7" s="88">
        <f>Programacion[[#This Row],[JULIO]]+Programacion[[#This Row],[AGOSTO]]+Programacion[[#This Row],[SEPTIEMBRE]]+Programacion[[#This Row],[OCTUBRE]]+Programacion[[#This Row],[NOVIEMBRE]]+Programacion[[#This Row],[DICIEMBRE]]</f>
        <v>344.7</v>
      </c>
      <c r="AR197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7" s="116"/>
    </row>
    <row r="198" spans="1:46" ht="45" x14ac:dyDescent="0.25">
      <c r="A198" s="99" t="s">
        <v>152</v>
      </c>
      <c r="B198" s="90" t="s">
        <v>204</v>
      </c>
      <c r="C198" s="91" t="s">
        <v>205</v>
      </c>
      <c r="D198" s="81" t="s">
        <v>154</v>
      </c>
      <c r="E198" s="92">
        <v>98</v>
      </c>
      <c r="F198" s="93">
        <v>2.2999999999999998</v>
      </c>
      <c r="G198" s="94" t="s">
        <v>206</v>
      </c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>
        <v>2020</v>
      </c>
      <c r="S198" s="88">
        <v>2020</v>
      </c>
      <c r="T198" s="88"/>
      <c r="U198" s="88"/>
      <c r="V198" s="88">
        <v>8080</v>
      </c>
      <c r="W198" s="88"/>
      <c r="X198" s="88"/>
      <c r="Y198" s="88"/>
      <c r="Z198" s="88"/>
      <c r="AA198" s="88"/>
      <c r="AB198" s="88"/>
      <c r="AC198" s="88"/>
      <c r="AD198" s="88"/>
      <c r="AE198" s="88"/>
      <c r="AF198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10100</v>
      </c>
      <c r="AG198" s="88">
        <f>Programacion[[#This Row],[ENERO]]+Programacion[[#This Row],[FEBRERO]]+Programacion[[#This Row],[MARZO]]</f>
        <v>0</v>
      </c>
      <c r="AH198" s="88">
        <f>Programacion[[#This Row],[DEVENGADO ENERO]]+Programacion[[#This Row],[DEVENGADO FEBRERO]]+Programacion[[#This Row],[DEVENGADO MARZO]]</f>
        <v>0</v>
      </c>
      <c r="AI198" s="88">
        <f>Programacion[[#This Row],[ABRIL]]+Programacion[[#This Row],[MAYO]]+Programacion[[#This Row],[JUNIO]]</f>
        <v>2020</v>
      </c>
      <c r="AJ198" s="88">
        <f>Programacion[[#This Row],[DEVENGADO ABRIL]]+Programacion[[#This Row],[DEVENGADO MAYO]]+Programacion[[#This Row],[DEVENGADO JUNIO]]</f>
        <v>2020</v>
      </c>
      <c r="AK198" s="88">
        <f>Programacion[[#This Row],[JULIO]]+Programacion[[#This Row],[AGOSTO]]+Programacion[[#This Row],[SEPTIEMBRE]]</f>
        <v>8080</v>
      </c>
      <c r="AL198" s="88">
        <f>Programacion[[#This Row],[DEVENGADO JULIO]]+Programacion[[#This Row],[DEVENGADO AGOSTO]]+Programacion[[#This Row],[DEVENGADO SEPTIEMBRE]]</f>
        <v>0</v>
      </c>
      <c r="AM198" s="88">
        <f>Programacion[[#This Row],[OCTUBRE]]+Programacion[[#This Row],[NOVIEMBRE]]+Programacion[[#This Row],[DICIEMBRE]]</f>
        <v>0</v>
      </c>
      <c r="AN198" s="88">
        <f>Programacion[[#This Row],[DEVENGADO OCTUBRE]]+Programacion[[#This Row],[DEVENGADO NOVIEMBRE]]+Programacion[[#This Row],[DEVENGADO DICIEMBRE]]</f>
        <v>0</v>
      </c>
      <c r="AO198" s="88">
        <f>Programacion[[#This Row],[ENERO]]+Programacion[[#This Row],[FEBRERO]]+Programacion[[#This Row],[MARZO]]+Programacion[[#This Row],[ABRIL]]+Programacion[[#This Row],[MAYO]]+Programacion[[#This Row],[JUNIO]]</f>
        <v>2020</v>
      </c>
      <c r="AP198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2020</v>
      </c>
      <c r="AQ198" s="88">
        <f>Programacion[[#This Row],[JULIO]]+Programacion[[#This Row],[AGOSTO]]+Programacion[[#This Row],[SEPTIEMBRE]]+Programacion[[#This Row],[OCTUBRE]]+Programacion[[#This Row],[NOVIEMBRE]]+Programacion[[#This Row],[DICIEMBRE]]</f>
        <v>8080</v>
      </c>
      <c r="AR198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2020</v>
      </c>
      <c r="AT198" s="116"/>
    </row>
    <row r="199" spans="1:46" ht="60" x14ac:dyDescent="0.25">
      <c r="A199" s="99" t="s">
        <v>152</v>
      </c>
      <c r="B199" s="90" t="s">
        <v>207</v>
      </c>
      <c r="C199" s="81" t="s">
        <v>205</v>
      </c>
      <c r="D199" s="81" t="s">
        <v>154</v>
      </c>
      <c r="E199" s="82">
        <v>98</v>
      </c>
      <c r="F199" s="83">
        <v>2.2999999999999998</v>
      </c>
      <c r="G199" s="81" t="s">
        <v>206</v>
      </c>
      <c r="H199" s="81"/>
      <c r="I199" s="84"/>
      <c r="J199" s="84"/>
      <c r="K199" s="84"/>
      <c r="L199" s="84">
        <v>2870</v>
      </c>
      <c r="M199" s="84">
        <v>2870</v>
      </c>
      <c r="N199" s="84"/>
      <c r="O199" s="84"/>
      <c r="P199" s="84">
        <v>5330</v>
      </c>
      <c r="Q199" s="84">
        <v>5330</v>
      </c>
      <c r="R199" s="84"/>
      <c r="S199" s="84"/>
      <c r="T199" s="84"/>
      <c r="U199" s="84"/>
      <c r="V199" s="84"/>
      <c r="W199" s="84"/>
      <c r="X199" s="84"/>
      <c r="Y199" s="84"/>
      <c r="Z199" s="84"/>
      <c r="AA199" s="85"/>
      <c r="AB199" s="100"/>
      <c r="AC199" s="100"/>
      <c r="AD199" s="100"/>
      <c r="AE199" s="100"/>
      <c r="AF199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8200</v>
      </c>
      <c r="AG199" s="88">
        <f>Programacion[[#This Row],[ENERO]]+Programacion[[#This Row],[FEBRERO]]+Programacion[[#This Row],[MARZO]]</f>
        <v>2870</v>
      </c>
      <c r="AH199" s="88">
        <f>Programacion[[#This Row],[DEVENGADO ENERO]]+Programacion[[#This Row],[DEVENGADO FEBRERO]]+Programacion[[#This Row],[DEVENGADO MARZO]]</f>
        <v>2870</v>
      </c>
      <c r="AI199" s="88">
        <f>Programacion[[#This Row],[ABRIL]]+Programacion[[#This Row],[MAYO]]+Programacion[[#This Row],[JUNIO]]</f>
        <v>5330</v>
      </c>
      <c r="AJ199" s="88">
        <f>Programacion[[#This Row],[DEVENGADO ABRIL]]+Programacion[[#This Row],[DEVENGADO MAYO]]+Programacion[[#This Row],[DEVENGADO JUNIO]]</f>
        <v>5330</v>
      </c>
      <c r="AK199" s="88">
        <f>Programacion[[#This Row],[JULIO]]+Programacion[[#This Row],[AGOSTO]]+Programacion[[#This Row],[SEPTIEMBRE]]</f>
        <v>0</v>
      </c>
      <c r="AL199" s="88">
        <f>Programacion[[#This Row],[DEVENGADO JULIO]]+Programacion[[#This Row],[DEVENGADO AGOSTO]]+Programacion[[#This Row],[DEVENGADO SEPTIEMBRE]]</f>
        <v>0</v>
      </c>
      <c r="AM199" s="88">
        <f>Programacion[[#This Row],[OCTUBRE]]+Programacion[[#This Row],[NOVIEMBRE]]+Programacion[[#This Row],[DICIEMBRE]]</f>
        <v>0</v>
      </c>
      <c r="AN199" s="89">
        <f>Programacion[[#This Row],[DEVENGADO OCTUBRE]]+Programacion[[#This Row],[DEVENGADO NOVIEMBRE]]+Programacion[[#This Row],[DEVENGADO DICIEMBRE]]</f>
        <v>0</v>
      </c>
      <c r="AO199" s="89">
        <f>Programacion[[#This Row],[ENERO]]+Programacion[[#This Row],[FEBRERO]]+Programacion[[#This Row],[MARZO]]+Programacion[[#This Row],[ABRIL]]+Programacion[[#This Row],[MAYO]]+Programacion[[#This Row],[JUNIO]]</f>
        <v>8200</v>
      </c>
      <c r="AP199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8200</v>
      </c>
      <c r="AQ199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9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8200</v>
      </c>
      <c r="AT199" s="116"/>
    </row>
    <row r="200" spans="1:46" ht="30" x14ac:dyDescent="0.25">
      <c r="A200" s="99" t="s">
        <v>152</v>
      </c>
      <c r="B200" s="90" t="s">
        <v>208</v>
      </c>
      <c r="C200" s="91" t="s">
        <v>74</v>
      </c>
      <c r="D200" s="94" t="s">
        <v>154</v>
      </c>
      <c r="E200" s="92">
        <v>98</v>
      </c>
      <c r="F200" s="93">
        <v>2.2999999999999998</v>
      </c>
      <c r="G200" s="94" t="s">
        <v>75</v>
      </c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>
        <v>147</v>
      </c>
      <c r="AA200" s="88"/>
      <c r="AB200" s="88"/>
      <c r="AC200" s="88"/>
      <c r="AD200" s="88"/>
      <c r="AE200" s="88"/>
      <c r="AF200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147</v>
      </c>
      <c r="AG200" s="88">
        <f>Programacion[[#This Row],[ENERO]]+Programacion[[#This Row],[FEBRERO]]+Programacion[[#This Row],[MARZO]]</f>
        <v>0</v>
      </c>
      <c r="AH200" s="88">
        <f>Programacion[[#This Row],[DEVENGADO ENERO]]+Programacion[[#This Row],[DEVENGADO FEBRERO]]+Programacion[[#This Row],[DEVENGADO MARZO]]</f>
        <v>0</v>
      </c>
      <c r="AI200" s="88">
        <f>Programacion[[#This Row],[ABRIL]]+Programacion[[#This Row],[MAYO]]+Programacion[[#This Row],[JUNIO]]</f>
        <v>0</v>
      </c>
      <c r="AJ200" s="88">
        <f>Programacion[[#This Row],[DEVENGADO ABRIL]]+Programacion[[#This Row],[DEVENGADO MAYO]]+Programacion[[#This Row],[DEVENGADO JUNIO]]</f>
        <v>0</v>
      </c>
      <c r="AK200" s="88">
        <f>Programacion[[#This Row],[JULIO]]+Programacion[[#This Row],[AGOSTO]]+Programacion[[#This Row],[SEPTIEMBRE]]</f>
        <v>0</v>
      </c>
      <c r="AL200" s="88">
        <f>Programacion[[#This Row],[DEVENGADO JULIO]]+Programacion[[#This Row],[DEVENGADO AGOSTO]]+Programacion[[#This Row],[DEVENGADO SEPTIEMBRE]]</f>
        <v>0</v>
      </c>
      <c r="AM200" s="88">
        <f>Programacion[[#This Row],[OCTUBRE]]+Programacion[[#This Row],[NOVIEMBRE]]+Programacion[[#This Row],[DICIEMBRE]]</f>
        <v>147</v>
      </c>
      <c r="AN200" s="88">
        <f>Programacion[[#This Row],[DEVENGADO OCTUBRE]]+Programacion[[#This Row],[DEVENGADO NOVIEMBRE]]+Programacion[[#This Row],[DEVENGADO DICIEMBRE]]</f>
        <v>0</v>
      </c>
      <c r="AO200" s="88">
        <f>Programacion[[#This Row],[ENERO]]+Programacion[[#This Row],[FEBRERO]]+Programacion[[#This Row],[MARZO]]+Programacion[[#This Row],[ABRIL]]+Programacion[[#This Row],[MAYO]]+Programacion[[#This Row],[JUNIO]]</f>
        <v>0</v>
      </c>
      <c r="AP200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0" s="88">
        <f>Programacion[[#This Row],[JULIO]]+Programacion[[#This Row],[AGOSTO]]+Programacion[[#This Row],[SEPTIEMBRE]]+Programacion[[#This Row],[OCTUBRE]]+Programacion[[#This Row],[NOVIEMBRE]]+Programacion[[#This Row],[DICIEMBRE]]</f>
        <v>147</v>
      </c>
      <c r="AR200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0" s="116"/>
    </row>
    <row r="201" spans="1:46" x14ac:dyDescent="0.25">
      <c r="A201" s="99" t="s">
        <v>152</v>
      </c>
      <c r="B201" s="90" t="s">
        <v>209</v>
      </c>
      <c r="C201" s="81" t="s">
        <v>200</v>
      </c>
      <c r="D201" s="81" t="s">
        <v>154</v>
      </c>
      <c r="E201" s="82">
        <v>98</v>
      </c>
      <c r="F201" s="83">
        <v>2.2999999999999998</v>
      </c>
      <c r="G201" s="81" t="s">
        <v>172</v>
      </c>
      <c r="H201" s="81"/>
      <c r="I201" s="84"/>
      <c r="J201" s="84"/>
      <c r="K201" s="84"/>
      <c r="L201" s="84"/>
      <c r="M201" s="84"/>
      <c r="N201" s="84"/>
      <c r="O201" s="84"/>
      <c r="P201" s="84"/>
      <c r="Q201" s="84"/>
      <c r="R201" s="84">
        <v>5450</v>
      </c>
      <c r="S201" s="84">
        <v>5450</v>
      </c>
      <c r="T201" s="84"/>
      <c r="U201" s="84"/>
      <c r="V201" s="84"/>
      <c r="W201" s="84"/>
      <c r="X201" s="84"/>
      <c r="Y201" s="84"/>
      <c r="Z201" s="84"/>
      <c r="AA201" s="85"/>
      <c r="AB201" s="100"/>
      <c r="AC201" s="100"/>
      <c r="AD201" s="100"/>
      <c r="AE201" s="100"/>
      <c r="AF201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5450</v>
      </c>
      <c r="AG201" s="88">
        <f>Programacion[[#This Row],[ENERO]]+Programacion[[#This Row],[FEBRERO]]+Programacion[[#This Row],[MARZO]]</f>
        <v>0</v>
      </c>
      <c r="AH201" s="88">
        <f>Programacion[[#This Row],[DEVENGADO ENERO]]+Programacion[[#This Row],[DEVENGADO FEBRERO]]+Programacion[[#This Row],[DEVENGADO MARZO]]</f>
        <v>0</v>
      </c>
      <c r="AI201" s="88">
        <f>Programacion[[#This Row],[ABRIL]]+Programacion[[#This Row],[MAYO]]+Programacion[[#This Row],[JUNIO]]</f>
        <v>5450</v>
      </c>
      <c r="AJ201" s="88">
        <f>Programacion[[#This Row],[DEVENGADO ABRIL]]+Programacion[[#This Row],[DEVENGADO MAYO]]+Programacion[[#This Row],[DEVENGADO JUNIO]]</f>
        <v>5450</v>
      </c>
      <c r="AK201" s="88">
        <f>Programacion[[#This Row],[JULIO]]+Programacion[[#This Row],[AGOSTO]]+Programacion[[#This Row],[SEPTIEMBRE]]</f>
        <v>0</v>
      </c>
      <c r="AL201" s="88">
        <f>Programacion[[#This Row],[DEVENGADO JULIO]]+Programacion[[#This Row],[DEVENGADO AGOSTO]]+Programacion[[#This Row],[DEVENGADO SEPTIEMBRE]]</f>
        <v>0</v>
      </c>
      <c r="AM201" s="88">
        <f>Programacion[[#This Row],[OCTUBRE]]+Programacion[[#This Row],[NOVIEMBRE]]+Programacion[[#This Row],[DICIEMBRE]]</f>
        <v>0</v>
      </c>
      <c r="AN201" s="89">
        <f>Programacion[[#This Row],[DEVENGADO OCTUBRE]]+Programacion[[#This Row],[DEVENGADO NOVIEMBRE]]+Programacion[[#This Row],[DEVENGADO DICIEMBRE]]</f>
        <v>0</v>
      </c>
      <c r="AO201" s="89">
        <f>Programacion[[#This Row],[ENERO]]+Programacion[[#This Row],[FEBRERO]]+Programacion[[#This Row],[MARZO]]+Programacion[[#This Row],[ABRIL]]+Programacion[[#This Row],[MAYO]]+Programacion[[#This Row],[JUNIO]]</f>
        <v>5450</v>
      </c>
      <c r="AP201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5450</v>
      </c>
      <c r="AQ201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1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5450</v>
      </c>
      <c r="AT201" s="116"/>
    </row>
    <row r="202" spans="1:46" ht="30" x14ac:dyDescent="0.25">
      <c r="A202" s="99" t="s">
        <v>152</v>
      </c>
      <c r="B202" s="90" t="s">
        <v>198</v>
      </c>
      <c r="C202" s="81" t="s">
        <v>56</v>
      </c>
      <c r="D202" s="81" t="s">
        <v>154</v>
      </c>
      <c r="E202" s="82">
        <v>98</v>
      </c>
      <c r="F202" s="83">
        <v>2.2999999999999998</v>
      </c>
      <c r="G202" s="81" t="s">
        <v>57</v>
      </c>
      <c r="H202" s="81"/>
      <c r="I202" s="84"/>
      <c r="J202" s="84"/>
      <c r="K202" s="84"/>
      <c r="L202" s="84"/>
      <c r="M202" s="84"/>
      <c r="N202" s="84">
        <v>10500</v>
      </c>
      <c r="O202" s="84">
        <v>10500</v>
      </c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5"/>
      <c r="AB202" s="100"/>
      <c r="AC202" s="100"/>
      <c r="AD202" s="100"/>
      <c r="AE202" s="100"/>
      <c r="AF202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10500</v>
      </c>
      <c r="AG202" s="88">
        <f>Programacion[[#This Row],[ENERO]]+Programacion[[#This Row],[FEBRERO]]+Programacion[[#This Row],[MARZO]]</f>
        <v>0</v>
      </c>
      <c r="AH202" s="88">
        <f>Programacion[[#This Row],[DEVENGADO ENERO]]+Programacion[[#This Row],[DEVENGADO FEBRERO]]+Programacion[[#This Row],[DEVENGADO MARZO]]</f>
        <v>0</v>
      </c>
      <c r="AI202" s="88">
        <f>Programacion[[#This Row],[ABRIL]]+Programacion[[#This Row],[MAYO]]+Programacion[[#This Row],[JUNIO]]</f>
        <v>10500</v>
      </c>
      <c r="AJ202" s="88">
        <f>Programacion[[#This Row],[DEVENGADO ABRIL]]+Programacion[[#This Row],[DEVENGADO MAYO]]+Programacion[[#This Row],[DEVENGADO JUNIO]]</f>
        <v>10500</v>
      </c>
      <c r="AK202" s="88">
        <f>Programacion[[#This Row],[JULIO]]+Programacion[[#This Row],[AGOSTO]]+Programacion[[#This Row],[SEPTIEMBRE]]</f>
        <v>0</v>
      </c>
      <c r="AL202" s="88">
        <f>Programacion[[#This Row],[DEVENGADO JULIO]]+Programacion[[#This Row],[DEVENGADO AGOSTO]]+Programacion[[#This Row],[DEVENGADO SEPTIEMBRE]]</f>
        <v>0</v>
      </c>
      <c r="AM202" s="88">
        <f>Programacion[[#This Row],[OCTUBRE]]+Programacion[[#This Row],[NOVIEMBRE]]+Programacion[[#This Row],[DICIEMBRE]]</f>
        <v>0</v>
      </c>
      <c r="AN202" s="89">
        <f>Programacion[[#This Row],[DEVENGADO OCTUBRE]]+Programacion[[#This Row],[DEVENGADO NOVIEMBRE]]+Programacion[[#This Row],[DEVENGADO DICIEMBRE]]</f>
        <v>0</v>
      </c>
      <c r="AO202" s="89">
        <f>Programacion[[#This Row],[ENERO]]+Programacion[[#This Row],[FEBRERO]]+Programacion[[#This Row],[MARZO]]+Programacion[[#This Row],[ABRIL]]+Programacion[[#This Row],[MAYO]]+Programacion[[#This Row],[JUNIO]]</f>
        <v>10500</v>
      </c>
      <c r="AP202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10500</v>
      </c>
      <c r="AQ202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2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10500</v>
      </c>
      <c r="AT202" s="116"/>
    </row>
    <row r="203" spans="1:46" x14ac:dyDescent="0.25">
      <c r="A203" s="99" t="s">
        <v>152</v>
      </c>
      <c r="B203" s="90" t="s">
        <v>210</v>
      </c>
      <c r="C203" s="81" t="s">
        <v>56</v>
      </c>
      <c r="D203" s="81" t="s">
        <v>154</v>
      </c>
      <c r="E203" s="82">
        <v>98</v>
      </c>
      <c r="F203" s="83">
        <v>2.2999999999999998</v>
      </c>
      <c r="G203" s="81" t="s">
        <v>57</v>
      </c>
      <c r="H203" s="81"/>
      <c r="I203" s="84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>
        <v>9500</v>
      </c>
      <c r="AA203" s="85"/>
      <c r="AB203" s="100"/>
      <c r="AC203" s="100"/>
      <c r="AD203" s="100"/>
      <c r="AE203" s="100"/>
      <c r="AF203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9500</v>
      </c>
      <c r="AG203" s="88">
        <f>Programacion[[#This Row],[ENERO]]+Programacion[[#This Row],[FEBRERO]]+Programacion[[#This Row],[MARZO]]</f>
        <v>0</v>
      </c>
      <c r="AH203" s="88">
        <f>Programacion[[#This Row],[DEVENGADO ENERO]]+Programacion[[#This Row],[DEVENGADO FEBRERO]]+Programacion[[#This Row],[DEVENGADO MARZO]]</f>
        <v>0</v>
      </c>
      <c r="AI203" s="88">
        <f>Programacion[[#This Row],[ABRIL]]+Programacion[[#This Row],[MAYO]]+Programacion[[#This Row],[JUNIO]]</f>
        <v>0</v>
      </c>
      <c r="AJ203" s="88">
        <f>Programacion[[#This Row],[DEVENGADO ABRIL]]+Programacion[[#This Row],[DEVENGADO MAYO]]+Programacion[[#This Row],[DEVENGADO JUNIO]]</f>
        <v>0</v>
      </c>
      <c r="AK203" s="88">
        <f>Programacion[[#This Row],[JULIO]]+Programacion[[#This Row],[AGOSTO]]+Programacion[[#This Row],[SEPTIEMBRE]]</f>
        <v>0</v>
      </c>
      <c r="AL203" s="88">
        <f>Programacion[[#This Row],[DEVENGADO JULIO]]+Programacion[[#This Row],[DEVENGADO AGOSTO]]+Programacion[[#This Row],[DEVENGADO SEPTIEMBRE]]</f>
        <v>0</v>
      </c>
      <c r="AM203" s="88">
        <f>Programacion[[#This Row],[OCTUBRE]]+Programacion[[#This Row],[NOVIEMBRE]]+Programacion[[#This Row],[DICIEMBRE]]</f>
        <v>9500</v>
      </c>
      <c r="AN203" s="89">
        <f>Programacion[[#This Row],[DEVENGADO OCTUBRE]]+Programacion[[#This Row],[DEVENGADO NOVIEMBRE]]+Programacion[[#This Row],[DEVENGADO DICIEMBRE]]</f>
        <v>0</v>
      </c>
      <c r="AO203" s="89">
        <f>Programacion[[#This Row],[ENERO]]+Programacion[[#This Row],[FEBRERO]]+Programacion[[#This Row],[MARZO]]+Programacion[[#This Row],[ABRIL]]+Programacion[[#This Row],[MAYO]]+Programacion[[#This Row],[JUNIO]]</f>
        <v>0</v>
      </c>
      <c r="AP203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3" s="89">
        <f>Programacion[[#This Row],[JULIO]]+Programacion[[#This Row],[AGOSTO]]+Programacion[[#This Row],[SEPTIEMBRE]]+Programacion[[#This Row],[OCTUBRE]]+Programacion[[#This Row],[NOVIEMBRE]]+Programacion[[#This Row],[DICIEMBRE]]</f>
        <v>9500</v>
      </c>
      <c r="AR203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3" s="116"/>
    </row>
    <row r="204" spans="1:46" ht="30" x14ac:dyDescent="0.25">
      <c r="A204" s="99" t="s">
        <v>152</v>
      </c>
      <c r="B204" s="90" t="s">
        <v>211</v>
      </c>
      <c r="C204" s="91" t="s">
        <v>56</v>
      </c>
      <c r="D204" s="81" t="s">
        <v>154</v>
      </c>
      <c r="E204" s="92">
        <v>99</v>
      </c>
      <c r="F204" s="83">
        <v>2.2999999999999998</v>
      </c>
      <c r="G204" s="94" t="s">
        <v>57</v>
      </c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>
        <v>19500</v>
      </c>
      <c r="AA204" s="88"/>
      <c r="AB204" s="88"/>
      <c r="AC204" s="88"/>
      <c r="AD204" s="88"/>
      <c r="AE204" s="88"/>
      <c r="AF204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19500</v>
      </c>
      <c r="AG204" s="88">
        <f>Programacion[[#This Row],[ENERO]]+Programacion[[#This Row],[FEBRERO]]+Programacion[[#This Row],[MARZO]]</f>
        <v>0</v>
      </c>
      <c r="AH204" s="88">
        <f>Programacion[[#This Row],[DEVENGADO ENERO]]+Programacion[[#This Row],[DEVENGADO FEBRERO]]+Programacion[[#This Row],[DEVENGADO MARZO]]</f>
        <v>0</v>
      </c>
      <c r="AI204" s="88">
        <f>Programacion[[#This Row],[ABRIL]]+Programacion[[#This Row],[MAYO]]+Programacion[[#This Row],[JUNIO]]</f>
        <v>0</v>
      </c>
      <c r="AJ204" s="88">
        <f>Programacion[[#This Row],[DEVENGADO ABRIL]]+Programacion[[#This Row],[DEVENGADO MAYO]]+Programacion[[#This Row],[DEVENGADO JUNIO]]</f>
        <v>0</v>
      </c>
      <c r="AK204" s="88">
        <f>Programacion[[#This Row],[JULIO]]+Programacion[[#This Row],[AGOSTO]]+Programacion[[#This Row],[SEPTIEMBRE]]</f>
        <v>0</v>
      </c>
      <c r="AL204" s="88">
        <f>Programacion[[#This Row],[DEVENGADO JULIO]]+Programacion[[#This Row],[DEVENGADO AGOSTO]]+Programacion[[#This Row],[DEVENGADO SEPTIEMBRE]]</f>
        <v>0</v>
      </c>
      <c r="AM204" s="88">
        <f>Programacion[[#This Row],[OCTUBRE]]+Programacion[[#This Row],[NOVIEMBRE]]+Programacion[[#This Row],[DICIEMBRE]]</f>
        <v>19500</v>
      </c>
      <c r="AN204" s="97">
        <f>Programacion[[#This Row],[DEVENGADO OCTUBRE]]+Programacion[[#This Row],[DEVENGADO NOVIEMBRE]]+Programacion[[#This Row],[DEVENGADO DICIEMBRE]]</f>
        <v>0</v>
      </c>
      <c r="AO204" s="97">
        <f>Programacion[[#This Row],[ENERO]]+Programacion[[#This Row],[FEBRERO]]+Programacion[[#This Row],[MARZO]]+Programacion[[#This Row],[ABRIL]]+Programacion[[#This Row],[MAYO]]+Programacion[[#This Row],[JUNIO]]</f>
        <v>0</v>
      </c>
      <c r="AP204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4" s="97">
        <f>Programacion[[#This Row],[JULIO]]+Programacion[[#This Row],[AGOSTO]]+Programacion[[#This Row],[SEPTIEMBRE]]+Programacion[[#This Row],[OCTUBRE]]+Programacion[[#This Row],[NOVIEMBRE]]+Programacion[[#This Row],[DICIEMBRE]]</f>
        <v>19500</v>
      </c>
      <c r="AR204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4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4" s="116"/>
    </row>
    <row r="205" spans="1:46" ht="30" x14ac:dyDescent="0.25">
      <c r="A205" s="99" t="s">
        <v>152</v>
      </c>
      <c r="B205" s="90" t="s">
        <v>212</v>
      </c>
      <c r="C205" s="91" t="s">
        <v>56</v>
      </c>
      <c r="D205" s="81" t="s">
        <v>154</v>
      </c>
      <c r="E205" s="92">
        <v>99</v>
      </c>
      <c r="F205" s="83">
        <v>2.2999999999999998</v>
      </c>
      <c r="G205" s="94" t="s">
        <v>57</v>
      </c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>
        <v>8000</v>
      </c>
      <c r="Y205" s="88"/>
      <c r="Z205" s="88">
        <v>8608.68</v>
      </c>
      <c r="AA205" s="88"/>
      <c r="AB205" s="88"/>
      <c r="AC205" s="88"/>
      <c r="AD205" s="88"/>
      <c r="AE205" s="88"/>
      <c r="AF205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16608.68</v>
      </c>
      <c r="AG205" s="88">
        <f>Programacion[[#This Row],[ENERO]]+Programacion[[#This Row],[FEBRERO]]+Programacion[[#This Row],[MARZO]]</f>
        <v>0</v>
      </c>
      <c r="AH205" s="88">
        <f>Programacion[[#This Row],[DEVENGADO ENERO]]+Programacion[[#This Row],[DEVENGADO FEBRERO]]+Programacion[[#This Row],[DEVENGADO MARZO]]</f>
        <v>0</v>
      </c>
      <c r="AI205" s="88">
        <f>Programacion[[#This Row],[ABRIL]]+Programacion[[#This Row],[MAYO]]+Programacion[[#This Row],[JUNIO]]</f>
        <v>0</v>
      </c>
      <c r="AJ205" s="88">
        <f>Programacion[[#This Row],[DEVENGADO ABRIL]]+Programacion[[#This Row],[DEVENGADO MAYO]]+Programacion[[#This Row],[DEVENGADO JUNIO]]</f>
        <v>0</v>
      </c>
      <c r="AK205" s="88">
        <f>Programacion[[#This Row],[JULIO]]+Programacion[[#This Row],[AGOSTO]]+Programacion[[#This Row],[SEPTIEMBRE]]</f>
        <v>8000</v>
      </c>
      <c r="AL205" s="88">
        <f>Programacion[[#This Row],[DEVENGADO JULIO]]+Programacion[[#This Row],[DEVENGADO AGOSTO]]+Programacion[[#This Row],[DEVENGADO SEPTIEMBRE]]</f>
        <v>0</v>
      </c>
      <c r="AM205" s="88">
        <f>Programacion[[#This Row],[OCTUBRE]]+Programacion[[#This Row],[NOVIEMBRE]]+Programacion[[#This Row],[DICIEMBRE]]</f>
        <v>8608.68</v>
      </c>
      <c r="AN205" s="97">
        <f>Programacion[[#This Row],[DEVENGADO OCTUBRE]]+Programacion[[#This Row],[DEVENGADO NOVIEMBRE]]+Programacion[[#This Row],[DEVENGADO DICIEMBRE]]</f>
        <v>0</v>
      </c>
      <c r="AO205" s="97">
        <f>Programacion[[#This Row],[ENERO]]+Programacion[[#This Row],[FEBRERO]]+Programacion[[#This Row],[MARZO]]+Programacion[[#This Row],[ABRIL]]+Programacion[[#This Row],[MAYO]]+Programacion[[#This Row],[JUNIO]]</f>
        <v>0</v>
      </c>
      <c r="AP205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5" s="97">
        <f>Programacion[[#This Row],[JULIO]]+Programacion[[#This Row],[AGOSTO]]+Programacion[[#This Row],[SEPTIEMBRE]]+Programacion[[#This Row],[OCTUBRE]]+Programacion[[#This Row],[NOVIEMBRE]]+Programacion[[#This Row],[DICIEMBRE]]</f>
        <v>16608.68</v>
      </c>
      <c r="AR205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5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5" s="116"/>
    </row>
    <row r="206" spans="1:46" x14ac:dyDescent="0.25">
      <c r="A206" s="99" t="s">
        <v>152</v>
      </c>
      <c r="B206" s="90" t="s">
        <v>213</v>
      </c>
      <c r="C206" s="91" t="s">
        <v>74</v>
      </c>
      <c r="D206" s="81" t="s">
        <v>154</v>
      </c>
      <c r="E206" s="92">
        <v>99</v>
      </c>
      <c r="F206" s="83">
        <v>2.2999999999999998</v>
      </c>
      <c r="G206" s="94" t="s">
        <v>75</v>
      </c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>
        <v>2500</v>
      </c>
      <c r="AA206" s="88"/>
      <c r="AB206" s="88"/>
      <c r="AC206" s="88"/>
      <c r="AD206" s="88"/>
      <c r="AE206" s="88"/>
      <c r="AF206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</v>
      </c>
      <c r="AG206" s="88">
        <f>Programacion[[#This Row],[ENERO]]+Programacion[[#This Row],[FEBRERO]]+Programacion[[#This Row],[MARZO]]</f>
        <v>0</v>
      </c>
      <c r="AH206" s="88">
        <f>Programacion[[#This Row],[DEVENGADO ENERO]]+Programacion[[#This Row],[DEVENGADO FEBRERO]]+Programacion[[#This Row],[DEVENGADO MARZO]]</f>
        <v>0</v>
      </c>
      <c r="AI206" s="88">
        <f>Programacion[[#This Row],[ABRIL]]+Programacion[[#This Row],[MAYO]]+Programacion[[#This Row],[JUNIO]]</f>
        <v>0</v>
      </c>
      <c r="AJ206" s="88">
        <f>Programacion[[#This Row],[DEVENGADO ABRIL]]+Programacion[[#This Row],[DEVENGADO MAYO]]+Programacion[[#This Row],[DEVENGADO JUNIO]]</f>
        <v>0</v>
      </c>
      <c r="AK206" s="88">
        <f>Programacion[[#This Row],[JULIO]]+Programacion[[#This Row],[AGOSTO]]+Programacion[[#This Row],[SEPTIEMBRE]]</f>
        <v>0</v>
      </c>
      <c r="AL206" s="88">
        <f>Programacion[[#This Row],[DEVENGADO JULIO]]+Programacion[[#This Row],[DEVENGADO AGOSTO]]+Programacion[[#This Row],[DEVENGADO SEPTIEMBRE]]</f>
        <v>0</v>
      </c>
      <c r="AM206" s="88">
        <f>Programacion[[#This Row],[OCTUBRE]]+Programacion[[#This Row],[NOVIEMBRE]]+Programacion[[#This Row],[DICIEMBRE]]</f>
        <v>2500</v>
      </c>
      <c r="AN206" s="97">
        <f>Programacion[[#This Row],[DEVENGADO OCTUBRE]]+Programacion[[#This Row],[DEVENGADO NOVIEMBRE]]+Programacion[[#This Row],[DEVENGADO DICIEMBRE]]</f>
        <v>0</v>
      </c>
      <c r="AO206" s="97">
        <f>Programacion[[#This Row],[ENERO]]+Programacion[[#This Row],[FEBRERO]]+Programacion[[#This Row],[MARZO]]+Programacion[[#This Row],[ABRIL]]+Programacion[[#This Row],[MAYO]]+Programacion[[#This Row],[JUNIO]]</f>
        <v>0</v>
      </c>
      <c r="AP206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6" s="97">
        <f>Programacion[[#This Row],[JULIO]]+Programacion[[#This Row],[AGOSTO]]+Programacion[[#This Row],[SEPTIEMBRE]]+Programacion[[#This Row],[OCTUBRE]]+Programacion[[#This Row],[NOVIEMBRE]]+Programacion[[#This Row],[DICIEMBRE]]</f>
        <v>2500</v>
      </c>
      <c r="AR206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6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6" s="116"/>
    </row>
    <row r="207" spans="1:46" x14ac:dyDescent="0.25">
      <c r="A207" s="99" t="s">
        <v>152</v>
      </c>
      <c r="B207" s="90" t="s">
        <v>214</v>
      </c>
      <c r="C207" s="91" t="s">
        <v>47</v>
      </c>
      <c r="D207" s="81" t="s">
        <v>154</v>
      </c>
      <c r="E207" s="92">
        <v>99</v>
      </c>
      <c r="F207" s="83">
        <v>2.2999999999999998</v>
      </c>
      <c r="G207" s="94" t="s">
        <v>49</v>
      </c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>
        <v>2400</v>
      </c>
      <c r="AA207" s="88"/>
      <c r="AB207" s="88"/>
      <c r="AC207" s="88"/>
      <c r="AD207" s="88"/>
      <c r="AE207" s="88"/>
      <c r="AF207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207" s="88">
        <f>Programacion[[#This Row],[ENERO]]+Programacion[[#This Row],[FEBRERO]]+Programacion[[#This Row],[MARZO]]</f>
        <v>0</v>
      </c>
      <c r="AH207" s="88">
        <f>Programacion[[#This Row],[DEVENGADO ENERO]]+Programacion[[#This Row],[DEVENGADO FEBRERO]]+Programacion[[#This Row],[DEVENGADO MARZO]]</f>
        <v>0</v>
      </c>
      <c r="AI207" s="88">
        <f>Programacion[[#This Row],[ABRIL]]+Programacion[[#This Row],[MAYO]]+Programacion[[#This Row],[JUNIO]]</f>
        <v>0</v>
      </c>
      <c r="AJ207" s="88">
        <f>Programacion[[#This Row],[DEVENGADO ABRIL]]+Programacion[[#This Row],[DEVENGADO MAYO]]+Programacion[[#This Row],[DEVENGADO JUNIO]]</f>
        <v>0</v>
      </c>
      <c r="AK207" s="88">
        <f>Programacion[[#This Row],[JULIO]]+Programacion[[#This Row],[AGOSTO]]+Programacion[[#This Row],[SEPTIEMBRE]]</f>
        <v>0</v>
      </c>
      <c r="AL207" s="88">
        <f>Programacion[[#This Row],[DEVENGADO JULIO]]+Programacion[[#This Row],[DEVENGADO AGOSTO]]+Programacion[[#This Row],[DEVENGADO SEPTIEMBRE]]</f>
        <v>0</v>
      </c>
      <c r="AM207" s="88">
        <f>Programacion[[#This Row],[OCTUBRE]]+Programacion[[#This Row],[NOVIEMBRE]]+Programacion[[#This Row],[DICIEMBRE]]</f>
        <v>2400</v>
      </c>
      <c r="AN207" s="97">
        <f>Programacion[[#This Row],[DEVENGADO OCTUBRE]]+Programacion[[#This Row],[DEVENGADO NOVIEMBRE]]+Programacion[[#This Row],[DEVENGADO DICIEMBRE]]</f>
        <v>0</v>
      </c>
      <c r="AO207" s="97">
        <f>Programacion[[#This Row],[ENERO]]+Programacion[[#This Row],[FEBRERO]]+Programacion[[#This Row],[MARZO]]+Programacion[[#This Row],[ABRIL]]+Programacion[[#This Row],[MAYO]]+Programacion[[#This Row],[JUNIO]]</f>
        <v>0</v>
      </c>
      <c r="AP207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7" s="97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207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7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7" s="116"/>
    </row>
    <row r="208" spans="1:46" x14ac:dyDescent="0.25">
      <c r="A208" s="99" t="s">
        <v>152</v>
      </c>
      <c r="B208" s="90" t="s">
        <v>215</v>
      </c>
      <c r="C208" s="91" t="s">
        <v>47</v>
      </c>
      <c r="D208" s="81" t="s">
        <v>154</v>
      </c>
      <c r="E208" s="92">
        <v>99</v>
      </c>
      <c r="F208" s="83">
        <v>2.2999999999999998</v>
      </c>
      <c r="G208" s="94" t="s">
        <v>51</v>
      </c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>
        <v>1620</v>
      </c>
      <c r="AA208" s="88"/>
      <c r="AB208" s="88"/>
      <c r="AC208" s="88"/>
      <c r="AD208" s="88"/>
      <c r="AE208" s="88"/>
      <c r="AF208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208" s="88">
        <f>Programacion[[#This Row],[ENERO]]+Programacion[[#This Row],[FEBRERO]]+Programacion[[#This Row],[MARZO]]</f>
        <v>0</v>
      </c>
      <c r="AH208" s="88">
        <f>Programacion[[#This Row],[DEVENGADO ENERO]]+Programacion[[#This Row],[DEVENGADO FEBRERO]]+Programacion[[#This Row],[DEVENGADO MARZO]]</f>
        <v>0</v>
      </c>
      <c r="AI208" s="88">
        <f>Programacion[[#This Row],[ABRIL]]+Programacion[[#This Row],[MAYO]]+Programacion[[#This Row],[JUNIO]]</f>
        <v>0</v>
      </c>
      <c r="AJ208" s="88">
        <f>Programacion[[#This Row],[DEVENGADO ABRIL]]+Programacion[[#This Row],[DEVENGADO MAYO]]+Programacion[[#This Row],[DEVENGADO JUNIO]]</f>
        <v>0</v>
      </c>
      <c r="AK208" s="88">
        <f>Programacion[[#This Row],[JULIO]]+Programacion[[#This Row],[AGOSTO]]+Programacion[[#This Row],[SEPTIEMBRE]]</f>
        <v>0</v>
      </c>
      <c r="AL208" s="88">
        <f>Programacion[[#This Row],[DEVENGADO JULIO]]+Programacion[[#This Row],[DEVENGADO AGOSTO]]+Programacion[[#This Row],[DEVENGADO SEPTIEMBRE]]</f>
        <v>0</v>
      </c>
      <c r="AM208" s="88">
        <f>Programacion[[#This Row],[OCTUBRE]]+Programacion[[#This Row],[NOVIEMBRE]]+Programacion[[#This Row],[DICIEMBRE]]</f>
        <v>1620</v>
      </c>
      <c r="AN208" s="97">
        <f>Programacion[[#This Row],[DEVENGADO OCTUBRE]]+Programacion[[#This Row],[DEVENGADO NOVIEMBRE]]+Programacion[[#This Row],[DEVENGADO DICIEMBRE]]</f>
        <v>0</v>
      </c>
      <c r="AO208" s="97">
        <f>Programacion[[#This Row],[ENERO]]+Programacion[[#This Row],[FEBRERO]]+Programacion[[#This Row],[MARZO]]+Programacion[[#This Row],[ABRIL]]+Programacion[[#This Row],[MAYO]]+Programacion[[#This Row],[JUNIO]]</f>
        <v>0</v>
      </c>
      <c r="AP208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8" s="97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208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8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8" s="116"/>
    </row>
    <row r="209" spans="1:46" x14ac:dyDescent="0.25">
      <c r="A209" s="99" t="s">
        <v>152</v>
      </c>
      <c r="B209" s="90" t="s">
        <v>216</v>
      </c>
      <c r="C209" s="91" t="s">
        <v>74</v>
      </c>
      <c r="D209" s="81" t="s">
        <v>154</v>
      </c>
      <c r="E209" s="92">
        <v>99</v>
      </c>
      <c r="F209" s="83">
        <v>2.2999999999999998</v>
      </c>
      <c r="G209" s="94" t="s">
        <v>75</v>
      </c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>
        <v>176</v>
      </c>
      <c r="AA209" s="88"/>
      <c r="AB209" s="88"/>
      <c r="AC209" s="88"/>
      <c r="AD209" s="88"/>
      <c r="AE209" s="88"/>
      <c r="AF209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176</v>
      </c>
      <c r="AG209" s="88">
        <f>Programacion[[#This Row],[ENERO]]+Programacion[[#This Row],[FEBRERO]]+Programacion[[#This Row],[MARZO]]</f>
        <v>0</v>
      </c>
      <c r="AH209" s="88">
        <f>Programacion[[#This Row],[DEVENGADO ENERO]]+Programacion[[#This Row],[DEVENGADO FEBRERO]]+Programacion[[#This Row],[DEVENGADO MARZO]]</f>
        <v>0</v>
      </c>
      <c r="AI209" s="88">
        <f>Programacion[[#This Row],[ABRIL]]+Programacion[[#This Row],[MAYO]]+Programacion[[#This Row],[JUNIO]]</f>
        <v>0</v>
      </c>
      <c r="AJ209" s="88">
        <f>Programacion[[#This Row],[DEVENGADO ABRIL]]+Programacion[[#This Row],[DEVENGADO MAYO]]+Programacion[[#This Row],[DEVENGADO JUNIO]]</f>
        <v>0</v>
      </c>
      <c r="AK209" s="88">
        <f>Programacion[[#This Row],[JULIO]]+Programacion[[#This Row],[AGOSTO]]+Programacion[[#This Row],[SEPTIEMBRE]]</f>
        <v>0</v>
      </c>
      <c r="AL209" s="88">
        <f>Programacion[[#This Row],[DEVENGADO JULIO]]+Programacion[[#This Row],[DEVENGADO AGOSTO]]+Programacion[[#This Row],[DEVENGADO SEPTIEMBRE]]</f>
        <v>0</v>
      </c>
      <c r="AM209" s="88">
        <f>Programacion[[#This Row],[OCTUBRE]]+Programacion[[#This Row],[NOVIEMBRE]]+Programacion[[#This Row],[DICIEMBRE]]</f>
        <v>176</v>
      </c>
      <c r="AN209" s="97">
        <f>Programacion[[#This Row],[DEVENGADO OCTUBRE]]+Programacion[[#This Row],[DEVENGADO NOVIEMBRE]]+Programacion[[#This Row],[DEVENGADO DICIEMBRE]]</f>
        <v>0</v>
      </c>
      <c r="AO209" s="97">
        <f>Programacion[[#This Row],[ENERO]]+Programacion[[#This Row],[FEBRERO]]+Programacion[[#This Row],[MARZO]]+Programacion[[#This Row],[ABRIL]]+Programacion[[#This Row],[MAYO]]+Programacion[[#This Row],[JUNIO]]</f>
        <v>0</v>
      </c>
      <c r="AP209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9" s="97">
        <f>Programacion[[#This Row],[JULIO]]+Programacion[[#This Row],[AGOSTO]]+Programacion[[#This Row],[SEPTIEMBRE]]+Programacion[[#This Row],[OCTUBRE]]+Programacion[[#This Row],[NOVIEMBRE]]+Programacion[[#This Row],[DICIEMBRE]]</f>
        <v>176</v>
      </c>
      <c r="AR209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9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9" s="116"/>
    </row>
    <row r="210" spans="1:46" x14ac:dyDescent="0.25">
      <c r="A210" s="99" t="s">
        <v>152</v>
      </c>
      <c r="B210" s="90" t="s">
        <v>216</v>
      </c>
      <c r="C210" s="91" t="s">
        <v>74</v>
      </c>
      <c r="D210" s="81" t="s">
        <v>154</v>
      </c>
      <c r="E210" s="92">
        <v>99</v>
      </c>
      <c r="F210" s="83">
        <v>2.2999999999999998</v>
      </c>
      <c r="G210" s="94" t="s">
        <v>75</v>
      </c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>
        <v>3260</v>
      </c>
      <c r="AA210" s="88"/>
      <c r="AB210" s="88"/>
      <c r="AC210" s="88"/>
      <c r="AD210" s="88"/>
      <c r="AE210" s="88"/>
      <c r="AF210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3260</v>
      </c>
      <c r="AG210" s="88">
        <f>Programacion[[#This Row],[ENERO]]+Programacion[[#This Row],[FEBRERO]]+Programacion[[#This Row],[MARZO]]</f>
        <v>0</v>
      </c>
      <c r="AH210" s="88">
        <f>Programacion[[#This Row],[DEVENGADO ENERO]]+Programacion[[#This Row],[DEVENGADO FEBRERO]]+Programacion[[#This Row],[DEVENGADO MARZO]]</f>
        <v>0</v>
      </c>
      <c r="AI210" s="88">
        <f>Programacion[[#This Row],[ABRIL]]+Programacion[[#This Row],[MAYO]]+Programacion[[#This Row],[JUNIO]]</f>
        <v>0</v>
      </c>
      <c r="AJ210" s="88">
        <f>Programacion[[#This Row],[DEVENGADO ABRIL]]+Programacion[[#This Row],[DEVENGADO MAYO]]+Programacion[[#This Row],[DEVENGADO JUNIO]]</f>
        <v>0</v>
      </c>
      <c r="AK210" s="88">
        <f>Programacion[[#This Row],[JULIO]]+Programacion[[#This Row],[AGOSTO]]+Programacion[[#This Row],[SEPTIEMBRE]]</f>
        <v>0</v>
      </c>
      <c r="AL210" s="88">
        <f>Programacion[[#This Row],[DEVENGADO JULIO]]+Programacion[[#This Row],[DEVENGADO AGOSTO]]+Programacion[[#This Row],[DEVENGADO SEPTIEMBRE]]</f>
        <v>0</v>
      </c>
      <c r="AM210" s="88">
        <f>Programacion[[#This Row],[OCTUBRE]]+Programacion[[#This Row],[NOVIEMBRE]]+Programacion[[#This Row],[DICIEMBRE]]</f>
        <v>3260</v>
      </c>
      <c r="AN210" s="97">
        <f>Programacion[[#This Row],[DEVENGADO OCTUBRE]]+Programacion[[#This Row],[DEVENGADO NOVIEMBRE]]+Programacion[[#This Row],[DEVENGADO DICIEMBRE]]</f>
        <v>0</v>
      </c>
      <c r="AO210" s="97">
        <f>Programacion[[#This Row],[ENERO]]+Programacion[[#This Row],[FEBRERO]]+Programacion[[#This Row],[MARZO]]+Programacion[[#This Row],[ABRIL]]+Programacion[[#This Row],[MAYO]]+Programacion[[#This Row],[JUNIO]]</f>
        <v>0</v>
      </c>
      <c r="AP210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0" s="97">
        <f>Programacion[[#This Row],[JULIO]]+Programacion[[#This Row],[AGOSTO]]+Programacion[[#This Row],[SEPTIEMBRE]]+Programacion[[#This Row],[OCTUBRE]]+Programacion[[#This Row],[NOVIEMBRE]]+Programacion[[#This Row],[DICIEMBRE]]</f>
        <v>3260</v>
      </c>
      <c r="AR210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0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0" s="116"/>
    </row>
    <row r="211" spans="1:46" ht="30" x14ac:dyDescent="0.25">
      <c r="A211" s="99" t="s">
        <v>152</v>
      </c>
      <c r="B211" s="90" t="s">
        <v>217</v>
      </c>
      <c r="C211" s="91" t="s">
        <v>47</v>
      </c>
      <c r="D211" s="81" t="s">
        <v>154</v>
      </c>
      <c r="E211" s="92">
        <v>99</v>
      </c>
      <c r="F211" s="83">
        <v>2.2999999999999998</v>
      </c>
      <c r="G211" s="94" t="s">
        <v>49</v>
      </c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>
        <v>2400</v>
      </c>
      <c r="AA211" s="88"/>
      <c r="AB211" s="88"/>
      <c r="AC211" s="88"/>
      <c r="AD211" s="88"/>
      <c r="AE211" s="88"/>
      <c r="AF211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211" s="88">
        <f>Programacion[[#This Row],[ENERO]]+Programacion[[#This Row],[FEBRERO]]+Programacion[[#This Row],[MARZO]]</f>
        <v>0</v>
      </c>
      <c r="AH211" s="88">
        <f>Programacion[[#This Row],[DEVENGADO ENERO]]+Programacion[[#This Row],[DEVENGADO FEBRERO]]+Programacion[[#This Row],[DEVENGADO MARZO]]</f>
        <v>0</v>
      </c>
      <c r="AI211" s="88">
        <f>Programacion[[#This Row],[ABRIL]]+Programacion[[#This Row],[MAYO]]+Programacion[[#This Row],[JUNIO]]</f>
        <v>0</v>
      </c>
      <c r="AJ211" s="88">
        <f>Programacion[[#This Row],[DEVENGADO ABRIL]]+Programacion[[#This Row],[DEVENGADO MAYO]]+Programacion[[#This Row],[DEVENGADO JUNIO]]</f>
        <v>0</v>
      </c>
      <c r="AK211" s="88">
        <f>Programacion[[#This Row],[JULIO]]+Programacion[[#This Row],[AGOSTO]]+Programacion[[#This Row],[SEPTIEMBRE]]</f>
        <v>0</v>
      </c>
      <c r="AL211" s="88">
        <f>Programacion[[#This Row],[DEVENGADO JULIO]]+Programacion[[#This Row],[DEVENGADO AGOSTO]]+Programacion[[#This Row],[DEVENGADO SEPTIEMBRE]]</f>
        <v>0</v>
      </c>
      <c r="AM211" s="88">
        <f>Programacion[[#This Row],[OCTUBRE]]+Programacion[[#This Row],[NOVIEMBRE]]+Programacion[[#This Row],[DICIEMBRE]]</f>
        <v>2400</v>
      </c>
      <c r="AN211" s="97">
        <f>Programacion[[#This Row],[DEVENGADO OCTUBRE]]+Programacion[[#This Row],[DEVENGADO NOVIEMBRE]]+Programacion[[#This Row],[DEVENGADO DICIEMBRE]]</f>
        <v>0</v>
      </c>
      <c r="AO211" s="97">
        <f>Programacion[[#This Row],[ENERO]]+Programacion[[#This Row],[FEBRERO]]+Programacion[[#This Row],[MARZO]]+Programacion[[#This Row],[ABRIL]]+Programacion[[#This Row],[MAYO]]+Programacion[[#This Row],[JUNIO]]</f>
        <v>0</v>
      </c>
      <c r="AP211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1" s="97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211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1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1" s="116"/>
    </row>
    <row r="212" spans="1:46" ht="30" x14ac:dyDescent="0.25">
      <c r="A212" s="99" t="s">
        <v>152</v>
      </c>
      <c r="B212" s="90" t="s">
        <v>218</v>
      </c>
      <c r="C212" s="91" t="s">
        <v>47</v>
      </c>
      <c r="D212" s="81" t="s">
        <v>154</v>
      </c>
      <c r="E212" s="92">
        <v>99</v>
      </c>
      <c r="F212" s="83">
        <v>2.2999999999999998</v>
      </c>
      <c r="G212" s="94" t="s">
        <v>51</v>
      </c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>
        <v>1620</v>
      </c>
      <c r="AA212" s="88"/>
      <c r="AB212" s="88"/>
      <c r="AC212" s="88"/>
      <c r="AD212" s="88"/>
      <c r="AE212" s="88"/>
      <c r="AF212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212" s="88">
        <f>Programacion[[#This Row],[ENERO]]+Programacion[[#This Row],[FEBRERO]]+Programacion[[#This Row],[MARZO]]</f>
        <v>0</v>
      </c>
      <c r="AH212" s="88">
        <f>Programacion[[#This Row],[DEVENGADO ENERO]]+Programacion[[#This Row],[DEVENGADO FEBRERO]]+Programacion[[#This Row],[DEVENGADO MARZO]]</f>
        <v>0</v>
      </c>
      <c r="AI212" s="88">
        <f>Programacion[[#This Row],[ABRIL]]+Programacion[[#This Row],[MAYO]]+Programacion[[#This Row],[JUNIO]]</f>
        <v>0</v>
      </c>
      <c r="AJ212" s="88">
        <f>Programacion[[#This Row],[DEVENGADO ABRIL]]+Programacion[[#This Row],[DEVENGADO MAYO]]+Programacion[[#This Row],[DEVENGADO JUNIO]]</f>
        <v>0</v>
      </c>
      <c r="AK212" s="88">
        <f>Programacion[[#This Row],[JULIO]]+Programacion[[#This Row],[AGOSTO]]+Programacion[[#This Row],[SEPTIEMBRE]]</f>
        <v>0</v>
      </c>
      <c r="AL212" s="88">
        <f>Programacion[[#This Row],[DEVENGADO JULIO]]+Programacion[[#This Row],[DEVENGADO AGOSTO]]+Programacion[[#This Row],[DEVENGADO SEPTIEMBRE]]</f>
        <v>0</v>
      </c>
      <c r="AM212" s="88">
        <f>Programacion[[#This Row],[OCTUBRE]]+Programacion[[#This Row],[NOVIEMBRE]]+Programacion[[#This Row],[DICIEMBRE]]</f>
        <v>1620</v>
      </c>
      <c r="AN212" s="97">
        <f>Programacion[[#This Row],[DEVENGADO OCTUBRE]]+Programacion[[#This Row],[DEVENGADO NOVIEMBRE]]+Programacion[[#This Row],[DEVENGADO DICIEMBRE]]</f>
        <v>0</v>
      </c>
      <c r="AO212" s="97">
        <f>Programacion[[#This Row],[ENERO]]+Programacion[[#This Row],[FEBRERO]]+Programacion[[#This Row],[MARZO]]+Programacion[[#This Row],[ABRIL]]+Programacion[[#This Row],[MAYO]]+Programacion[[#This Row],[JUNIO]]</f>
        <v>0</v>
      </c>
      <c r="AP212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2" s="97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212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2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2" s="116"/>
    </row>
    <row r="213" spans="1:46" x14ac:dyDescent="0.25">
      <c r="A213" s="101" t="s">
        <v>219</v>
      </c>
      <c r="B213" s="102" t="s">
        <v>220</v>
      </c>
      <c r="C213" s="103" t="s">
        <v>192</v>
      </c>
      <c r="D213" s="103" t="s">
        <v>154</v>
      </c>
      <c r="E213" s="104">
        <v>102</v>
      </c>
      <c r="F213" s="105">
        <v>2.2999999999999998</v>
      </c>
      <c r="G213" s="103" t="s">
        <v>193</v>
      </c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>
        <v>3300</v>
      </c>
      <c r="U213" s="33">
        <v>3300</v>
      </c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3300</v>
      </c>
      <c r="AG213" s="33">
        <f>Programacion[[#This Row],[ENERO]]+Programacion[[#This Row],[FEBRERO]]+Programacion[[#This Row],[MARZO]]</f>
        <v>0</v>
      </c>
      <c r="AH213" s="33">
        <f>Programacion[[#This Row],[DEVENGADO ENERO]]+Programacion[[#This Row],[DEVENGADO FEBRERO]]+Programacion[[#This Row],[DEVENGADO MARZO]]</f>
        <v>0</v>
      </c>
      <c r="AI213" s="33">
        <f>Programacion[[#This Row],[ABRIL]]+Programacion[[#This Row],[MAYO]]+Programacion[[#This Row],[JUNIO]]</f>
        <v>0</v>
      </c>
      <c r="AJ213" s="33">
        <f>Programacion[[#This Row],[DEVENGADO ABRIL]]+Programacion[[#This Row],[DEVENGADO MAYO]]+Programacion[[#This Row],[DEVENGADO JUNIO]]</f>
        <v>0</v>
      </c>
      <c r="AK213" s="33">
        <f>Programacion[[#This Row],[JULIO]]+Programacion[[#This Row],[AGOSTO]]+Programacion[[#This Row],[SEPTIEMBRE]]</f>
        <v>3300</v>
      </c>
      <c r="AL213" s="33">
        <f>Programacion[[#This Row],[DEVENGADO JULIO]]+Programacion[[#This Row],[DEVENGADO AGOSTO]]+Programacion[[#This Row],[DEVENGADO SEPTIEMBRE]]</f>
        <v>3300</v>
      </c>
      <c r="AM213" s="33">
        <f>Programacion[[#This Row],[OCTUBRE]]+Programacion[[#This Row],[NOVIEMBRE]]+Programacion[[#This Row],[DICIEMBRE]]</f>
        <v>0</v>
      </c>
      <c r="AN213" s="21">
        <f>Programacion[[#This Row],[DEVENGADO OCTUBRE]]+Programacion[[#This Row],[DEVENGADO NOVIEMBRE]]+Programacion[[#This Row],[DEVENGADO DICIEMBRE]]</f>
        <v>0</v>
      </c>
      <c r="AO213" s="21">
        <f>Programacion[[#This Row],[ENERO]]+Programacion[[#This Row],[FEBRERO]]+Programacion[[#This Row],[MARZO]]+Programacion[[#This Row],[ABRIL]]+Programacion[[#This Row],[MAYO]]+Programacion[[#This Row],[JUNIO]]</f>
        <v>0</v>
      </c>
      <c r="AP21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3" s="21">
        <f>Programacion[[#This Row],[JULIO]]+Programacion[[#This Row],[AGOSTO]]+Programacion[[#This Row],[SEPTIEMBRE]]+Programacion[[#This Row],[OCTUBRE]]+Programacion[[#This Row],[NOVIEMBRE]]+Programacion[[#This Row],[DICIEMBRE]]</f>
        <v>3300</v>
      </c>
      <c r="AR21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3300</v>
      </c>
      <c r="AS21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3300</v>
      </c>
      <c r="AT213" s="116"/>
    </row>
    <row r="214" spans="1:46" ht="24" x14ac:dyDescent="0.25">
      <c r="A214" s="101" t="s">
        <v>219</v>
      </c>
      <c r="B214" s="107" t="s">
        <v>221</v>
      </c>
      <c r="C214" s="103" t="s">
        <v>56</v>
      </c>
      <c r="D214" s="103" t="s">
        <v>154</v>
      </c>
      <c r="E214" s="104">
        <v>102</v>
      </c>
      <c r="F214" s="105">
        <v>2.2999999999999998</v>
      </c>
      <c r="G214" s="103" t="s">
        <v>57</v>
      </c>
      <c r="H214" s="33"/>
      <c r="I214" s="33"/>
      <c r="J214" s="33"/>
      <c r="K214" s="33"/>
      <c r="L214" s="33">
        <v>8000</v>
      </c>
      <c r="M214" s="33">
        <v>8000</v>
      </c>
      <c r="N214" s="33">
        <v>8000</v>
      </c>
      <c r="O214" s="33">
        <v>8000</v>
      </c>
      <c r="P214" s="33">
        <v>8000</v>
      </c>
      <c r="Q214" s="33">
        <v>8000</v>
      </c>
      <c r="R214" s="33">
        <v>8000</v>
      </c>
      <c r="S214" s="33">
        <v>8000</v>
      </c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32000</v>
      </c>
      <c r="AG214" s="33">
        <f>Programacion[[#This Row],[ENERO]]+Programacion[[#This Row],[FEBRERO]]+Programacion[[#This Row],[MARZO]]</f>
        <v>8000</v>
      </c>
      <c r="AH214" s="33">
        <f>Programacion[[#This Row],[DEVENGADO ENERO]]+Programacion[[#This Row],[DEVENGADO FEBRERO]]+Programacion[[#This Row],[DEVENGADO MARZO]]</f>
        <v>8000</v>
      </c>
      <c r="AI214" s="33">
        <f>Programacion[[#This Row],[ABRIL]]+Programacion[[#This Row],[MAYO]]+Programacion[[#This Row],[JUNIO]]</f>
        <v>24000</v>
      </c>
      <c r="AJ214" s="33">
        <f>Programacion[[#This Row],[DEVENGADO ABRIL]]+Programacion[[#This Row],[DEVENGADO MAYO]]+Programacion[[#This Row],[DEVENGADO JUNIO]]</f>
        <v>24000</v>
      </c>
      <c r="AK214" s="33">
        <f>Programacion[[#This Row],[JULIO]]+Programacion[[#This Row],[AGOSTO]]+Programacion[[#This Row],[SEPTIEMBRE]]</f>
        <v>0</v>
      </c>
      <c r="AL214" s="33">
        <f>Programacion[[#This Row],[DEVENGADO JULIO]]+Programacion[[#This Row],[DEVENGADO AGOSTO]]+Programacion[[#This Row],[DEVENGADO SEPTIEMBRE]]</f>
        <v>0</v>
      </c>
      <c r="AM214" s="33">
        <f>Programacion[[#This Row],[OCTUBRE]]+Programacion[[#This Row],[NOVIEMBRE]]+Programacion[[#This Row],[DICIEMBRE]]</f>
        <v>0</v>
      </c>
      <c r="AN214" s="21">
        <f>Programacion[[#This Row],[DEVENGADO OCTUBRE]]+Programacion[[#This Row],[DEVENGADO NOVIEMBRE]]+Programacion[[#This Row],[DEVENGADO DICIEMBRE]]</f>
        <v>0</v>
      </c>
      <c r="AO214" s="21">
        <f>Programacion[[#This Row],[ENERO]]+Programacion[[#This Row],[FEBRERO]]+Programacion[[#This Row],[MARZO]]+Programacion[[#This Row],[ABRIL]]+Programacion[[#This Row],[MAYO]]+Programacion[[#This Row],[JUNIO]]</f>
        <v>32000</v>
      </c>
      <c r="AP21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32000</v>
      </c>
      <c r="AQ214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32000</v>
      </c>
      <c r="AT214" s="116"/>
    </row>
    <row r="215" spans="1:46" ht="24" x14ac:dyDescent="0.25">
      <c r="A215" s="101" t="s">
        <v>219</v>
      </c>
      <c r="B215" s="107" t="s">
        <v>222</v>
      </c>
      <c r="C215" s="103" t="s">
        <v>56</v>
      </c>
      <c r="D215" s="103" t="s">
        <v>154</v>
      </c>
      <c r="E215" s="104">
        <v>103</v>
      </c>
      <c r="F215" s="105">
        <v>2.2999999999999998</v>
      </c>
      <c r="G215" s="103" t="s">
        <v>57</v>
      </c>
      <c r="H215" s="33"/>
      <c r="I215" s="33"/>
      <c r="J215" s="33"/>
      <c r="K215" s="33"/>
      <c r="L215" s="33">
        <v>11000</v>
      </c>
      <c r="M215" s="33">
        <v>11000</v>
      </c>
      <c r="N215" s="33">
        <v>11000</v>
      </c>
      <c r="O215" s="33">
        <v>11000</v>
      </c>
      <c r="P215" s="33">
        <v>11000</v>
      </c>
      <c r="Q215" s="33">
        <v>11000</v>
      </c>
      <c r="R215" s="33">
        <v>11000</v>
      </c>
      <c r="S215" s="33">
        <v>11000</v>
      </c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44000</v>
      </c>
      <c r="AG215" s="33">
        <f>Programacion[[#This Row],[ENERO]]+Programacion[[#This Row],[FEBRERO]]+Programacion[[#This Row],[MARZO]]</f>
        <v>11000</v>
      </c>
      <c r="AH215" s="33">
        <f>Programacion[[#This Row],[DEVENGADO ENERO]]+Programacion[[#This Row],[DEVENGADO FEBRERO]]+Programacion[[#This Row],[DEVENGADO MARZO]]</f>
        <v>11000</v>
      </c>
      <c r="AI215" s="33">
        <f>Programacion[[#This Row],[ABRIL]]+Programacion[[#This Row],[MAYO]]+Programacion[[#This Row],[JUNIO]]</f>
        <v>33000</v>
      </c>
      <c r="AJ215" s="33">
        <f>Programacion[[#This Row],[DEVENGADO ABRIL]]+Programacion[[#This Row],[DEVENGADO MAYO]]+Programacion[[#This Row],[DEVENGADO JUNIO]]</f>
        <v>33000</v>
      </c>
      <c r="AK215" s="33">
        <f>Programacion[[#This Row],[JULIO]]+Programacion[[#This Row],[AGOSTO]]+Programacion[[#This Row],[SEPTIEMBRE]]</f>
        <v>0</v>
      </c>
      <c r="AL215" s="33">
        <f>Programacion[[#This Row],[DEVENGADO JULIO]]+Programacion[[#This Row],[DEVENGADO AGOSTO]]+Programacion[[#This Row],[DEVENGADO SEPTIEMBRE]]</f>
        <v>0</v>
      </c>
      <c r="AM215" s="33">
        <f>Programacion[[#This Row],[OCTUBRE]]+Programacion[[#This Row],[NOVIEMBRE]]+Programacion[[#This Row],[DICIEMBRE]]</f>
        <v>0</v>
      </c>
      <c r="AN215" s="21">
        <f>Programacion[[#This Row],[DEVENGADO OCTUBRE]]+Programacion[[#This Row],[DEVENGADO NOVIEMBRE]]+Programacion[[#This Row],[DEVENGADO DICIEMBRE]]</f>
        <v>0</v>
      </c>
      <c r="AO215" s="21">
        <f>Programacion[[#This Row],[ENERO]]+Programacion[[#This Row],[FEBRERO]]+Programacion[[#This Row],[MARZO]]+Programacion[[#This Row],[ABRIL]]+Programacion[[#This Row],[MAYO]]+Programacion[[#This Row],[JUNIO]]</f>
        <v>44000</v>
      </c>
      <c r="AP21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44000</v>
      </c>
      <c r="AQ215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44000</v>
      </c>
      <c r="AT215" s="116"/>
    </row>
    <row r="216" spans="1:46" x14ac:dyDescent="0.25">
      <c r="A216" s="101" t="s">
        <v>219</v>
      </c>
      <c r="B216" s="102" t="s">
        <v>223</v>
      </c>
      <c r="C216" s="103" t="s">
        <v>47</v>
      </c>
      <c r="D216" s="103" t="s">
        <v>154</v>
      </c>
      <c r="E216" s="104">
        <v>103</v>
      </c>
      <c r="F216" s="105">
        <v>2.2999999999999998</v>
      </c>
      <c r="G216" s="103" t="s">
        <v>49</v>
      </c>
      <c r="H216" s="33"/>
      <c r="I216" s="33"/>
      <c r="J216" s="33">
        <v>16465.060000000001</v>
      </c>
      <c r="K216" s="33">
        <v>16465.060000000001</v>
      </c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16465.060000000001</v>
      </c>
      <c r="AG216" s="33">
        <f>Programacion[[#This Row],[ENERO]]+Programacion[[#This Row],[FEBRERO]]+Programacion[[#This Row],[MARZO]]</f>
        <v>16465.060000000001</v>
      </c>
      <c r="AH216" s="33">
        <f>Programacion[[#This Row],[DEVENGADO ENERO]]+Programacion[[#This Row],[DEVENGADO FEBRERO]]+Programacion[[#This Row],[DEVENGADO MARZO]]</f>
        <v>16465.060000000001</v>
      </c>
      <c r="AI216" s="33">
        <f>Programacion[[#This Row],[ABRIL]]+Programacion[[#This Row],[MAYO]]+Programacion[[#This Row],[JUNIO]]</f>
        <v>0</v>
      </c>
      <c r="AJ216" s="33">
        <f>Programacion[[#This Row],[DEVENGADO ABRIL]]+Programacion[[#This Row],[DEVENGADO MAYO]]+Programacion[[#This Row],[DEVENGADO JUNIO]]</f>
        <v>0</v>
      </c>
      <c r="AK216" s="33">
        <f>Programacion[[#This Row],[JULIO]]+Programacion[[#This Row],[AGOSTO]]+Programacion[[#This Row],[SEPTIEMBRE]]</f>
        <v>0</v>
      </c>
      <c r="AL216" s="33">
        <f>Programacion[[#This Row],[DEVENGADO JULIO]]+Programacion[[#This Row],[DEVENGADO AGOSTO]]+Programacion[[#This Row],[DEVENGADO SEPTIEMBRE]]</f>
        <v>0</v>
      </c>
      <c r="AM216" s="33">
        <f>Programacion[[#This Row],[OCTUBRE]]+Programacion[[#This Row],[NOVIEMBRE]]+Programacion[[#This Row],[DICIEMBRE]]</f>
        <v>0</v>
      </c>
      <c r="AN216" s="21">
        <f>Programacion[[#This Row],[DEVENGADO OCTUBRE]]+Programacion[[#This Row],[DEVENGADO NOVIEMBRE]]+Programacion[[#This Row],[DEVENGADO DICIEMBRE]]</f>
        <v>0</v>
      </c>
      <c r="AO216" s="21">
        <f>Programacion[[#This Row],[ENERO]]+Programacion[[#This Row],[FEBRERO]]+Programacion[[#This Row],[MARZO]]+Programacion[[#This Row],[ABRIL]]+Programacion[[#This Row],[MAYO]]+Programacion[[#This Row],[JUNIO]]</f>
        <v>16465.060000000001</v>
      </c>
      <c r="AP21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16465.060000000001</v>
      </c>
      <c r="AQ216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16465.060000000001</v>
      </c>
      <c r="AT216" s="116"/>
    </row>
    <row r="217" spans="1:46" x14ac:dyDescent="0.25">
      <c r="A217" s="101" t="s">
        <v>219</v>
      </c>
      <c r="B217" s="102" t="s">
        <v>84</v>
      </c>
      <c r="C217" s="103" t="s">
        <v>47</v>
      </c>
      <c r="D217" s="103" t="s">
        <v>154</v>
      </c>
      <c r="E217" s="104">
        <v>103</v>
      </c>
      <c r="F217" s="105">
        <v>2.2999999999999998</v>
      </c>
      <c r="G217" s="103" t="s">
        <v>51</v>
      </c>
      <c r="H217" s="33"/>
      <c r="I217" s="33"/>
      <c r="J217" s="33">
        <v>716.5</v>
      </c>
      <c r="K217" s="33">
        <v>716.5</v>
      </c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716.5</v>
      </c>
      <c r="AG217" s="33">
        <f>Programacion[[#This Row],[ENERO]]+Programacion[[#This Row],[FEBRERO]]+Programacion[[#This Row],[MARZO]]</f>
        <v>716.5</v>
      </c>
      <c r="AH217" s="33">
        <f>Programacion[[#This Row],[DEVENGADO ENERO]]+Programacion[[#This Row],[DEVENGADO FEBRERO]]+Programacion[[#This Row],[DEVENGADO MARZO]]</f>
        <v>716.5</v>
      </c>
      <c r="AI217" s="33">
        <f>Programacion[[#This Row],[ABRIL]]+Programacion[[#This Row],[MAYO]]+Programacion[[#This Row],[JUNIO]]</f>
        <v>0</v>
      </c>
      <c r="AJ217" s="33">
        <f>Programacion[[#This Row],[DEVENGADO ABRIL]]+Programacion[[#This Row],[DEVENGADO MAYO]]+Programacion[[#This Row],[DEVENGADO JUNIO]]</f>
        <v>0</v>
      </c>
      <c r="AK217" s="33">
        <f>Programacion[[#This Row],[JULIO]]+Programacion[[#This Row],[AGOSTO]]+Programacion[[#This Row],[SEPTIEMBRE]]</f>
        <v>0</v>
      </c>
      <c r="AL217" s="33">
        <f>Programacion[[#This Row],[DEVENGADO JULIO]]+Programacion[[#This Row],[DEVENGADO AGOSTO]]+Programacion[[#This Row],[DEVENGADO SEPTIEMBRE]]</f>
        <v>0</v>
      </c>
      <c r="AM217" s="33">
        <f>Programacion[[#This Row],[OCTUBRE]]+Programacion[[#This Row],[NOVIEMBRE]]+Programacion[[#This Row],[DICIEMBRE]]</f>
        <v>0</v>
      </c>
      <c r="AN217" s="21">
        <f>Programacion[[#This Row],[DEVENGADO OCTUBRE]]+Programacion[[#This Row],[DEVENGADO NOVIEMBRE]]+Programacion[[#This Row],[DEVENGADO DICIEMBRE]]</f>
        <v>0</v>
      </c>
      <c r="AO217" s="21">
        <f>Programacion[[#This Row],[ENERO]]+Programacion[[#This Row],[FEBRERO]]+Programacion[[#This Row],[MARZO]]+Programacion[[#This Row],[ABRIL]]+Programacion[[#This Row],[MAYO]]+Programacion[[#This Row],[JUNIO]]</f>
        <v>716.5</v>
      </c>
      <c r="AP21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716.5</v>
      </c>
      <c r="AQ217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716.5</v>
      </c>
      <c r="AT217" s="116"/>
    </row>
    <row r="218" spans="1:46" ht="30" x14ac:dyDescent="0.25">
      <c r="A218" s="101" t="s">
        <v>219</v>
      </c>
      <c r="B218" s="102" t="s">
        <v>224</v>
      </c>
      <c r="C218" s="103" t="s">
        <v>56</v>
      </c>
      <c r="D218" s="103" t="s">
        <v>154</v>
      </c>
      <c r="E218" s="104">
        <v>103</v>
      </c>
      <c r="F218" s="105">
        <v>2.2999999999999998</v>
      </c>
      <c r="G218" s="103" t="s">
        <v>57</v>
      </c>
      <c r="H218" s="33"/>
      <c r="I218" s="33"/>
      <c r="J218" s="33"/>
      <c r="K218" s="33"/>
      <c r="L218" s="33">
        <v>22572</v>
      </c>
      <c r="M218" s="33">
        <v>22572</v>
      </c>
      <c r="N218" s="33">
        <v>11628</v>
      </c>
      <c r="O218" s="33">
        <v>11628</v>
      </c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34200</v>
      </c>
      <c r="AG218" s="33">
        <f>Programacion[[#This Row],[ENERO]]+Programacion[[#This Row],[FEBRERO]]+Programacion[[#This Row],[MARZO]]</f>
        <v>22572</v>
      </c>
      <c r="AH218" s="33">
        <f>Programacion[[#This Row],[DEVENGADO ENERO]]+Programacion[[#This Row],[DEVENGADO FEBRERO]]+Programacion[[#This Row],[DEVENGADO MARZO]]</f>
        <v>22572</v>
      </c>
      <c r="AI218" s="33">
        <f>Programacion[[#This Row],[ABRIL]]+Programacion[[#This Row],[MAYO]]+Programacion[[#This Row],[JUNIO]]</f>
        <v>11628</v>
      </c>
      <c r="AJ218" s="33">
        <f>Programacion[[#This Row],[DEVENGADO ABRIL]]+Programacion[[#This Row],[DEVENGADO MAYO]]+Programacion[[#This Row],[DEVENGADO JUNIO]]</f>
        <v>11628</v>
      </c>
      <c r="AK218" s="33">
        <f>Programacion[[#This Row],[JULIO]]+Programacion[[#This Row],[AGOSTO]]+Programacion[[#This Row],[SEPTIEMBRE]]</f>
        <v>0</v>
      </c>
      <c r="AL218" s="33">
        <f>Programacion[[#This Row],[DEVENGADO JULIO]]+Programacion[[#This Row],[DEVENGADO AGOSTO]]+Programacion[[#This Row],[DEVENGADO SEPTIEMBRE]]</f>
        <v>0</v>
      </c>
      <c r="AM218" s="33">
        <f>Programacion[[#This Row],[OCTUBRE]]+Programacion[[#This Row],[NOVIEMBRE]]+Programacion[[#This Row],[DICIEMBRE]]</f>
        <v>0</v>
      </c>
      <c r="AN218" s="21">
        <f>Programacion[[#This Row],[DEVENGADO OCTUBRE]]+Programacion[[#This Row],[DEVENGADO NOVIEMBRE]]+Programacion[[#This Row],[DEVENGADO DICIEMBRE]]</f>
        <v>0</v>
      </c>
      <c r="AO218" s="21">
        <f>Programacion[[#This Row],[ENERO]]+Programacion[[#This Row],[FEBRERO]]+Programacion[[#This Row],[MARZO]]+Programacion[[#This Row],[ABRIL]]+Programacion[[#This Row],[MAYO]]+Programacion[[#This Row],[JUNIO]]</f>
        <v>34200</v>
      </c>
      <c r="AP21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34200</v>
      </c>
      <c r="AQ218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34200</v>
      </c>
      <c r="AT218" s="116"/>
    </row>
    <row r="219" spans="1:46" x14ac:dyDescent="0.25">
      <c r="A219" s="101" t="s">
        <v>219</v>
      </c>
      <c r="B219" s="117" t="s">
        <v>85</v>
      </c>
      <c r="C219" s="103" t="s">
        <v>47</v>
      </c>
      <c r="D219" s="103" t="s">
        <v>154</v>
      </c>
      <c r="E219" s="104">
        <v>103</v>
      </c>
      <c r="F219" s="105">
        <v>2.2999999999999998</v>
      </c>
      <c r="G219" s="103" t="s">
        <v>86</v>
      </c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>
        <v>250</v>
      </c>
      <c r="U219" s="33">
        <v>250</v>
      </c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</v>
      </c>
      <c r="AG219" s="33">
        <f>Programacion[[#This Row],[ENERO]]+Programacion[[#This Row],[FEBRERO]]+Programacion[[#This Row],[MARZO]]</f>
        <v>0</v>
      </c>
      <c r="AH219" s="33">
        <f>Programacion[[#This Row],[DEVENGADO ENERO]]+Programacion[[#This Row],[DEVENGADO FEBRERO]]+Programacion[[#This Row],[DEVENGADO MARZO]]</f>
        <v>0</v>
      </c>
      <c r="AI219" s="33">
        <f>Programacion[[#This Row],[ABRIL]]+Programacion[[#This Row],[MAYO]]+Programacion[[#This Row],[JUNIO]]</f>
        <v>0</v>
      </c>
      <c r="AJ219" s="33">
        <f>Programacion[[#This Row],[DEVENGADO ABRIL]]+Programacion[[#This Row],[DEVENGADO MAYO]]+Programacion[[#This Row],[DEVENGADO JUNIO]]</f>
        <v>0</v>
      </c>
      <c r="AK219" s="33">
        <f>Programacion[[#This Row],[JULIO]]+Programacion[[#This Row],[AGOSTO]]+Programacion[[#This Row],[SEPTIEMBRE]]</f>
        <v>250</v>
      </c>
      <c r="AL219" s="33">
        <f>Programacion[[#This Row],[DEVENGADO JULIO]]+Programacion[[#This Row],[DEVENGADO AGOSTO]]+Programacion[[#This Row],[DEVENGADO SEPTIEMBRE]]</f>
        <v>250</v>
      </c>
      <c r="AM219" s="33">
        <f>Programacion[[#This Row],[OCTUBRE]]+Programacion[[#This Row],[NOVIEMBRE]]+Programacion[[#This Row],[DICIEMBRE]]</f>
        <v>0</v>
      </c>
      <c r="AN219" s="21">
        <f>Programacion[[#This Row],[DEVENGADO OCTUBRE]]+Programacion[[#This Row],[DEVENGADO NOVIEMBRE]]+Programacion[[#This Row],[DEVENGADO DICIEMBRE]]</f>
        <v>0</v>
      </c>
      <c r="AO219" s="21">
        <f>Programacion[[#This Row],[ENERO]]+Programacion[[#This Row],[FEBRERO]]+Programacion[[#This Row],[MARZO]]+Programacion[[#This Row],[ABRIL]]+Programacion[[#This Row],[MAYO]]+Programacion[[#This Row],[JUNIO]]</f>
        <v>0</v>
      </c>
      <c r="AP21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9" s="21">
        <f>Programacion[[#This Row],[JULIO]]+Programacion[[#This Row],[AGOSTO]]+Programacion[[#This Row],[SEPTIEMBRE]]+Programacion[[#This Row],[OCTUBRE]]+Programacion[[#This Row],[NOVIEMBRE]]+Programacion[[#This Row],[DICIEMBRE]]</f>
        <v>250</v>
      </c>
      <c r="AR21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</v>
      </c>
      <c r="AS21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</v>
      </c>
      <c r="AT219" s="116"/>
    </row>
    <row r="220" spans="1:46" x14ac:dyDescent="0.25">
      <c r="A220" s="101" t="s">
        <v>219</v>
      </c>
      <c r="B220" s="102" t="s">
        <v>84</v>
      </c>
      <c r="C220" s="103" t="s">
        <v>47</v>
      </c>
      <c r="D220" s="103" t="s">
        <v>154</v>
      </c>
      <c r="E220" s="104">
        <v>103</v>
      </c>
      <c r="F220" s="105">
        <v>2.2999999999999998</v>
      </c>
      <c r="G220" s="103" t="s">
        <v>51</v>
      </c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>
        <v>675</v>
      </c>
      <c r="U220" s="33">
        <v>675</v>
      </c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675</v>
      </c>
      <c r="AG220" s="33">
        <f>Programacion[[#This Row],[ENERO]]+Programacion[[#This Row],[FEBRERO]]+Programacion[[#This Row],[MARZO]]</f>
        <v>0</v>
      </c>
      <c r="AH220" s="33">
        <f>Programacion[[#This Row],[DEVENGADO ENERO]]+Programacion[[#This Row],[DEVENGADO FEBRERO]]+Programacion[[#This Row],[DEVENGADO MARZO]]</f>
        <v>0</v>
      </c>
      <c r="AI220" s="33">
        <f>Programacion[[#This Row],[ABRIL]]+Programacion[[#This Row],[MAYO]]+Programacion[[#This Row],[JUNIO]]</f>
        <v>0</v>
      </c>
      <c r="AJ220" s="33">
        <f>Programacion[[#This Row],[DEVENGADO ABRIL]]+Programacion[[#This Row],[DEVENGADO MAYO]]+Programacion[[#This Row],[DEVENGADO JUNIO]]</f>
        <v>0</v>
      </c>
      <c r="AK220" s="33">
        <f>Programacion[[#This Row],[JULIO]]+Programacion[[#This Row],[AGOSTO]]+Programacion[[#This Row],[SEPTIEMBRE]]</f>
        <v>675</v>
      </c>
      <c r="AL220" s="33">
        <f>Programacion[[#This Row],[DEVENGADO JULIO]]+Programacion[[#This Row],[DEVENGADO AGOSTO]]+Programacion[[#This Row],[DEVENGADO SEPTIEMBRE]]</f>
        <v>675</v>
      </c>
      <c r="AM220" s="33">
        <f>Programacion[[#This Row],[OCTUBRE]]+Programacion[[#This Row],[NOVIEMBRE]]+Programacion[[#This Row],[DICIEMBRE]]</f>
        <v>0</v>
      </c>
      <c r="AN220" s="21">
        <f>Programacion[[#This Row],[DEVENGADO OCTUBRE]]+Programacion[[#This Row],[DEVENGADO NOVIEMBRE]]+Programacion[[#This Row],[DEVENGADO DICIEMBRE]]</f>
        <v>0</v>
      </c>
      <c r="AO220" s="21">
        <f>Programacion[[#This Row],[ENERO]]+Programacion[[#This Row],[FEBRERO]]+Programacion[[#This Row],[MARZO]]+Programacion[[#This Row],[ABRIL]]+Programacion[[#This Row],[MAYO]]+Programacion[[#This Row],[JUNIO]]</f>
        <v>0</v>
      </c>
      <c r="AP22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0" s="21">
        <f>Programacion[[#This Row],[JULIO]]+Programacion[[#This Row],[AGOSTO]]+Programacion[[#This Row],[SEPTIEMBRE]]+Programacion[[#This Row],[OCTUBRE]]+Programacion[[#This Row],[NOVIEMBRE]]+Programacion[[#This Row],[DICIEMBRE]]</f>
        <v>675</v>
      </c>
      <c r="AR22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675</v>
      </c>
      <c r="AS22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675</v>
      </c>
      <c r="AT220" s="116"/>
    </row>
    <row r="221" spans="1:46" x14ac:dyDescent="0.25">
      <c r="A221" s="101" t="s">
        <v>219</v>
      </c>
      <c r="B221" s="102" t="s">
        <v>244</v>
      </c>
      <c r="C221" s="81" t="s">
        <v>192</v>
      </c>
      <c r="D221" s="103" t="s">
        <v>154</v>
      </c>
      <c r="E221" s="104">
        <v>103</v>
      </c>
      <c r="F221" s="105">
        <v>2.2999999999999998</v>
      </c>
      <c r="G221" s="103" t="s">
        <v>193</v>
      </c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>
        <v>769</v>
      </c>
      <c r="U221" s="33">
        <v>769</v>
      </c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769</v>
      </c>
      <c r="AG221" s="33">
        <f>Programacion[[#This Row],[ENERO]]+Programacion[[#This Row],[FEBRERO]]+Programacion[[#This Row],[MARZO]]</f>
        <v>0</v>
      </c>
      <c r="AH221" s="33">
        <f>Programacion[[#This Row],[DEVENGADO ENERO]]+Programacion[[#This Row],[DEVENGADO FEBRERO]]+Programacion[[#This Row],[DEVENGADO MARZO]]</f>
        <v>0</v>
      </c>
      <c r="AI221" s="33">
        <f>Programacion[[#This Row],[ABRIL]]+Programacion[[#This Row],[MAYO]]+Programacion[[#This Row],[JUNIO]]</f>
        <v>0</v>
      </c>
      <c r="AJ221" s="33">
        <f>Programacion[[#This Row],[DEVENGADO ABRIL]]+Programacion[[#This Row],[DEVENGADO MAYO]]+Programacion[[#This Row],[DEVENGADO JUNIO]]</f>
        <v>0</v>
      </c>
      <c r="AK221" s="33">
        <f>Programacion[[#This Row],[JULIO]]+Programacion[[#This Row],[AGOSTO]]+Programacion[[#This Row],[SEPTIEMBRE]]</f>
        <v>769</v>
      </c>
      <c r="AL221" s="33">
        <f>Programacion[[#This Row],[DEVENGADO JULIO]]+Programacion[[#This Row],[DEVENGADO AGOSTO]]+Programacion[[#This Row],[DEVENGADO SEPTIEMBRE]]</f>
        <v>769</v>
      </c>
      <c r="AM221" s="33">
        <f>Programacion[[#This Row],[OCTUBRE]]+Programacion[[#This Row],[NOVIEMBRE]]+Programacion[[#This Row],[DICIEMBRE]]</f>
        <v>0</v>
      </c>
      <c r="AN221" s="21">
        <f>Programacion[[#This Row],[DEVENGADO OCTUBRE]]+Programacion[[#This Row],[DEVENGADO NOVIEMBRE]]+Programacion[[#This Row],[DEVENGADO DICIEMBRE]]</f>
        <v>0</v>
      </c>
      <c r="AO221" s="21">
        <f>Programacion[[#This Row],[ENERO]]+Programacion[[#This Row],[FEBRERO]]+Programacion[[#This Row],[MARZO]]+Programacion[[#This Row],[ABRIL]]+Programacion[[#This Row],[MAYO]]+Programacion[[#This Row],[JUNIO]]</f>
        <v>0</v>
      </c>
      <c r="AP22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1" s="21">
        <f>Programacion[[#This Row],[JULIO]]+Programacion[[#This Row],[AGOSTO]]+Programacion[[#This Row],[SEPTIEMBRE]]+Programacion[[#This Row],[OCTUBRE]]+Programacion[[#This Row],[NOVIEMBRE]]+Programacion[[#This Row],[DICIEMBRE]]</f>
        <v>769</v>
      </c>
      <c r="AR22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769</v>
      </c>
      <c r="AS22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769</v>
      </c>
      <c r="AT221" s="116"/>
    </row>
    <row r="222" spans="1:46" x14ac:dyDescent="0.25">
      <c r="A222" s="101" t="s">
        <v>219</v>
      </c>
      <c r="B222" s="102" t="s">
        <v>244</v>
      </c>
      <c r="C222" s="81" t="s">
        <v>200</v>
      </c>
      <c r="D222" s="103" t="s">
        <v>154</v>
      </c>
      <c r="E222" s="104">
        <v>102</v>
      </c>
      <c r="F222" s="105">
        <v>2.2999999999999998</v>
      </c>
      <c r="G222" s="103" t="s">
        <v>172</v>
      </c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>
        <v>6624</v>
      </c>
      <c r="U222" s="33">
        <v>6624</v>
      </c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6624</v>
      </c>
      <c r="AG222" s="33">
        <f>Programacion[[#This Row],[ENERO]]+Programacion[[#This Row],[FEBRERO]]+Programacion[[#This Row],[MARZO]]</f>
        <v>0</v>
      </c>
      <c r="AH222" s="33">
        <f>Programacion[[#This Row],[DEVENGADO ENERO]]+Programacion[[#This Row],[DEVENGADO FEBRERO]]+Programacion[[#This Row],[DEVENGADO MARZO]]</f>
        <v>0</v>
      </c>
      <c r="AI222" s="33">
        <f>Programacion[[#This Row],[ABRIL]]+Programacion[[#This Row],[MAYO]]+Programacion[[#This Row],[JUNIO]]</f>
        <v>0</v>
      </c>
      <c r="AJ222" s="33">
        <f>Programacion[[#This Row],[DEVENGADO ABRIL]]+Programacion[[#This Row],[DEVENGADO MAYO]]+Programacion[[#This Row],[DEVENGADO JUNIO]]</f>
        <v>0</v>
      </c>
      <c r="AK222" s="33">
        <f>Programacion[[#This Row],[JULIO]]+Programacion[[#This Row],[AGOSTO]]+Programacion[[#This Row],[SEPTIEMBRE]]</f>
        <v>6624</v>
      </c>
      <c r="AL222" s="33">
        <f>Programacion[[#This Row],[DEVENGADO JULIO]]+Programacion[[#This Row],[DEVENGADO AGOSTO]]+Programacion[[#This Row],[DEVENGADO SEPTIEMBRE]]</f>
        <v>6624</v>
      </c>
      <c r="AM222" s="33">
        <f>Programacion[[#This Row],[OCTUBRE]]+Programacion[[#This Row],[NOVIEMBRE]]+Programacion[[#This Row],[DICIEMBRE]]</f>
        <v>0</v>
      </c>
      <c r="AN222" s="21">
        <f>Programacion[[#This Row],[DEVENGADO OCTUBRE]]+Programacion[[#This Row],[DEVENGADO NOVIEMBRE]]+Programacion[[#This Row],[DEVENGADO DICIEMBRE]]</f>
        <v>0</v>
      </c>
      <c r="AO222" s="21">
        <f>Programacion[[#This Row],[ENERO]]+Programacion[[#This Row],[FEBRERO]]+Programacion[[#This Row],[MARZO]]+Programacion[[#This Row],[ABRIL]]+Programacion[[#This Row],[MAYO]]+Programacion[[#This Row],[JUNIO]]</f>
        <v>0</v>
      </c>
      <c r="AP22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2" s="21">
        <f>Programacion[[#This Row],[JULIO]]+Programacion[[#This Row],[AGOSTO]]+Programacion[[#This Row],[SEPTIEMBRE]]+Programacion[[#This Row],[OCTUBRE]]+Programacion[[#This Row],[NOVIEMBRE]]+Programacion[[#This Row],[DICIEMBRE]]</f>
        <v>6624</v>
      </c>
      <c r="AR22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6624</v>
      </c>
      <c r="AS22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6624</v>
      </c>
      <c r="AT222" s="116"/>
    </row>
    <row r="223" spans="1:46" x14ac:dyDescent="0.25">
      <c r="A223" s="101" t="s">
        <v>219</v>
      </c>
      <c r="B223" s="117" t="s">
        <v>245</v>
      </c>
      <c r="C223" s="46" t="s">
        <v>65</v>
      </c>
      <c r="D223" s="103" t="s">
        <v>154</v>
      </c>
      <c r="E223" s="104">
        <v>103</v>
      </c>
      <c r="F223" s="105">
        <v>2.2999999999999998</v>
      </c>
      <c r="G223" s="103" t="s">
        <v>246</v>
      </c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>
        <v>2700</v>
      </c>
      <c r="U223" s="33">
        <v>2700</v>
      </c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</v>
      </c>
      <c r="AG223" s="33">
        <f>Programacion[[#This Row],[ENERO]]+Programacion[[#This Row],[FEBRERO]]+Programacion[[#This Row],[MARZO]]</f>
        <v>0</v>
      </c>
      <c r="AH223" s="33">
        <f>Programacion[[#This Row],[DEVENGADO ENERO]]+Programacion[[#This Row],[DEVENGADO FEBRERO]]+Programacion[[#This Row],[DEVENGADO MARZO]]</f>
        <v>0</v>
      </c>
      <c r="AI223" s="33">
        <f>Programacion[[#This Row],[ABRIL]]+Programacion[[#This Row],[MAYO]]+Programacion[[#This Row],[JUNIO]]</f>
        <v>0</v>
      </c>
      <c r="AJ223" s="33">
        <f>Programacion[[#This Row],[DEVENGADO ABRIL]]+Programacion[[#This Row],[DEVENGADO MAYO]]+Programacion[[#This Row],[DEVENGADO JUNIO]]</f>
        <v>0</v>
      </c>
      <c r="AK223" s="33">
        <f>Programacion[[#This Row],[JULIO]]+Programacion[[#This Row],[AGOSTO]]+Programacion[[#This Row],[SEPTIEMBRE]]</f>
        <v>2700</v>
      </c>
      <c r="AL223" s="33">
        <f>Programacion[[#This Row],[DEVENGADO JULIO]]+Programacion[[#This Row],[DEVENGADO AGOSTO]]+Programacion[[#This Row],[DEVENGADO SEPTIEMBRE]]</f>
        <v>2700</v>
      </c>
      <c r="AM223" s="33">
        <f>Programacion[[#This Row],[OCTUBRE]]+Programacion[[#This Row],[NOVIEMBRE]]+Programacion[[#This Row],[DICIEMBRE]]</f>
        <v>0</v>
      </c>
      <c r="AN223" s="21">
        <f>Programacion[[#This Row],[DEVENGADO OCTUBRE]]+Programacion[[#This Row],[DEVENGADO NOVIEMBRE]]+Programacion[[#This Row],[DEVENGADO DICIEMBRE]]</f>
        <v>0</v>
      </c>
      <c r="AO223" s="21">
        <f>Programacion[[#This Row],[ENERO]]+Programacion[[#This Row],[FEBRERO]]+Programacion[[#This Row],[MARZO]]+Programacion[[#This Row],[ABRIL]]+Programacion[[#This Row],[MAYO]]+Programacion[[#This Row],[JUNIO]]</f>
        <v>0</v>
      </c>
      <c r="AP22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3" s="21">
        <f>Programacion[[#This Row],[JULIO]]+Programacion[[#This Row],[AGOSTO]]+Programacion[[#This Row],[SEPTIEMBRE]]+Programacion[[#This Row],[OCTUBRE]]+Programacion[[#This Row],[NOVIEMBRE]]+Programacion[[#This Row],[DICIEMBRE]]</f>
        <v>2700</v>
      </c>
      <c r="AR22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S22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T223" s="116"/>
    </row>
    <row r="224" spans="1:46" x14ac:dyDescent="0.25">
      <c r="A224" s="108" t="s">
        <v>219</v>
      </c>
      <c r="B224" s="109" t="s">
        <v>220</v>
      </c>
      <c r="C224" s="103" t="s">
        <v>192</v>
      </c>
      <c r="D224" s="110" t="s">
        <v>154</v>
      </c>
      <c r="E224" s="111">
        <v>103</v>
      </c>
      <c r="F224" s="112">
        <v>2.2999999999999998</v>
      </c>
      <c r="G224" s="103" t="s">
        <v>193</v>
      </c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>
        <v>11508</v>
      </c>
      <c r="U224" s="113">
        <v>11508</v>
      </c>
      <c r="V224" s="113"/>
      <c r="W224" s="113"/>
      <c r="X224" s="113"/>
      <c r="Y224" s="113"/>
      <c r="Z224" s="113"/>
      <c r="AA224" s="113"/>
      <c r="AB224" s="113"/>
      <c r="AC224" s="113"/>
      <c r="AD224" s="113"/>
      <c r="AE224" s="113"/>
      <c r="AF224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11508</v>
      </c>
      <c r="AG224" s="33">
        <f>Programacion[[#This Row],[ENERO]]+Programacion[[#This Row],[FEBRERO]]+Programacion[[#This Row],[MARZO]]</f>
        <v>0</v>
      </c>
      <c r="AH224" s="33">
        <f>Programacion[[#This Row],[DEVENGADO ENERO]]+Programacion[[#This Row],[DEVENGADO FEBRERO]]+Programacion[[#This Row],[DEVENGADO MARZO]]</f>
        <v>0</v>
      </c>
      <c r="AI224" s="33">
        <f>Programacion[[#This Row],[ABRIL]]+Programacion[[#This Row],[MAYO]]+Programacion[[#This Row],[JUNIO]]</f>
        <v>0</v>
      </c>
      <c r="AJ224" s="33">
        <f>Programacion[[#This Row],[DEVENGADO ABRIL]]+Programacion[[#This Row],[DEVENGADO MAYO]]+Programacion[[#This Row],[DEVENGADO JUNIO]]</f>
        <v>0</v>
      </c>
      <c r="AK224" s="33">
        <f>Programacion[[#This Row],[JULIO]]+Programacion[[#This Row],[AGOSTO]]+Programacion[[#This Row],[SEPTIEMBRE]]</f>
        <v>11508</v>
      </c>
      <c r="AL224" s="33">
        <f>Programacion[[#This Row],[DEVENGADO JULIO]]+Programacion[[#This Row],[DEVENGADO AGOSTO]]+Programacion[[#This Row],[DEVENGADO SEPTIEMBRE]]</f>
        <v>11508</v>
      </c>
      <c r="AM224" s="33">
        <f>Programacion[[#This Row],[OCTUBRE]]+Programacion[[#This Row],[NOVIEMBRE]]+Programacion[[#This Row],[DICIEMBRE]]</f>
        <v>0</v>
      </c>
      <c r="AN224" s="21">
        <f>Programacion[[#This Row],[DEVENGADO OCTUBRE]]+Programacion[[#This Row],[DEVENGADO NOVIEMBRE]]+Programacion[[#This Row],[DEVENGADO DICIEMBRE]]</f>
        <v>0</v>
      </c>
      <c r="AO224" s="21">
        <f>Programacion[[#This Row],[ENERO]]+Programacion[[#This Row],[FEBRERO]]+Programacion[[#This Row],[MARZO]]+Programacion[[#This Row],[ABRIL]]+Programacion[[#This Row],[MAYO]]+Programacion[[#This Row],[JUNIO]]</f>
        <v>0</v>
      </c>
      <c r="AP22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4" s="21">
        <f>Programacion[[#This Row],[JULIO]]+Programacion[[#This Row],[AGOSTO]]+Programacion[[#This Row],[SEPTIEMBRE]]+Programacion[[#This Row],[OCTUBRE]]+Programacion[[#This Row],[NOVIEMBRE]]+Programacion[[#This Row],[DICIEMBRE]]</f>
        <v>11508</v>
      </c>
      <c r="AR22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11508</v>
      </c>
      <c r="AS22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11508</v>
      </c>
      <c r="AT224" s="116"/>
    </row>
  </sheetData>
  <dataValidations count="1">
    <dataValidation type="list" allowBlank="1" showErrorMessage="1" sqref="C16:C17 C19:C22 C44 C46:C49 C88 C119:C123 C149 C11 C146:C147" xr:uid="{64E18E2D-796B-4506-B63E-D8689AA2C7B7}">
      <formula1>#REF!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Dirección de Meteorología Atmosférica (DMA 01)</dc:creator>
  <cp:lastModifiedBy>Dirección de Meteorología Atmosférica (DMA 01)</cp:lastModifiedBy>
  <dcterms:created xsi:type="dcterms:W3CDTF">2026-05-26T23:16:08Z</dcterms:created>
  <dcterms:modified xsi:type="dcterms:W3CDTF">2026-08-20T17:52:48Z</dcterms:modified>
</cp:coreProperties>
</file>