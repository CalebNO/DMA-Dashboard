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dma01\Documents\"/>
    </mc:Choice>
  </mc:AlternateContent>
  <xr:revisionPtr revIDLastSave="0" documentId="13_ncr:80001_{79906821-6C0F-4D1C-A286-EA300E50605D}" xr6:coauthVersionLast="36" xr6:coauthVersionMax="36" xr10:uidLastSave="{00000000-0000-0000-0000-000000000000}"/>
  <bookViews>
    <workbookView xWindow="630" yWindow="585" windowWidth="27015" windowHeight="11445" firstSheet="1" activeTab="2" xr2:uid="{00000000-000D-0000-FFFF-FFFF00000000}"/>
  </bookViews>
  <sheets>
    <sheet name="Resumen" sheetId="2" state="hidden" r:id="rId1"/>
    <sheet name="TD" sheetId="3" r:id="rId2"/>
    <sheet name="DMCA" sheetId="4" r:id="rId3"/>
    <sheet name="Hoja2" sheetId="5" state="hidden" r:id="rId4"/>
  </sheets>
  <definedNames>
    <definedName name="_xlnm._FilterDatabase" localSheetId="2" hidden="1">DMCA!$A$1:$AH$115</definedName>
    <definedName name="_xlnm._FilterDatabase" localSheetId="3" hidden="1">Hoja2!$A$1:$K$54</definedName>
    <definedName name="SegmentaciónDeDatos_Codigo">#REF!</definedName>
  </definedNames>
  <calcPr calcId="191029"/>
  <pivotCaches>
    <pivotCache cacheId="4" r:id="rId5"/>
    <pivotCache cacheId="9" r:id="rId6"/>
  </pivotCaches>
  <extLst>
    <ext uri="GoogleSheetsCustomDataVersion2">
      <go:sheetsCustomData xmlns:go="http://customooxmlschemas.google.com/" r:id="rId11" roundtripDataChecksum="Gykqudhj1vz7rbBc/1q7k/sGkVMBRurjaoOYcn3LqVE="/>
    </ext>
  </extLst>
</workbook>
</file>

<file path=xl/calcChain.xml><?xml version="1.0" encoding="utf-8"?>
<calcChain xmlns="http://schemas.openxmlformats.org/spreadsheetml/2006/main">
  <c r="B54" i="5" l="1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AH115" i="4"/>
  <c r="U115" i="4"/>
  <c r="AH114" i="4"/>
  <c r="U114" i="4"/>
  <c r="AH113" i="4"/>
  <c r="U113" i="4"/>
  <c r="AH112" i="4"/>
  <c r="U112" i="4"/>
  <c r="AH111" i="4"/>
  <c r="U111" i="4"/>
  <c r="AH110" i="4"/>
  <c r="U110" i="4"/>
  <c r="AH109" i="4"/>
  <c r="U109" i="4"/>
  <c r="AH108" i="4"/>
  <c r="U108" i="4"/>
  <c r="AH107" i="4"/>
  <c r="U107" i="4"/>
  <c r="AH106" i="4"/>
  <c r="U106" i="4"/>
  <c r="AH105" i="4"/>
  <c r="U105" i="4"/>
  <c r="AH104" i="4"/>
  <c r="U104" i="4"/>
  <c r="AH103" i="4"/>
  <c r="U103" i="4"/>
  <c r="AH102" i="4"/>
  <c r="U102" i="4"/>
  <c r="AH101" i="4"/>
  <c r="U101" i="4"/>
  <c r="AH100" i="4"/>
  <c r="U100" i="4"/>
  <c r="AH99" i="4"/>
  <c r="U99" i="4"/>
  <c r="AH98" i="4"/>
  <c r="U98" i="4"/>
  <c r="AH97" i="4"/>
  <c r="U97" i="4"/>
  <c r="AH96" i="4"/>
  <c r="U96" i="4"/>
  <c r="AH95" i="4"/>
  <c r="U95" i="4"/>
  <c r="AH94" i="4"/>
  <c r="U94" i="4"/>
  <c r="AH93" i="4"/>
  <c r="U93" i="4"/>
  <c r="AH92" i="4"/>
  <c r="U92" i="4"/>
  <c r="AH91" i="4"/>
  <c r="U91" i="4"/>
  <c r="AH90" i="4"/>
  <c r="U90" i="4"/>
  <c r="AH89" i="4"/>
  <c r="U89" i="4"/>
  <c r="AH88" i="4"/>
  <c r="U88" i="4"/>
  <c r="AH87" i="4"/>
  <c r="U87" i="4"/>
  <c r="AH86" i="4"/>
  <c r="U86" i="4"/>
  <c r="AH85" i="4"/>
  <c r="U85" i="4"/>
  <c r="AH84" i="4"/>
  <c r="U84" i="4"/>
  <c r="AH83" i="4"/>
  <c r="U83" i="4"/>
  <c r="AH82" i="4"/>
  <c r="U82" i="4"/>
  <c r="AH81" i="4"/>
  <c r="U81" i="4"/>
  <c r="AH80" i="4"/>
  <c r="U80" i="4"/>
  <c r="AH79" i="4"/>
  <c r="U79" i="4"/>
  <c r="AH78" i="4"/>
  <c r="U78" i="4"/>
  <c r="AH77" i="4"/>
  <c r="U77" i="4"/>
  <c r="AH76" i="4"/>
  <c r="U76" i="4"/>
  <c r="AH75" i="4"/>
  <c r="U75" i="4"/>
  <c r="AH74" i="4"/>
  <c r="U74" i="4"/>
  <c r="AH73" i="4"/>
  <c r="U73" i="4"/>
  <c r="AH72" i="4"/>
  <c r="U72" i="4"/>
  <c r="AH71" i="4"/>
  <c r="U71" i="4"/>
  <c r="AH70" i="4"/>
  <c r="U70" i="4"/>
  <c r="AH69" i="4"/>
  <c r="U69" i="4"/>
  <c r="AH68" i="4"/>
  <c r="U68" i="4"/>
  <c r="AH67" i="4"/>
  <c r="U67" i="4"/>
  <c r="AH66" i="4"/>
  <c r="U66" i="4"/>
  <c r="AH65" i="4"/>
  <c r="U65" i="4"/>
  <c r="AH64" i="4"/>
  <c r="U64" i="4"/>
  <c r="AH63" i="4"/>
  <c r="U63" i="4"/>
  <c r="AH62" i="4"/>
  <c r="U62" i="4"/>
  <c r="AH61" i="4"/>
  <c r="U61" i="4"/>
  <c r="AH60" i="4"/>
  <c r="U60" i="4"/>
  <c r="AH59" i="4"/>
  <c r="U59" i="4"/>
  <c r="AH58" i="4"/>
  <c r="U58" i="4"/>
  <c r="AH57" i="4"/>
  <c r="U57" i="4"/>
  <c r="AH56" i="4"/>
  <c r="U56" i="4"/>
  <c r="AH55" i="4"/>
  <c r="U55" i="4"/>
  <c r="AH54" i="4"/>
  <c r="U54" i="4"/>
  <c r="AH53" i="4"/>
  <c r="U53" i="4"/>
  <c r="AH52" i="4"/>
  <c r="U52" i="4"/>
  <c r="AH51" i="4"/>
  <c r="AH50" i="4"/>
  <c r="U50" i="4"/>
  <c r="AH49" i="4"/>
  <c r="U49" i="4"/>
  <c r="AH48" i="4"/>
  <c r="U48" i="4"/>
  <c r="AH47" i="4"/>
  <c r="U47" i="4"/>
  <c r="AH46" i="4"/>
  <c r="AH45" i="4"/>
  <c r="U45" i="4"/>
  <c r="AH44" i="4"/>
  <c r="AH43" i="4"/>
  <c r="U43" i="4"/>
  <c r="AH42" i="4"/>
  <c r="U42" i="4"/>
  <c r="AH41" i="4"/>
  <c r="U41" i="4"/>
  <c r="AH40" i="4"/>
  <c r="U40" i="4"/>
  <c r="AH39" i="4"/>
  <c r="U39" i="4"/>
  <c r="AH38" i="4"/>
  <c r="AH37" i="4"/>
  <c r="AH36" i="4"/>
  <c r="U36" i="4"/>
  <c r="AH35" i="4"/>
  <c r="U35" i="4"/>
  <c r="AH34" i="4"/>
  <c r="U34" i="4"/>
  <c r="AH33" i="4"/>
  <c r="U33" i="4"/>
  <c r="AH32" i="4"/>
  <c r="AH31" i="4"/>
  <c r="U31" i="4"/>
  <c r="AH30" i="4"/>
  <c r="U30" i="4"/>
  <c r="AH29" i="4"/>
  <c r="U29" i="4"/>
  <c r="AH28" i="4"/>
  <c r="U28" i="4"/>
  <c r="AH27" i="4"/>
  <c r="U27" i="4"/>
  <c r="AH26" i="4"/>
  <c r="U26" i="4"/>
  <c r="AH25" i="4"/>
  <c r="U25" i="4"/>
  <c r="AH24" i="4"/>
  <c r="U24" i="4"/>
  <c r="AH23" i="4"/>
  <c r="U23" i="4"/>
  <c r="AH22" i="4"/>
  <c r="U22" i="4"/>
  <c r="AH21" i="4"/>
  <c r="U21" i="4"/>
  <c r="AH20" i="4"/>
  <c r="U20" i="4"/>
  <c r="AH19" i="4"/>
  <c r="U19" i="4"/>
  <c r="AH18" i="4"/>
  <c r="U18" i="4"/>
  <c r="AH17" i="4"/>
  <c r="U17" i="4"/>
  <c r="AH16" i="4"/>
  <c r="U16" i="4"/>
  <c r="AH15" i="4"/>
  <c r="U15" i="4"/>
  <c r="AH14" i="4"/>
  <c r="U14" i="4"/>
  <c r="AH13" i="4"/>
  <c r="U13" i="4"/>
  <c r="AH12" i="4"/>
  <c r="U12" i="4"/>
  <c r="AH11" i="4"/>
  <c r="U11" i="4"/>
  <c r="AH10" i="4"/>
  <c r="U10" i="4"/>
  <c r="AH9" i="4"/>
  <c r="U9" i="4"/>
  <c r="AH8" i="4"/>
  <c r="U8" i="4"/>
  <c r="AH7" i="4"/>
  <c r="U7" i="4"/>
  <c r="AH6" i="4"/>
  <c r="U6" i="4"/>
  <c r="AH5" i="4"/>
  <c r="U5" i="4"/>
  <c r="AH4" i="4"/>
  <c r="U4" i="4"/>
  <c r="AH3" i="4"/>
  <c r="U3" i="4"/>
  <c r="AH2" i="4"/>
  <c r="U2" i="4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K5" i="3"/>
  <c r="J5" i="3"/>
  <c r="AH116" i="4" l="1"/>
  <c r="U116" i="4"/>
</calcChain>
</file>

<file path=xl/sharedStrings.xml><?xml version="1.0" encoding="utf-8"?>
<sst xmlns="http://schemas.openxmlformats.org/spreadsheetml/2006/main" count="1257" uniqueCount="304">
  <si>
    <t>Meta pptal</t>
  </si>
  <si>
    <t>Codigo</t>
  </si>
  <si>
    <t>Actividad Operativa</t>
  </si>
  <si>
    <t>Unidad de medida</t>
  </si>
  <si>
    <t>Accion UGP</t>
  </si>
  <si>
    <t>Organo</t>
  </si>
  <si>
    <t>PROGRAM ENE</t>
  </si>
  <si>
    <t>PROGRAM FEB</t>
  </si>
  <si>
    <t>PROGRAM MAR</t>
  </si>
  <si>
    <t>PROGRAM ABR</t>
  </si>
  <si>
    <t>PROGRAM MAY</t>
  </si>
  <si>
    <t>PROGRAM JUN</t>
  </si>
  <si>
    <t>PROGRAM JUL</t>
  </si>
  <si>
    <t>PROGRAM AGO</t>
  </si>
  <si>
    <t>PROGRAM SET</t>
  </si>
  <si>
    <t>PROGRAM OCT</t>
  </si>
  <si>
    <t>PROGRAM NOV</t>
  </si>
  <si>
    <t>PROGRAM DIC</t>
  </si>
  <si>
    <t>PROGRAM Total</t>
  </si>
  <si>
    <t>EJECUCIÓN ENE</t>
  </si>
  <si>
    <t>EJECUCIÓN FEB</t>
  </si>
  <si>
    <t>EJECUCIÓN MAR</t>
  </si>
  <si>
    <t>EJECUCIÓN ABR</t>
  </si>
  <si>
    <t>EJECUCIÓN MAY</t>
  </si>
  <si>
    <t>EJECUCIÓN JUN</t>
  </si>
  <si>
    <t>EJECUCIÓN JUL</t>
  </si>
  <si>
    <t>EJECUCIÓN AGO</t>
  </si>
  <si>
    <t>EJECUCIÓN SET</t>
  </si>
  <si>
    <t>EJECUCIÓN OCT</t>
  </si>
  <si>
    <t>EJECUCIÓN NOV</t>
  </si>
  <si>
    <t>EJECUCIÓN DIC</t>
  </si>
  <si>
    <t>EJECUCIÓN Total</t>
  </si>
  <si>
    <t>AOI00047400046</t>
  </si>
  <si>
    <t>GESTIÓN DE CUMPLIMIENTO DE OBJETIVOS Y METAS DEL PROCESO DE GESTIÓN DE LA INVESTIGACIÓN, DESARROLLO E INNOVACIÓN METEOROLÓGICA Y AMBIENTAL ATMOSFÉRICO</t>
  </si>
  <si>
    <t>REPORTE</t>
  </si>
  <si>
    <t>Asistencia administrativa para la conducción del proceso de gestión de la investigación, desarrollo e innovación meteorológica y ambiental atmosférico</t>
  </si>
  <si>
    <t>INFORME</t>
  </si>
  <si>
    <t>DMCA</t>
  </si>
  <si>
    <t>AOI00047400040</t>
  </si>
  <si>
    <t>GESTIÓN DE CUMPLIMIENTO DE OBJETIVOS Y METAS DEL PROCESO DE GESTIÓN DE LA VIGILANCIA Y PRONÓSTICO METEOROLÓGICO Y AMBIENTAL ATMOSFÉRICO</t>
  </si>
  <si>
    <t>Asistencia administrativa para la conducción del proceso de gestión de la vigilancia y pronóstico meteorológico y ambiental atmosférico</t>
  </si>
  <si>
    <t>Conducción del proceso de gestión de la investigación, desarrollo e innovación meteorológica y ambiental atmosférico</t>
  </si>
  <si>
    <t>Conducción del proceso de gestión de la vigilancia y pronóstico meteorológico y ambiental atmosférico</t>
  </si>
  <si>
    <t>Suma de EJECUCIÓN AGO</t>
  </si>
  <si>
    <t>Suma de PROGRAM AGO</t>
  </si>
  <si>
    <t xml:space="preserve">	AOI00047400646</t>
  </si>
  <si>
    <t>P</t>
  </si>
  <si>
    <t>E</t>
  </si>
  <si>
    <t>Actividad Operativa ID</t>
  </si>
  <si>
    <t>Suma de F(RE) 08</t>
  </si>
  <si>
    <t>DP</t>
  </si>
  <si>
    <t>DE</t>
  </si>
  <si>
    <t>AOI00047400036</t>
  </si>
  <si>
    <t>Coordinación y Seguimiento al proceso de gestión y ejecución de los proyectos, la investigación, desarrollo e innovación meteorológica y ambiental atmosférica</t>
  </si>
  <si>
    <t>AOI00047400646</t>
  </si>
  <si>
    <t>AOI00047400038</t>
  </si>
  <si>
    <t>AOI00047400039</t>
  </si>
  <si>
    <t>AOI00047400037</t>
  </si>
  <si>
    <t>AOI00047400043</t>
  </si>
  <si>
    <t>AOI00047400045</t>
  </si>
  <si>
    <t>AOI00047400041</t>
  </si>
  <si>
    <t>AOI00047400047</t>
  </si>
  <si>
    <t>DESARROLLO E IMPLEMENTACIÓN DE HERRAMIENTAS Y METODOLOGÍAS METEOROLÓGICAS Y AMBIENTAL ATMOSFÉRICAS</t>
  </si>
  <si>
    <t>DOCUMENTO TECNICO</t>
  </si>
  <si>
    <t>AOI00047400048</t>
  </si>
  <si>
    <t>AOI00047400044</t>
  </si>
  <si>
    <t>Actualización del Plan de Capacitación en el marco de los proyectos regionales de cooperación</t>
  </si>
  <si>
    <t>AOI00047400049</t>
  </si>
  <si>
    <t>AOI00047400050</t>
  </si>
  <si>
    <t>DOCUMETO TÉCNICO</t>
  </si>
  <si>
    <t>AOI00047400051</t>
  </si>
  <si>
    <t>AOI00047400053</t>
  </si>
  <si>
    <t>AOI00047400055</t>
  </si>
  <si>
    <t>AOI00047400428</t>
  </si>
  <si>
    <t>AOI00047400442</t>
  </si>
  <si>
    <t>AOI00047400447</t>
  </si>
  <si>
    <t>AOI00047400450</t>
  </si>
  <si>
    <t>DIFUSIÓN DE PRODUCTOS Y SERVICIOS DE LA DMA DEL SENAMHI</t>
  </si>
  <si>
    <t>Asesoramiento técnico a usuarios públicos y privados, y atención a los medios de comunicación, delegaciones, y otros - SEA</t>
  </si>
  <si>
    <t>AOI00047400460</t>
  </si>
  <si>
    <t>AOI00047400540</t>
  </si>
  <si>
    <t>AOI00047400541</t>
  </si>
  <si>
    <t>AOI00047400544</t>
  </si>
  <si>
    <t>AOI00047400448</t>
  </si>
  <si>
    <t>AOI00047400545</t>
  </si>
  <si>
    <t>VIGILANCIA DE CALIDAD DEL AIRE</t>
  </si>
  <si>
    <t>Coordinación técnica para el Monitoreo ambiental en Loreto</t>
  </si>
  <si>
    <t>AOI00047400553</t>
  </si>
  <si>
    <t>AOI00047400554</t>
  </si>
  <si>
    <t>AOI00047400555</t>
  </si>
  <si>
    <t>AOI00047400557</t>
  </si>
  <si>
    <t>AOI00047400542</t>
  </si>
  <si>
    <t>AOI00047400560</t>
  </si>
  <si>
    <t>AOI00047400543</t>
  </si>
  <si>
    <t>AOI00047400565</t>
  </si>
  <si>
    <t>AOI00047400566</t>
  </si>
  <si>
    <t>AOI00047400567</t>
  </si>
  <si>
    <t>AOI00047400568</t>
  </si>
  <si>
    <t>Diagnostico de la Estación de la Vigilancia Atmosférica Marcapomacocha</t>
  </si>
  <si>
    <t>DOCUMENTO TÉCNICO</t>
  </si>
  <si>
    <t>AOI00047400569</t>
  </si>
  <si>
    <t>AOI00047400570</t>
  </si>
  <si>
    <t>AOI00047400571</t>
  </si>
  <si>
    <t>AOI00047400572</t>
  </si>
  <si>
    <t>AOI00047400573</t>
  </si>
  <si>
    <t>AOI00047400574</t>
  </si>
  <si>
    <t>AOI00047400575</t>
  </si>
  <si>
    <t>DIFUSIÓN DE INFORMACIÓN DE VIGILANCIA Y PRONÓSTICO DE CALIDAD DEL AIRE</t>
  </si>
  <si>
    <t>INSTITUCION</t>
  </si>
  <si>
    <t>Difusión de información de vigilancia y pronóstico de calidad del aire</t>
  </si>
  <si>
    <t>INSTITUCIÓN</t>
  </si>
  <si>
    <t>AOI00047400576</t>
  </si>
  <si>
    <t>AOI00047400577</t>
  </si>
  <si>
    <t>AOI00047400583</t>
  </si>
  <si>
    <t>AOI00047400584</t>
  </si>
  <si>
    <t>AOI00047400643</t>
  </si>
  <si>
    <t>AOI00047400644</t>
  </si>
  <si>
    <t>AOI00047400645</t>
  </si>
  <si>
    <t>AO eliminadas de la DMA-SMN, a partir de agosto a diciembre 2026</t>
  </si>
  <si>
    <t>AO que se mantienen en la DMA-SMN a solicitud de la DMCA (correo del 12.8.26 (12:26pm) Caleb Navarro)</t>
  </si>
  <si>
    <t>ELABORACIÓN DE ESTUDIOS DE CALIDAD DEL AIRE ELABORADOS PARA LA CARACTERIZACIÓN DE LOS CONTAMINANTES ATMOSFÉRICOS</t>
  </si>
  <si>
    <t>ESTUDIO</t>
  </si>
  <si>
    <t>Elaboración de estudios para la caracterización de las variables ambientales atmosféricas - Parte 1</t>
  </si>
  <si>
    <t>ELABORACIÓN DE INVESTIGACIONES DE CALIDAD DEL AIRE</t>
  </si>
  <si>
    <t>INVESTIGACION</t>
  </si>
  <si>
    <t xml:space="preserve">Elaboración de investigaciones sobre la influencia del tránsito vehicular en la calidad del aire - Parte 1 </t>
  </si>
  <si>
    <t>INVESTIGACIÓN</t>
  </si>
  <si>
    <t>Elaboración de Notas Técnicas y/o Protocolos en ambiental atmosferico</t>
  </si>
  <si>
    <t>Total general</t>
  </si>
  <si>
    <t>Elaboración de opiniones técnicas a estudios sobre Modelamiento de Dispersión de Contaminantes Atmosféricos</t>
  </si>
  <si>
    <t>ELABORACIÓN DE PRONÓSTICOS DE CALIDAD DEL AIRE</t>
  </si>
  <si>
    <t>Elaboración de pronóstico de calidad del aire y su verificación</t>
  </si>
  <si>
    <t>PRONÓSTICO</t>
  </si>
  <si>
    <t>ELABORACIÓN DE ESTUDIOS PARA GESTIÓN DE RIESGO DE DESASTRES - SEA</t>
  </si>
  <si>
    <t>Elaboración del estudios para la provisión de información de radiación - Parte 1</t>
  </si>
  <si>
    <t>Monitoreo de condiciones ambientales atmosféricas asociados a la ocurrencia de incendios urbanos y forestales</t>
  </si>
  <si>
    <t>VIGILANCIA METEOROLÓGICA, CLIMÁTICA Y AMBIENTAL ATMOSFÉRICA</t>
  </si>
  <si>
    <t>Monitoreo de la atmósfera global</t>
  </si>
  <si>
    <t>Monitoreo de la calidad de agua de lluvia</t>
  </si>
  <si>
    <t>Monitoreo de la calidad del aire</t>
  </si>
  <si>
    <t>MONITOREO DE LA CALIDAD DEL AIRE EN EL DISTRITO DE MARCAPOMACOCHA</t>
  </si>
  <si>
    <t>Monitoreo de la calidad del aire en el distrito de Marcapomacocha</t>
  </si>
  <si>
    <t>Monitoreo de la capa de ozono</t>
  </si>
  <si>
    <t>Monitoreo de radiación ultravioleta</t>
  </si>
  <si>
    <t>ASESORAMIENTO Y PARTICIPACIÓN TÉCNICA CIENTÍFICA EN ASUNTOS METEOROLÓGICOS, CLIMÁTICOS Y AMBIENTALES ATMOSFÉRICOS, NACIONALES E INTERNACIONALES</t>
  </si>
  <si>
    <t>Participación técnica científica en asuntos meteorológicos, climáticos y ambientales atmosféricos, nacionales e internacionales (OMM, otros) SEA</t>
  </si>
  <si>
    <t>GENERACIÓN DE PRODUCTOS Y SERVICIOS METEOROLÓGICOS, CLIMÁTICOS Y AMBIENTAL ATMOSFÉRICOS A MEDIDA</t>
  </si>
  <si>
    <t>Provisión de productos y servicios a través de convenios de cooperación interinstitucional en temas ambientales atmosféricos</t>
  </si>
  <si>
    <t>Provisión de productos y servicios mejorados para usuarios públicos y privados - SEA</t>
  </si>
  <si>
    <t>POI</t>
  </si>
  <si>
    <t>Consolidado</t>
  </si>
  <si>
    <t>Reporte de operatividad y calibración de espectrofotómetro Dobson en Marcapomacocha</t>
  </si>
  <si>
    <t>SI</t>
  </si>
  <si>
    <t>ok</t>
  </si>
  <si>
    <t>Vigilancia Ambiental Atmosférica con imágenes satelitales</t>
  </si>
  <si>
    <t>PROYECTO ENANDES (PERU):  2.5 Dar respuesta a los diversos requisitos del Marco Nacional para los Servicios Climáticos</t>
  </si>
  <si>
    <t>2.5.4 a) Diseño e implementación de interacciones estructuradas para el Diseño del Plan Estratégico de un MNSC</t>
  </si>
  <si>
    <t>DOCUMENTO</t>
  </si>
  <si>
    <t>PROYECTO ENANDES (PERU): 3.6 Obtener enseñanzas útiles sobre las medidas de adaptación a escala local gracias a un proceso dinámico de trazabilidad del proyecto.</t>
  </si>
  <si>
    <t>3.6.5 a) Evaluación de la Línea de Salida de los Indicadores propuestos</t>
  </si>
  <si>
    <t>3.6.5 b)Talleres de Cierre</t>
  </si>
  <si>
    <t>3.6.6 a) Documentos Técnicos sobre el proyecto</t>
  </si>
  <si>
    <t>PROYECTO ENANDES+ (PERU): MEJORAMIENTO DE LA CARACTERIZACIÓN Y COMUNICACIÓN DE LOS ESTADOS  HISTÓRICOS Y RECIENTES DE AMENAZAS HIDROCLIMÁTICAS</t>
  </si>
  <si>
    <t>1.2.1.b) Codiseño de servicios TAC asociados a incendios forestales y sequías en el Altiplano</t>
  </si>
  <si>
    <t>INFORME TÉCNICO</t>
  </si>
  <si>
    <t>1.2.1.d) Publicación de artículo científico relacionado a incendios forestales e índices de sequías</t>
  </si>
  <si>
    <t>1.2.2.a) Actualización de la caracterización climática en la región Puno</t>
  </si>
  <si>
    <t>PROYECTO ENANDES+ (PERU): CODISEÑO DE PLANES Y ACCIONES DE PREPARACIÓN Y ADAPTACIÓN ADECUADOS A CONTEXTOS LOCALES PARA REDUCIR LOS IMPACTOS NEGATIVOS DE LA VARIABILIDAD Y EL CAMBIO CLIMÁTICO</t>
  </si>
  <si>
    <t>3.3.2.a) Identificar y sistematizar prácticas locales que utilicen servicios TAC (sequias e IF) en Puno</t>
  </si>
  <si>
    <t>ASESORAMIENTO Y PARTICIPACIÓN TÉCNICA CIENTÍFICA EN ASUNTOS METEOROLÓGICOS, CLIMÁTICOS Y AMBIENTALES, NACIONALES E INTERNACIONALES</t>
  </si>
  <si>
    <t>PROYECTO ENANDES+ (PERU): MEJORAMIENTO DE LA PRODUCCIÓN Y DIFUSIÓN DE PREDICCIONES  SUBESTACIONALES A ESTACIONALES (S2S) DEL CLIMA REGIONAL Y LAS CONDICIONES HIDROLÓGICAS</t>
  </si>
  <si>
    <t>1.3.2.a) Codiseño y mejora del IDESEP para hacer interoperable los pronósticos semanales (S2S)</t>
  </si>
  <si>
    <t>PROYECTO ENANDES+ (PERU): MEJORAMIENTO DE LA ACCESIBILIDAD, LA COMPRENSIÓN Y EL USO DE LA INFORMACIÓN TAC PARA LA GESTIÓN DE RIESGOS HIDROCLIMÁTICOS Y LA ADAPTACIÓN ENTRE ACTORES Y COMUNIDADES LOCALES - DMA</t>
  </si>
  <si>
    <t xml:space="preserve">3.2.2.c) Facilitación local para la implementación de espacios de diálogo sobre servicios TAC en el Rímac </t>
  </si>
  <si>
    <t xml:space="preserve">3.3.3.a) Proponer un prototipo de servicio TAC en Puno </t>
  </si>
  <si>
    <t>PROYECTO ENANDES+ (PERU): SEGUIMIENTO ACTIVO DEL PROYECTO PARA PROPORCIONAR LECCIONES ÚTILES SOBRE LAS ACCIONES DE ADAPTACIÓN LOCALES</t>
  </si>
  <si>
    <t xml:space="preserve">3.5.3.a) Seguimiento de indicadores del proyecto </t>
  </si>
  <si>
    <t xml:space="preserve">3.5.4.a) Reporte de condiciones habilitantes que aportan a la implementación de medidas de adaptación al CC </t>
  </si>
  <si>
    <t>PROYECTO ENANDES+ (PERU): DESARROLLO E IMPLEMENTACIÓN DE UN PLAN DE CAPACITACIÓN PARA SUBSANAR BRECHAS DE CAPACIDADES HUMANAS</t>
  </si>
  <si>
    <t>4.1.1.a) Coordinación y seguimiento de las actividades relacionadas con el SST</t>
  </si>
  <si>
    <t>4.1.1.b) Coordinación del SST SEB con los equipos de los SMHNs y los CRCs</t>
  </si>
  <si>
    <t>PROYECTO ENANDES+ (PERU): COORDINACIÓN REGIONAL PARA LA ACTUALIZACIÓN DE SISTEMAS NACIONALES DE GESTIÓN DE DATOS CLIMÁTICOS E HIDROLÓGICOS Y BASES DE DATOS REGIONALES INTEROPERABLES</t>
  </si>
  <si>
    <t>4.2.1.a) Coordinación NUREX: articulación interna y reuniones de trabajo con los equipos de las SMHN y CRC</t>
  </si>
  <si>
    <t>PROYECTO ENANDES+ (PERU): FORTALECIMIENTO DE LAS CAPACIDADES NACIONALES DE MONITOREO Y PREDICCIÓN DEL CLIMA</t>
  </si>
  <si>
    <t>4.3.1.c) Generación de servicios TAC</t>
  </si>
  <si>
    <t xml:space="preserve">4.3.2.a) Complementar APP de SENAMHI con pronostico S2S </t>
  </si>
  <si>
    <t>PROYECTO ENANDES+ (PERU): FORTALECIMIENTO DE LAS CAPACIDADES DE PRODUCCIÓN Y DIFUSIÓN, Y LA ADOPCIÓN DE SERVICIOS TAC</t>
  </si>
  <si>
    <t>4.4.1.c) Socialización de resultados en evento de presentación de estudios SEB de los SMHN y compartir resultados (workshop final)</t>
  </si>
  <si>
    <t>4.4.1.d) Publicación de estudio SEB (diseño y diagramación)</t>
  </si>
  <si>
    <t>4.4.2.a) Informe de sistematización de buenas prácticas y lecciones aprendidas sobre los servicios TAC</t>
  </si>
  <si>
    <t>PROYECTO ENANDES+ (PERU): CONVOCAR O ESTABLECER GRUPOS DE TRABAJO TÉCNICOS REGIONALES</t>
  </si>
  <si>
    <t>4.5.2.b) Gestión de seguimiento administrativo nacional y regional</t>
  </si>
  <si>
    <t>4.5.3.b) Taller de seguimiento de la articulación de los GT, Proyectos, CRC Y CRF, evaluación</t>
  </si>
  <si>
    <t>PROYECTO ENANDES+ (CRF): MEJORAMIENTO Y ACTUALIZACIÓN DE LOS SISTEMAS NACIONALES DE GESTIÓN DE DATOS CLIMÁTICOS E HIDROLÓGICOS</t>
  </si>
  <si>
    <t>1.1.4.a) Curso-taller: Guía para la formulación de una Estrategia Nacional de Observación y Plan Nacional WIGOS</t>
  </si>
  <si>
    <t>PROYECTO ENANDES+ (CRF): MEJORAMIENTO DE LA PRODUCCIÓN Y DIFUSIÓN DE PREDICCIONES  SUBESTACIONALES A ESTACIONALES (S2S) DEL CLIMA REGIONAL Y LAS CONDICIONES HIDROLÓGICAS</t>
  </si>
  <si>
    <t>1.3.4.b) Curso taller: Aplicación de IA para la predicción climática</t>
  </si>
  <si>
    <t>1.3.4.c) Curso_taller: Downscaling para S2S / visualización IA</t>
  </si>
  <si>
    <t>1.3.4.e) Estrategia nacional de observación e incorporación de terceros en la red del Servicio Hidrometeorológico</t>
  </si>
  <si>
    <t>PROYECTO ENANDES+ (CRF): DESARROLLO DE ESTRATEGIAS APROPIADAS PARA LA COMUNICACIÓN DE LA INFORMACIÓN TAC</t>
  </si>
  <si>
    <t>2.4.3.b) Participación en eventos de capacitación (congresos, seminarios, etc) y/o taller de proyecto</t>
  </si>
  <si>
    <t>2.4.3.c) SST MTA</t>
  </si>
  <si>
    <t xml:space="preserve">2.4.3.d) Seguimiento Técnico, recopilación de la información </t>
  </si>
  <si>
    <t>PROYECTO ENANDES+ (CRF): MEJORAMIENTO DE LA ACCESIBILIDAD, LA COMPRENSIÓN Y EL USO DE LA INFORMACIÓN TAC PARA LA GESTIÓN DE RIESGOS HIDROCLIMÁTICOS Y LA ADAPTACIÓN ENTRE ACTORES Y COMUNIDADES LOCALES</t>
  </si>
  <si>
    <t xml:space="preserve">3.2.1.a) Curso-taller: Comunicación efectiva </t>
  </si>
  <si>
    <t>PROYECTO ENANDES+ (CRF): EVALUACIÓN DEL USO Y LOS BENEFICIOS SOCIOECONÓMICOS DE LAS ACCIONES DE DEMOSTRACIÓN DE ADAPTACIÓN DE ENANDES/BRAVA.</t>
  </si>
  <si>
    <t>3.4.3.c) Capacitación en uso de softwares para procesamiento de información para SEB (virtual y/o presencial)</t>
  </si>
  <si>
    <t>3.4.3.e) Apoyo a la investigación de la PIU con enfoque intercultural</t>
  </si>
  <si>
    <t>PROYECTO ENANDES+ (CRF): DESARROLLO E IMPLEMENTACIÓN DE UN PLAN DE CAPACITACIÓN PARA SUBSANAR BRECHAS DE CAPACIDADES HUMANAS</t>
  </si>
  <si>
    <t>4.1.4.a) Evaluación de los esfuerzos de capacitación</t>
  </si>
  <si>
    <t>PROYECTO ENANDES+ (CRF): REALIZAR ACTIVIDADES DE COORDINACIÓN REGIONAL PARA APOYAR LA ACTUALIZACIÓN DE LOS SISTEMAS NACIONALES DE GESTIÓN DE DATOS CLIMÁTICOS E HIDROLÓGICOS Y BASES DE DATOS REGIONALES INTEROPERABLES</t>
  </si>
  <si>
    <t>4.2.2.a) Curso-taller: Aplicación de Python para el acceso a datos climáticos globales o regionales (OMM)</t>
  </si>
  <si>
    <t>4.2.2.b) Diseminación de "Peruvian Interpolated data of the SENAMHI’s Climatological and hydrological Observations" (PISCO) (SST_Ecuador)</t>
  </si>
  <si>
    <t>4.2.2.c) Diseminación de InterPGrads</t>
  </si>
  <si>
    <t>PROYECTO ENANDES+ (CRF): FORTALECIMIENTO DE LAS CAPACIDADES DE PRODUCCIÓN Y DIFUSIÓN, Y LA ADOPCIÓN DE SERVICIOS TAC</t>
  </si>
  <si>
    <t xml:space="preserve">4.4.1.a) Sistematización de experiencias SEB </t>
  </si>
  <si>
    <t>Asesoramiento técnico a usuarios públicos y privados, y atención a los medios de comunicación, delegaciones, y otros - SPC</t>
  </si>
  <si>
    <t>Atención de requerimientos de usuarios públicos y privados - SPC</t>
  </si>
  <si>
    <t>Briefing y Foros climáticos virtuales para sectores</t>
  </si>
  <si>
    <t>ELABORACIÓN DE ESTUDIOS DE CLIMA Y VARIABILIDAD CLIMÁTICA</t>
  </si>
  <si>
    <t>Estudio de machine Learnig para predicción de lluvias  a nivel nacional.</t>
  </si>
  <si>
    <t>Elaboración de Notas Técnicas y/o Protocolos en la implementación de PISAC</t>
  </si>
  <si>
    <t>Elaboración de Notas Técnicas y/o Protocolos en la implementación de ISPI-FASE 2</t>
  </si>
  <si>
    <t>ELABORACIÓN DE PRONÓSTICOS METEOROLÓGICOS, CLIMÁTICOS Y AMBIENTAL ATMOSFÉRICOS - SPC</t>
  </si>
  <si>
    <t>PRONOSTICO</t>
  </si>
  <si>
    <t>Elaboración de pronóstico climático nacional (SPC)</t>
  </si>
  <si>
    <t>VIGILANCIA Y MONITOREO METEOROLÓGICO Y CLIMÁTICO DEL FENÓMENO EL NIÑO</t>
  </si>
  <si>
    <t>Elaboración de pronóstico extendido de lluvias (escenarios de lluvia) (SPC)</t>
  </si>
  <si>
    <t>Elaboración de un video para la difusion de condiciones asociadas a El Niño/La Niña</t>
  </si>
  <si>
    <t>VIDEO</t>
  </si>
  <si>
    <t>Generación de mapas climáticos (SPC)</t>
  </si>
  <si>
    <t>MAPA</t>
  </si>
  <si>
    <t>Monitoreo climático (nacional, costero, coyuntural, etc.)</t>
  </si>
  <si>
    <t>BOLETIN</t>
  </si>
  <si>
    <t>Monitoreo de las condiciones atmosféricas en el contexto del FEN (SPC)</t>
  </si>
  <si>
    <t>Monitoreo de sequías meteorológicas (SPC)</t>
  </si>
  <si>
    <t>Reuniones técnicas con usuarios sectoriales en el marco de foros u otros mecanismos de interfaz - SPC</t>
  </si>
  <si>
    <t>Verificación de pronóstico climático</t>
  </si>
  <si>
    <t>Asesoramiento técnico a usuarios públicos y privados, y atención a los medios de comunicación, delegaciones, y otros - SPM</t>
  </si>
  <si>
    <t>Atención de requerimientos de usuarios públicos y privados - SPM</t>
  </si>
  <si>
    <t>GENERACIÓN DE PRODUCTOS Y SERVICIOS METEOROLÓGICOS, CLIMÁTICOS Y AMBIENTAL ATMOSFÉRICOS DE INCENDIOS FORESTALES A MEDIDA</t>
  </si>
  <si>
    <t>Avisos de condiciones atmosféricas de incendios forestales.</t>
  </si>
  <si>
    <t>ELABORACIÓN DE PRONÓSTICOS METEOROLÓGICOS, CLIMÁTICOS Y AMBIENTAL ATMOSFÉRICOS - SPM</t>
  </si>
  <si>
    <t>Avisos meteorológicos nacionales</t>
  </si>
  <si>
    <t>Briefing meteorológico</t>
  </si>
  <si>
    <t>Elaboración de aviso/pronóstico de precipitaciones de corto plazo (24 horas)</t>
  </si>
  <si>
    <t>Elaboración de Notas Técnicas y/o Protocolos en meteorología-SPM</t>
  </si>
  <si>
    <t>Elaboración de pronóstico del tiempo</t>
  </si>
  <si>
    <t>Elaboración de pronósticos inmediatos (nowcasting)</t>
  </si>
  <si>
    <t>ELABORACIÓN DE ESTUDIOS PARA GESTIÓN DE RIESGO DE DESASTRES - SPM</t>
  </si>
  <si>
    <t>Elaboración del estudio: identificación de capa límite en Lima- Parte I (borrador)</t>
  </si>
  <si>
    <t>Generación de datos e imágenes resultantes de sensoramiento remoto (SPM)</t>
  </si>
  <si>
    <t>Monitoreo diario de variables meteorológicas y umbrales</t>
  </si>
  <si>
    <t>Monitoreo y pronóstico de condiciones atmosféricas favorables a indencios forestales.</t>
  </si>
  <si>
    <t>BOLETÍN</t>
  </si>
  <si>
    <t>Monitoreo y pronóstico semanal de precipitación o temperatura (SPM)</t>
  </si>
  <si>
    <t>Participación técnica científica en asuntos meteorológicos, climáticos y ambientales, nacionales e internacionales (OMM, otros) SPM</t>
  </si>
  <si>
    <t>ELABORACIÓN DE PRONÓSTICOS METEOROLÓGICOS, CLIMÁTICOS Y AMBIENTAL ATMOSFÉRICOS DE PELIGRO VOLCÁNICO</t>
  </si>
  <si>
    <t>Pronóstico a corto plazo sobre condiciones meteorológicas de zonas de actividad volcánica - SPM</t>
  </si>
  <si>
    <t>Provisión de productos y servicios mejorados para usuarios públicos y privados - SPM</t>
  </si>
  <si>
    <t>Reuniones técnicas con usuarios sectoriales en el marco de foros u otros mecanismos de interfaz - SPM</t>
  </si>
  <si>
    <t>Verificación de pronósticos tiempo</t>
  </si>
  <si>
    <t>VIGILANCIA METEOROLÓGICA CON FINES DE ALERTA TEMPRANA EN EL COEN</t>
  </si>
  <si>
    <t>Vigilancia meteorológica con fines de alerta temprana en el COEN</t>
  </si>
  <si>
    <t>VIGILANCIA METEOROLÓGICA CON FINES DE ALERTA TEMPRANA EN EL MARCO DEL FENÓMENO EL NIÑO</t>
  </si>
  <si>
    <t>Vigilancia meteorológica con fines de alerta temprana en el marco del Fenómeno El Niño</t>
  </si>
  <si>
    <t>Vigilancia sinoptica</t>
  </si>
  <si>
    <t>ELABORACIÓN DE ESTUDIOS PARA GESTIÓN DE RIESGO DE DESASTRES SPC</t>
  </si>
  <si>
    <t xml:space="preserve"> Informe asociados a los temas de pronosticos S2S </t>
  </si>
  <si>
    <t>Participación técnica científica en asuntos meteorológicos, climáticos y ambientales, nacionales e internacionales (OMM, otros) SPC</t>
  </si>
  <si>
    <t>Sistematización de eventos extremos a nivel nacional (SPC)</t>
  </si>
  <si>
    <t>Vigilancia y estado del clima a nivel nacional</t>
  </si>
  <si>
    <t>Elaboración de Notas Técnicas y/o Protocolos en vigilancia de XTRIM actualizada -eventos extremos,</t>
  </si>
  <si>
    <t>Elaboración del pronóstico subestacional (semanal y mensual) a nivel nacional</t>
  </si>
  <si>
    <t xml:space="preserve">Atlas de heladas meteorologicas fase 1" </t>
  </si>
  <si>
    <t>DIFUSION Y SOCIALIZACION DE INFORMACION GENERADA PARA LA VIGILANCIA DEL FEN (Ley N°32732)</t>
  </si>
  <si>
    <t>Comunicación, difusión y divulgación de información relacionada con eventos severos relacionados a El Niño en el contexto del cambio climático</t>
  </si>
  <si>
    <t>FORTALECIMIENTO DE LA VIGILANCIA CLIMATICA Y ARTICULACION MULTISECTORIAL EN EL CONTEXTO DEL FEN (Ley N°32732)</t>
  </si>
  <si>
    <t>Articulación interinstitucional y vigilancia climática para la generación de pronósticos y vigilancia ante eventos extremos en el marco del FEN</t>
  </si>
  <si>
    <t>FORTALECIMIENTO DE LA VIGILANCIA METEOROLOGICA Y ARTICULACION MULTISECTORIAL EN EL CONTEXTO DEL FEN (Ley N°32732)</t>
  </si>
  <si>
    <t>Articulación interinstitucional y vigilancia meteorológica para la generación de pronósticos y vigilancia ante eventos extremos en el marco del FEN</t>
  </si>
  <si>
    <t>FORTALECIMIENTO DE LA VIGILANCIA AMBIENTAL ATMOSFERICA Y ARTICULACION MULTISECTORIAL EN EL CONTEXTO DEL FEN (Ley N°32732)</t>
  </si>
  <si>
    <t>Articulación interinstitucional y vigilancia ambiental atmosférica para la generación de pronósticos y vigilancia ante eventos extremos en el marco del FEN</t>
  </si>
  <si>
    <t/>
  </si>
  <si>
    <t>Gestión de cumplimiento de objetivos y metas</t>
  </si>
  <si>
    <t>Asesoramiento y participación técnica científica</t>
  </si>
  <si>
    <t>Difusión de productos y servicios</t>
  </si>
  <si>
    <t>Calidad del aire</t>
  </si>
  <si>
    <t>HERRAMIENTAS Y METODOLOGÍAS METEOROLÓGICAS Y AMBIENTAL ATMOSFÉRICAS</t>
  </si>
  <si>
    <t>Gestión de desastres</t>
  </si>
  <si>
    <t>Vigilancia Meteorológica</t>
  </si>
  <si>
    <t>Productos y servicios</t>
  </si>
  <si>
    <t>Enandes</t>
  </si>
  <si>
    <t>Enandes+</t>
  </si>
  <si>
    <t>Clima y variabilidad climática</t>
  </si>
  <si>
    <t>Elaboración de pronósticos meteorológicos, climáticos y ambientales atmosféricos</t>
  </si>
  <si>
    <t>DMA</t>
  </si>
  <si>
    <t>SEA</t>
  </si>
  <si>
    <t>ENANDES</t>
  </si>
  <si>
    <t>SPC</t>
  </si>
  <si>
    <t>SPM</t>
  </si>
  <si>
    <t>(Varios elementos)</t>
  </si>
  <si>
    <t>ENANDES +</t>
  </si>
  <si>
    <t>Tematica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</si>
</sst>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scheme val="minor"/>
    </font>
    <font>
      <sz val="11"/>
      <color theme="1"/>
      <name val="Aptos Narrow"/>
    </font>
    <font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ptos Narrow"/>
      <scheme val="minor"/>
    </font>
    <font>
      <b/>
      <sz val="9"/>
      <color rgb="FFFF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9"/>
      <color theme="0"/>
      <name val="Arial"/>
    </font>
    <font>
      <sz val="9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6666"/>
        <bgColor rgb="FF006666"/>
      </patternFill>
    </fill>
    <fill>
      <patternFill patternType="solid">
        <fgColor rgb="FF0B769F"/>
        <bgColor rgb="FF0B769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006666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4" fontId="3" fillId="5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4" fontId="3" fillId="5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4" fontId="1" fillId="0" borderId="0" xfId="0" applyNumberFormat="1" applyFont="1"/>
    <xf numFmtId="0" fontId="1" fillId="6" borderId="2" xfId="0" applyFont="1" applyFill="1" applyBorder="1"/>
    <xf numFmtId="0" fontId="4" fillId="0" borderId="3" xfId="0" applyFont="1" applyBorder="1" applyAlignment="1">
      <alignment horizontal="center" vertical="center" wrapText="1"/>
    </xf>
    <xf numFmtId="0" fontId="1" fillId="4" borderId="2" xfId="0" applyFont="1" applyFill="1" applyBorder="1"/>
    <xf numFmtId="4" fontId="6" fillId="0" borderId="1" xfId="0" applyNumberFormat="1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4" fontId="6" fillId="5" borderId="1" xfId="0" applyNumberFormat="1" applyFont="1" applyFill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4" fontId="7" fillId="5" borderId="1" xfId="0" applyNumberFormat="1" applyFont="1" applyFill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4" fontId="3" fillId="5" borderId="5" xfId="0" applyNumberFormat="1" applyFont="1" applyFill="1" applyBorder="1" applyAlignment="1">
      <alignment horizontal="center" vertical="center" wrapText="1"/>
    </xf>
    <xf numFmtId="4" fontId="3" fillId="8" borderId="5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4" fontId="8" fillId="0" borderId="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4" fontId="1" fillId="5" borderId="2" xfId="0" applyNumberFormat="1" applyFont="1" applyFill="1" applyBorder="1"/>
    <xf numFmtId="0" fontId="1" fillId="5" borderId="2" xfId="0" applyFont="1" applyFill="1" applyBorder="1"/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0" fillId="0" borderId="8" xfId="0" pivotButton="1" applyFont="1" applyBorder="1" applyAlignment="1"/>
    <xf numFmtId="0" fontId="0" fillId="0" borderId="9" xfId="0" pivotButton="1" applyFont="1" applyBorder="1" applyAlignment="1"/>
    <xf numFmtId="0" fontId="0" fillId="0" borderId="8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pivotButton="1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8" xfId="0" applyNumberFormat="1" applyFont="1" applyBorder="1" applyAlignment="1"/>
    <xf numFmtId="0" fontId="0" fillId="0" borderId="14" xfId="0" applyNumberFormat="1" applyFont="1" applyBorder="1" applyAlignment="1"/>
    <xf numFmtId="0" fontId="0" fillId="0" borderId="15" xfId="0" applyFont="1" applyBorder="1" applyAlignment="1"/>
    <xf numFmtId="0" fontId="0" fillId="0" borderId="15" xfId="0" applyNumberFormat="1" applyFont="1" applyBorder="1" applyAlignment="1"/>
    <xf numFmtId="0" fontId="0" fillId="0" borderId="16" xfId="0" applyNumberFormat="1" applyFont="1" applyBorder="1" applyAlignment="1"/>
    <xf numFmtId="0" fontId="0" fillId="0" borderId="10" xfId="0" applyNumberFormat="1" applyFont="1" applyBorder="1" applyAlignment="1"/>
    <xf numFmtId="0" fontId="0" fillId="0" borderId="17" xfId="0" applyNumberFormat="1" applyFont="1" applyBorder="1" applyAlignment="1"/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4" fontId="12" fillId="2" borderId="1" xfId="0" applyNumberFormat="1" applyFont="1" applyFill="1" applyBorder="1" applyAlignment="1">
      <alignment horizontal="center" vertical="center" wrapText="1"/>
    </xf>
    <xf numFmtId="4" fontId="11" fillId="2" borderId="1" xfId="0" applyNumberFormat="1" applyFont="1" applyFill="1" applyBorder="1" applyAlignment="1">
      <alignment horizontal="center" vertical="center" wrapText="1"/>
    </xf>
    <xf numFmtId="4" fontId="11" fillId="9" borderId="1" xfId="0" applyNumberFormat="1" applyFont="1" applyFill="1" applyBorder="1" applyAlignment="1">
      <alignment horizontal="center" vertical="center" wrapText="1"/>
    </xf>
    <xf numFmtId="4" fontId="1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irección de Meteorología Atmosférica (DMA 01)" refreshedDate="46315.732677546293" refreshedVersion="6" recordCount="114" xr:uid="{00000000-000A-0000-FFFF-FFFF4D000000}">
  <cacheSource type="worksheet">
    <worksheetSource ref="A1:AH115" sheet="DMCA"/>
  </cacheSource>
  <cacheFields count="34">
    <cacheField name="Meta pptal" numFmtId="0">
      <sharedItems containsSemiMixedTypes="0" containsString="0" containsNumber="1" containsInteger="1" minValue="3" maxValue="139"/>
    </cacheField>
    <cacheField name="Codigo" numFmtId="0">
      <sharedItems count="48">
        <s v="AOI00047400046"/>
        <s v="AOI00047400040"/>
        <s v="AOI00047400043"/>
        <s v="AOI00047400038"/>
        <s v="AOI00047400053"/>
        <s v="AOI00047400541"/>
        <s v="AOI00047400442"/>
        <s v="AOI00047400055"/>
        <s v="AOI00047400050"/>
        <s v="AOI00047400447"/>
        <s v="AOI00047400428"/>
        <s v="AOI00047400051"/>
        <s v="AOI00047400540"/>
        <s v="AOI00047400047"/>
        <s v="AOI00047400583"/>
        <s v="AOI00047400584"/>
        <s v="AOI00047400557"/>
        <s v="AOI00047400555"/>
        <s v="AOI00047400560"/>
        <s v="AOI00047400566"/>
        <s v="AOI00047400567"/>
        <s v="AOI00047400568"/>
        <s v="AOI00047400569"/>
        <s v="AOI00047400570"/>
        <s v="AOI00047400571"/>
        <s v="AOI00047400572"/>
        <s v="AOI00047400554"/>
        <s v="AOI00047400573"/>
        <s v="AOI00047400574"/>
        <s v="AOI00047400575"/>
        <s v="AOI00047400553"/>
        <s v="AOI00047400576"/>
        <s v="AOI00047400577"/>
        <s v="AOI00047400045"/>
        <s v="AOI00047400039"/>
        <s v="AOI00047400048"/>
        <s v="AOI00047400049"/>
        <s v="AOI00047400460"/>
        <s v="AOI00047400450"/>
        <s v="AOI00047400036"/>
        <s v="AOI00047400544"/>
        <s v="AOI00047400545"/>
        <s v="AOI00047400565"/>
        <s v="AOI00047400643"/>
        <s v="AOI00047400644"/>
        <s v="AOI00047400645"/>
        <s v="_x0009_AOI00047400646"/>
        <s v=" AOI00047400646" u="1"/>
      </sharedItems>
    </cacheField>
    <cacheField name="Temática" numFmtId="0">
      <sharedItems containsBlank="1"/>
    </cacheField>
    <cacheField name="Actividad Operativa" numFmtId="0">
      <sharedItems/>
    </cacheField>
    <cacheField name="Unidad de medida" numFmtId="0">
      <sharedItems/>
    </cacheField>
    <cacheField name="Accion UGP" numFmtId="0">
      <sharedItems/>
    </cacheField>
    <cacheField name="Unidad de medida2" numFmtId="0">
      <sharedItems/>
    </cacheField>
    <cacheField name="Organo" numFmtId="0">
      <sharedItems/>
    </cacheField>
    <cacheField name="PROGRAM ENE" numFmtId="4">
      <sharedItems containsSemiMixedTypes="0" containsString="0" containsNumber="1" containsInteger="1" minValue="0" maxValue="31"/>
    </cacheField>
    <cacheField name="PROGRAM FEB" numFmtId="4">
      <sharedItems containsSemiMixedTypes="0" containsString="0" containsNumber="1" containsInteger="1" minValue="0" maxValue="28"/>
    </cacheField>
    <cacheField name="PROGRAM MAR" numFmtId="4">
      <sharedItems containsSemiMixedTypes="0" containsString="0" containsNumber="1" containsInteger="1" minValue="0" maxValue="31"/>
    </cacheField>
    <cacheField name="PROGRAM ABR" numFmtId="4">
      <sharedItems containsSemiMixedTypes="0" containsString="0" containsNumber="1" containsInteger="1" minValue="0" maxValue="30"/>
    </cacheField>
    <cacheField name="PROGRAM MAY" numFmtId="4">
      <sharedItems containsSemiMixedTypes="0" containsString="0" containsNumber="1" containsInteger="1" minValue="0" maxValue="31"/>
    </cacheField>
    <cacheField name="PROGRAM JUN" numFmtId="4">
      <sharedItems containsSemiMixedTypes="0" containsString="0" containsNumber="1" containsInteger="1" minValue="0" maxValue="30"/>
    </cacheField>
    <cacheField name="PROGRAM JUL" numFmtId="4">
      <sharedItems containsSemiMixedTypes="0" containsString="0" containsNumber="1" containsInteger="1" minValue="0" maxValue="31"/>
    </cacheField>
    <cacheField name="PROGRAM AGO" numFmtId="4">
      <sharedItems containsSemiMixedTypes="0" containsString="0" containsNumber="1" containsInteger="1" minValue="0" maxValue="31"/>
    </cacheField>
    <cacheField name="PROGRAM SET" numFmtId="4">
      <sharedItems containsSemiMixedTypes="0" containsString="0" containsNumber="1" containsInteger="1" minValue="0" maxValue="30"/>
    </cacheField>
    <cacheField name="PROGRAM OCT" numFmtId="4">
      <sharedItems containsSemiMixedTypes="0" containsString="0" containsNumber="1" containsInteger="1" minValue="0" maxValue="31"/>
    </cacheField>
    <cacheField name="PROGRAM NOV" numFmtId="4">
      <sharedItems containsSemiMixedTypes="0" containsString="0" containsNumber="1" containsInteger="1" minValue="0" maxValue="30"/>
    </cacheField>
    <cacheField name="PROGRAM DIC" numFmtId="4">
      <sharedItems containsSemiMixedTypes="0" containsString="0" containsNumber="1" containsInteger="1" minValue="0" maxValue="31"/>
    </cacheField>
    <cacheField name="PROGRAM Total" numFmtId="4">
      <sharedItems containsSemiMixedTypes="0" containsString="0" containsNumber="1" containsInteger="1" minValue="1" maxValue="365"/>
    </cacheField>
    <cacheField name="EJECUCIÓN ENE" numFmtId="4">
      <sharedItems containsString="0" containsBlank="1" containsNumber="1" containsInteger="1" minValue="0" maxValue="31"/>
    </cacheField>
    <cacheField name="EJECUCIÓN FEB" numFmtId="4">
      <sharedItems containsString="0" containsBlank="1" containsNumber="1" containsInteger="1" minValue="0" maxValue="28"/>
    </cacheField>
    <cacheField name="EJECUCIÓN MAR" numFmtId="4">
      <sharedItems containsString="0" containsBlank="1" containsNumber="1" containsInteger="1" minValue="0" maxValue="31"/>
    </cacheField>
    <cacheField name="EJECUCIÓN ABR" numFmtId="4">
      <sharedItems containsString="0" containsBlank="1" containsNumber="1" containsInteger="1" minValue="0" maxValue="30"/>
    </cacheField>
    <cacheField name="EJECUCIÓN MAY" numFmtId="4">
      <sharedItems containsString="0" containsBlank="1" containsNumber="1" containsInteger="1" minValue="0" maxValue="31"/>
    </cacheField>
    <cacheField name="EJECUCIÓN JUN" numFmtId="4">
      <sharedItems containsString="0" containsBlank="1" containsNumber="1" containsInteger="1" minValue="0" maxValue="30"/>
    </cacheField>
    <cacheField name="EJECUCIÓN JUL" numFmtId="4">
      <sharedItems containsString="0" containsBlank="1" containsNumber="1" containsInteger="1" minValue="0" maxValue="31"/>
    </cacheField>
    <cacheField name="EJECUCIÓN AGO" numFmtId="4">
      <sharedItems containsSemiMixedTypes="0" containsString="0" containsNumber="1" containsInteger="1" minValue="0" maxValue="31"/>
    </cacheField>
    <cacheField name="EJECUCIÓN SET" numFmtId="4">
      <sharedItems containsString="0" containsBlank="1" containsNumber="1" containsInteger="1" minValue="0" maxValue="30"/>
    </cacheField>
    <cacheField name="EJECUCIÓN OCT" numFmtId="4">
      <sharedItems containsSemiMixedTypes="0" containsString="0" containsNumber="1" containsInteger="1" minValue="0" maxValue="0"/>
    </cacheField>
    <cacheField name="EJECUCIÓN NOV" numFmtId="4">
      <sharedItems containsSemiMixedTypes="0" containsString="0" containsNumber="1" containsInteger="1" minValue="0" maxValue="0"/>
    </cacheField>
    <cacheField name="EJECUCIÓN DIC" numFmtId="4">
      <sharedItems containsSemiMixedTypes="0" containsString="0" containsNumber="1" containsInteger="1" minValue="0" maxValue="0"/>
    </cacheField>
    <cacheField name="EJECUCIÓN Total" numFmtId="4">
      <sharedItems containsSemiMixedTypes="0" containsString="0" containsNumber="1" containsInteger="1" minValue="0" maxValue="2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irección de Meteorología Atmosférica (DMA 01)" refreshedDate="46315.732677546293" refreshedVersion="6" recordCount="110" xr:uid="{00000000-000A-0000-FFFF-FFFF53000000}">
  <cacheSource type="worksheet">
    <worksheetSource ref="A1:AH111" sheet="DMCA"/>
  </cacheSource>
  <cacheFields count="34">
    <cacheField name="Meta pptal" numFmtId="0">
      <sharedItems containsSemiMixedTypes="0" containsString="0" containsNumber="1" containsInteger="1" minValue="3" maxValue="103"/>
    </cacheField>
    <cacheField name="Codigo" numFmtId="0">
      <sharedItems count="43">
        <s v="AOI00047400046"/>
        <s v="AOI00047400040"/>
        <s v="AOI00047400043"/>
        <s v="AOI00047400038"/>
        <s v="AOI00047400053"/>
        <s v="AOI00047400541"/>
        <s v="AOI00047400442"/>
        <s v="AOI00047400055"/>
        <s v="AOI00047400050"/>
        <s v="AOI00047400447"/>
        <s v="AOI00047400428"/>
        <s v="AOI00047400051"/>
        <s v="AOI00047400540"/>
        <s v="AOI00047400047"/>
        <s v="AOI00047400583"/>
        <s v="AOI00047400584"/>
        <s v="AOI00047400557"/>
        <s v="AOI00047400555"/>
        <s v="AOI00047400560"/>
        <s v="AOI00047400566"/>
        <s v="AOI00047400567"/>
        <s v="AOI00047400568"/>
        <s v="AOI00047400569"/>
        <s v="AOI00047400570"/>
        <s v="AOI00047400571"/>
        <s v="AOI00047400572"/>
        <s v="AOI00047400554"/>
        <s v="AOI00047400573"/>
        <s v="AOI00047400574"/>
        <s v="AOI00047400575"/>
        <s v="AOI00047400553"/>
        <s v="AOI00047400576"/>
        <s v="AOI00047400577"/>
        <s v="AOI00047400045"/>
        <s v="AOI00047400039"/>
        <s v="AOI00047400048"/>
        <s v="AOI00047400049"/>
        <s v="AOI00047400460"/>
        <s v="AOI00047400450"/>
        <s v="AOI00047400036"/>
        <s v="AOI00047400544"/>
        <s v="AOI00047400545"/>
        <s v="AOI00047400565"/>
      </sharedItems>
    </cacheField>
    <cacheField name="Temática" numFmtId="0">
      <sharedItems/>
    </cacheField>
    <cacheField name="Actividad Operativa" numFmtId="0">
      <sharedItems count="45">
        <s v="GESTIÓN DE CUMPLIMIENTO DE OBJETIVOS Y METAS DEL PROCESO DE GESTIÓN DE LA INVESTIGACIÓN, DESARROLLO E INNOVACIÓN METEOROLÓGICA Y AMBIENTAL ATMOSFÉRICO"/>
        <s v="GESTIÓN DE CUMPLIMIENTO DE OBJETIVOS Y METAS DEL PROCESO DE GESTIÓN DE LA VIGILANCIA Y PRONÓSTICO METEOROLÓGICO Y AMBIENTAL ATMOSFÉRICO"/>
        <s v="DESARROLLO E IMPLEMENTACIÓN DE HERRAMIENTAS Y METODOLOGÍAS METEOROLÓGICAS Y AMBIENTAL ATMOSFÉRICAS"/>
        <s v="DIFUSIÓN DE PRODUCTOS Y SERVICIOS DE LA DMA DEL SENAMHI"/>
        <s v="VIGILANCIA DE CALIDAD DEL AIRE"/>
        <s v="DIFUSIÓN DE INFORMACIÓN DE VIGILANCIA Y PRONÓSTICO DE CALIDAD DEL AIRE"/>
        <s v="ELABORACIÓN DE ESTUDIOS DE CALIDAD DEL AIRE ELABORADOS PARA LA CARACTERIZACIÓN DE LOS CONTAMINANTES ATMOSFÉRICOS"/>
        <s v="ELABORACIÓN DE INVESTIGACIONES DE CALIDAD DEL AIRE"/>
        <s v="ELABORACIÓN DE PRONÓSTICOS DE CALIDAD DEL AIRE"/>
        <s v="ELABORACIÓN DE ESTUDIOS PARA GESTIÓN DE RIESGO DE DESASTRES - SEA"/>
        <s v="VIGILANCIA METEOROLÓGICA, CLIMÁTICA Y AMBIENTAL ATMOSFÉRICA"/>
        <s v="MONITOREO DE LA CALIDAD DEL AIRE EN EL DISTRITO DE MARCAPOMACOCHA"/>
        <s v="ASESORAMIENTO Y PARTICIPACIÓN TÉCNICA CIENTÍFICA EN ASUNTOS METEOROLÓGICOS, CLIMÁTICOS Y AMBIENTALES ATMOSFÉRICOS, NACIONALES E INTERNACIONALES"/>
        <s v="GENERACIÓN DE PRODUCTOS Y SERVICIOS METEOROLÓGICOS, CLIMÁTICOS Y AMBIENTAL ATMOSFÉRICOS A MEDIDA"/>
        <s v="PROYECTO ENANDES (PERU):  2.5 Dar respuesta a los diversos requisitos del Marco Nacional para los Servicios Climáticos"/>
        <s v="PROYECTO ENANDES (PERU): 3.6 Obtener enseñanzas útiles sobre las medidas de adaptación a escala local gracias a un proceso dinámico de trazabilidad del proyecto."/>
        <s v="PROYECTO ENANDES+ (PERU): MEJORAMIENTO DE LA CARACTERIZACIÓN Y COMUNICACIÓN DE LOS ESTADOS  HISTÓRICOS Y RECIENTES DE AMENAZAS HIDROCLIMÁTICAS"/>
        <s v="PROYECTO ENANDES+ (PERU): CODISEÑO DE PLANES Y ACCIONES DE PREPARACIÓN Y ADAPTACIÓN ADECUADOS A CONTEXTOS LOCALES PARA REDUCIR LOS IMPACTOS NEGATIVOS DE LA VARIABILIDAD Y EL CAMBIO CLIMÁTICO"/>
        <s v="PROYECTO ENANDES+ (PERU): MEJORAMIENTO DE LA PRODUCCIÓN Y DIFUSIÓN DE PREDICCIONES  SUBESTACIONALES A ESTACIONALES (S2S) DEL CLIMA REGIONAL Y LAS CONDICIONES HIDROLÓGICAS"/>
        <s v="PROYECTO ENANDES+ (PERU): MEJORAMIENTO DE LA ACCESIBILIDAD, LA COMPRENSIÓN Y EL USO DE LA INFORMACIÓN TAC PARA LA GESTIÓN DE RIESGOS HIDROCLIMÁTICOS Y LA ADAPTACIÓN ENTRE ACTORES Y COMUNIDADES LOCALES - DMA"/>
        <s v="PROYECTO ENANDES+ (PERU): SEGUIMIENTO ACTIVO DEL PROYECTO PARA PROPORCIONAR LECCIONES ÚTILES SOBRE LAS ACCIONES DE ADAPTACIÓN LOCALES"/>
        <s v="PROYECTO ENANDES+ (PERU): DESARROLLO E IMPLEMENTACIÓN DE UN PLAN DE CAPACITACIÓN PARA SUBSANAR BRECHAS DE CAPACIDADES HUMANAS"/>
        <s v="PROYECTO ENANDES+ (PERU): COORDINACIÓN REGIONAL PARA LA ACTUALIZACIÓN DE SISTEMAS NACIONALES DE GESTIÓN DE DATOS CLIMÁTICOS E HIDROLÓGICOS Y BASES DE DATOS REGIONALES INTEROPERABLES"/>
        <s v="PROYECTO ENANDES+ (PERU): FORTALECIMIENTO DE LAS CAPACIDADES NACIONALES DE MONITOREO Y PREDICCIÓN DEL CLIMA"/>
        <s v="PROYECTO ENANDES+ (PERU): FORTALECIMIENTO DE LAS CAPACIDADES DE PRODUCCIÓN Y DIFUSIÓN, Y LA ADOPCIÓN DE SERVICIOS TAC"/>
        <s v="PROYECTO ENANDES+ (PERU): CONVOCAR O ESTABLECER GRUPOS DE TRABAJO TÉCNICOS REGIONALES"/>
        <s v="PROYECTO ENANDES+ (CRF): MEJORAMIENTO Y ACTUALIZACIÓN DE LOS SISTEMAS NACIONALES DE GESTIÓN DE DATOS CLIMÁTICOS E HIDROLÓGICOS"/>
        <s v="PROYECTO ENANDES+ (CRF): MEJORAMIENTO DE LA PRODUCCIÓN Y DIFUSIÓN DE PREDICCIONES  SUBESTACIONALES A ESTACIONALES (S2S) DEL CLIMA REGIONAL Y LAS CONDICIONES HIDROLÓGICAS"/>
        <s v="PROYECTO ENANDES+ (CRF): DESARROLLO DE ESTRATEGIAS APROPIADAS PARA LA COMUNICACIÓN DE LA INFORMACIÓN TAC"/>
        <s v="PROYECTO ENANDES+ (CRF): MEJORAMIENTO DE LA ACCESIBILIDAD, LA COMPRENSIÓN Y EL USO DE LA INFORMACIÓN TAC PARA LA GESTIÓN DE RIESGOS HIDROCLIMÁTICOS Y LA ADAPTACIÓN ENTRE ACTORES Y COMUNIDADES LOCALES"/>
        <s v="PROYECTO ENANDES+ (CRF): EVALUACIÓN DEL USO Y LOS BENEFICIOS SOCIOECONÓMICOS DE LAS ACCIONES DE DEMOSTRACIÓN DE ADAPTACIÓN DE ENANDES/BRAVA."/>
        <s v="PROYECTO ENANDES+ (CRF): DESARROLLO E IMPLEMENTACIÓN DE UN PLAN DE CAPACITACIÓN PARA SUBSANAR BRECHAS DE CAPACIDADES HUMANAS"/>
        <s v="PROYECTO ENANDES+ (CRF): REALIZAR ACTIVIDADES DE COORDINACIÓN REGIONAL PARA APOYAR LA ACTUALIZACIÓN DE LOS SISTEMAS NACIONALES DE GESTIÓN DE DATOS CLIMÁTICOS E HIDROLÓGICOS Y BASES DE DATOS REGIONALES INTEROPERABLES"/>
        <s v="PROYECTO ENANDES+ (CRF): FORTALECIMIENTO DE LAS CAPACIDADES DE PRODUCCIÓN Y DIFUSIÓN, Y LA ADOPCIÓN DE SERVICIOS TAC"/>
        <s v="ELABORACIÓN DE ESTUDIOS DE CLIMA Y VARIABILIDAD CLIMÁTICA"/>
        <s v="ELABORACIÓN DE PRONÓSTICOS METEOROLÓGICOS, CLIMÁTICOS Y AMBIENTAL ATMOSFÉRICOS - SPC"/>
        <s v="VIGILANCIA Y MONITOREO METEOROLÓGICO Y CLIMÁTICO DEL FENÓMENO EL NIÑO"/>
        <s v="GENERACIÓN DE PRODUCTOS Y SERVICIOS METEOROLÓGICOS, CLIMÁTICOS Y AMBIENTAL ATMOSFÉRICOS DE INCENDIOS FORESTALES A MEDIDA"/>
        <s v="ELABORACIÓN DE PRONÓSTICOS METEOROLÓGICOS, CLIMÁTICOS Y AMBIENTAL ATMOSFÉRICOS - SPM"/>
        <s v="ELABORACIÓN DE ESTUDIOS PARA GESTIÓN DE RIESGO DE DESASTRES - SPM"/>
        <s v="ASESORAMIENTO Y PARTICIPACIÓN TÉCNICA CIENTÍFICA EN ASUNTOS METEOROLÓGICOS, CLIMÁTICOS Y AMBIENTALES, NACIONALES E INTERNACIONALES"/>
        <s v="ELABORACIÓN DE PRONÓSTICOS METEOROLÓGICOS, CLIMÁTICOS Y AMBIENTAL ATMOSFÉRICOS DE PELIGRO VOLCÁNICO"/>
        <s v="VIGILANCIA METEOROLÓGICA CON FINES DE ALERTA TEMPRANA EN EL COEN"/>
        <s v="VIGILANCIA METEOROLÓGICA CON FINES DE ALERTA TEMPRANA EN EL MARCO DEL FENÓMENO EL NIÑO"/>
        <s v="ELABORACIÓN DE ESTUDIOS PARA GESTIÓN DE RIESGO DE DESASTRES SPC"/>
      </sharedItems>
    </cacheField>
    <cacheField name="Unidad de medida" numFmtId="0">
      <sharedItems/>
    </cacheField>
    <cacheField name="Accion UGP" numFmtId="0">
      <sharedItems/>
    </cacheField>
    <cacheField name="Unidad de medida2" numFmtId="0">
      <sharedItems/>
    </cacheField>
    <cacheField name="Organo" numFmtId="0">
      <sharedItems count="14">
        <s v="DMA"/>
        <s v="SEA"/>
        <s v="ENANDES"/>
        <s v="ENANDES+"/>
        <s v="SPC"/>
        <s v="SPM"/>
        <s v="SVC" u="1"/>
        <s v="SVM" u="1"/>
        <s v="Enandes +" u="1"/>
        <s v="DMCA-SVA" u="1"/>
        <s v="DMCA" u="1"/>
        <s v="DMCA-SVC" u="1"/>
        <s v="SVA" u="1"/>
        <s v="DMCA-SVM" u="1"/>
      </sharedItems>
    </cacheField>
    <cacheField name="PROGRAM ENE" numFmtId="4">
      <sharedItems containsSemiMixedTypes="0" containsString="0" containsNumber="1" containsInteger="1" minValue="0" maxValue="31"/>
    </cacheField>
    <cacheField name="PROGRAM FEB" numFmtId="4">
      <sharedItems containsSemiMixedTypes="0" containsString="0" containsNumber="1" containsInteger="1" minValue="0" maxValue="28"/>
    </cacheField>
    <cacheField name="PROGRAM MAR" numFmtId="4">
      <sharedItems containsSemiMixedTypes="0" containsString="0" containsNumber="1" containsInteger="1" minValue="0" maxValue="31"/>
    </cacheField>
    <cacheField name="PROGRAM ABR" numFmtId="4">
      <sharedItems containsSemiMixedTypes="0" containsString="0" containsNumber="1" containsInteger="1" minValue="0" maxValue="30"/>
    </cacheField>
    <cacheField name="PROGRAM MAY" numFmtId="4">
      <sharedItems containsSemiMixedTypes="0" containsString="0" containsNumber="1" containsInteger="1" minValue="0" maxValue="31"/>
    </cacheField>
    <cacheField name="PROGRAM JUN" numFmtId="4">
      <sharedItems containsSemiMixedTypes="0" containsString="0" containsNumber="1" containsInteger="1" minValue="0" maxValue="30"/>
    </cacheField>
    <cacheField name="PROGRAM JUL" numFmtId="4">
      <sharedItems containsSemiMixedTypes="0" containsString="0" containsNumber="1" containsInteger="1" minValue="0" maxValue="31"/>
    </cacheField>
    <cacheField name="PROGRAM AGO" numFmtId="4">
      <sharedItems containsSemiMixedTypes="0" containsString="0" containsNumber="1" containsInteger="1" minValue="0" maxValue="31"/>
    </cacheField>
    <cacheField name="PROGRAM SET" numFmtId="4">
      <sharedItems containsSemiMixedTypes="0" containsString="0" containsNumber="1" containsInteger="1" minValue="0" maxValue="30"/>
    </cacheField>
    <cacheField name="PROGRAM OCT" numFmtId="4">
      <sharedItems containsSemiMixedTypes="0" containsString="0" containsNumber="1" containsInteger="1" minValue="0" maxValue="31"/>
    </cacheField>
    <cacheField name="PROGRAM NOV" numFmtId="4">
      <sharedItems containsSemiMixedTypes="0" containsString="0" containsNumber="1" containsInteger="1" minValue="0" maxValue="30"/>
    </cacheField>
    <cacheField name="PROGRAM DIC" numFmtId="4">
      <sharedItems containsSemiMixedTypes="0" containsString="0" containsNumber="1" containsInteger="1" minValue="0" maxValue="31"/>
    </cacheField>
    <cacheField name="PROGRAM Total" numFmtId="4">
      <sharedItems containsSemiMixedTypes="0" containsString="0" containsNumber="1" containsInteger="1" minValue="1" maxValue="365"/>
    </cacheField>
    <cacheField name="EJECUCIÓN ENE" numFmtId="4">
      <sharedItems containsSemiMixedTypes="0" containsString="0" containsNumber="1" containsInteger="1" minValue="0" maxValue="31"/>
    </cacheField>
    <cacheField name="EJECUCIÓN FEB" numFmtId="4">
      <sharedItems containsSemiMixedTypes="0" containsString="0" containsNumber="1" containsInteger="1" minValue="0" maxValue="28"/>
    </cacheField>
    <cacheField name="EJECUCIÓN MAR" numFmtId="4">
      <sharedItems containsSemiMixedTypes="0" containsString="0" containsNumber="1" containsInteger="1" minValue="0" maxValue="31"/>
    </cacheField>
    <cacheField name="EJECUCIÓN ABR" numFmtId="4">
      <sharedItems containsSemiMixedTypes="0" containsString="0" containsNumber="1" containsInteger="1" minValue="0" maxValue="30"/>
    </cacheField>
    <cacheField name="EJECUCIÓN MAY" numFmtId="4">
      <sharedItems containsSemiMixedTypes="0" containsString="0" containsNumber="1" containsInteger="1" minValue="0" maxValue="31"/>
    </cacheField>
    <cacheField name="EJECUCIÓN JUN" numFmtId="4">
      <sharedItems containsSemiMixedTypes="0" containsString="0" containsNumber="1" containsInteger="1" minValue="0" maxValue="30"/>
    </cacheField>
    <cacheField name="EJECUCIÓN JUL" numFmtId="4">
      <sharedItems containsSemiMixedTypes="0" containsString="0" containsNumber="1" containsInteger="1" minValue="0" maxValue="31"/>
    </cacheField>
    <cacheField name="EJECUCIÓN AGO" numFmtId="4">
      <sharedItems containsSemiMixedTypes="0" containsString="0" containsNumber="1" containsInteger="1" minValue="0" maxValue="31"/>
    </cacheField>
    <cacheField name="EJECUCIÓN SET" numFmtId="4">
      <sharedItems containsSemiMixedTypes="0" containsString="0" containsNumber="1" containsInteger="1" minValue="0" maxValue="30"/>
    </cacheField>
    <cacheField name="EJECUCIÓN OCT" numFmtId="4">
      <sharedItems containsSemiMixedTypes="0" containsString="0" containsNumber="1" containsInteger="1" minValue="0" maxValue="0"/>
    </cacheField>
    <cacheField name="EJECUCIÓN NOV" numFmtId="4">
      <sharedItems containsSemiMixedTypes="0" containsString="0" containsNumber="1" containsInteger="1" minValue="0" maxValue="0"/>
    </cacheField>
    <cacheField name="EJECUCIÓN DIC" numFmtId="4">
      <sharedItems containsSemiMixedTypes="0" containsString="0" containsNumber="1" containsInteger="1" minValue="0" maxValue="0"/>
    </cacheField>
    <cacheField name="EJECUCIÓN Total" numFmtId="4">
      <sharedItems containsSemiMixedTypes="0" containsString="0" containsNumber="1" containsInteger="1" minValue="0" maxValue="2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n v="97"/>
    <x v="0"/>
    <s v="Gestión de cumplimiento de objetivos y metas"/>
    <s v="GESTIÓN DE CUMPLIMIENTO DE OBJETIVOS Y METAS DEL PROCESO DE GESTIÓN DE LA INVESTIGACIÓN, DESARROLLO E INNOVACIÓN METEOROLÓGICA Y AMBIENTAL ATMOSFÉRICO"/>
    <s v="REPORTE"/>
    <s v="Asistencia administrativa para la conducción del proceso de gestión de la investigación, desarrollo e innovación meteorológica y ambiental atmosférico"/>
    <s v="INFORME"/>
    <s v="DMA"/>
    <n v="0"/>
    <n v="1"/>
    <n v="0"/>
    <n v="1"/>
    <n v="0"/>
    <n v="1"/>
    <n v="0"/>
    <n v="1"/>
    <n v="0"/>
    <n v="1"/>
    <n v="0"/>
    <n v="1"/>
    <n v="6"/>
    <n v="0"/>
    <n v="1"/>
    <n v="0"/>
    <n v="1"/>
    <n v="0"/>
    <n v="1"/>
    <n v="0"/>
    <n v="1"/>
    <n v="0"/>
    <n v="0"/>
    <n v="0"/>
    <n v="0"/>
    <n v="4"/>
  </r>
  <r>
    <n v="31"/>
    <x v="1"/>
    <s v="Gestión de cumplimiento de objetivos y metas"/>
    <s v="GESTIÓN DE CUMPLIMIENTO DE OBJETIVOS Y METAS DEL PROCESO DE GESTIÓN DE LA VIGILANCIA Y PRONÓSTICO METEOROLÓGICO Y AMBIENTAL ATMOSFÉRICO"/>
    <s v="REPORTE"/>
    <s v="Asistencia administrativa para la conducción del proceso de gestión de la vigilancia y pronóstico meteorológico y ambiental atmosférico"/>
    <s v="REPORTE"/>
    <s v="DMA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97"/>
    <x v="0"/>
    <s v="Gestión de cumplimiento de objetivos y metas"/>
    <s v="GESTIÓN DE CUMPLIMIENTO DE OBJETIVOS Y METAS DEL PROCESO DE GESTIÓN DE LA INVESTIGACIÓN, DESARROLLO E INNOVACIÓN METEOROLÓGICA Y AMBIENTAL ATMOSFÉRICO"/>
    <s v="REPORTE"/>
    <s v="Conducción del proceso de gestión de la investigación, desarrollo e innovación meteorológica y ambiental atmosférico"/>
    <s v="INFORME"/>
    <s v="DMA"/>
    <n v="0"/>
    <n v="0"/>
    <n v="0"/>
    <n v="0"/>
    <n v="0"/>
    <n v="1"/>
    <n v="0"/>
    <n v="0"/>
    <n v="0"/>
    <n v="0"/>
    <n v="0"/>
    <n v="1"/>
    <n v="2"/>
    <n v="0"/>
    <n v="0"/>
    <n v="0"/>
    <n v="0"/>
    <n v="0"/>
    <n v="1"/>
    <n v="0"/>
    <n v="0"/>
    <n v="0"/>
    <n v="0"/>
    <n v="0"/>
    <n v="0"/>
    <n v="1"/>
  </r>
  <r>
    <n v="31"/>
    <x v="1"/>
    <s v="Gestión de cumplimiento de objetivos y metas"/>
    <s v="GESTIÓN DE CUMPLIMIENTO DE OBJETIVOS Y METAS DEL PROCESO DE GESTIÓN DE LA VIGILANCIA Y PRONÓSTICO METEOROLÓGICO Y AMBIENTAL ATMOSFÉRICO"/>
    <s v="REPORTE"/>
    <s v="Conducción del proceso de gestión de la vigilancia y pronóstico meteorológico y ambiental atmosférico"/>
    <s v="INFORME"/>
    <s v="DMA"/>
    <n v="0"/>
    <n v="0"/>
    <n v="0"/>
    <n v="0"/>
    <n v="0"/>
    <n v="1"/>
    <n v="0"/>
    <n v="0"/>
    <n v="0"/>
    <n v="0"/>
    <n v="0"/>
    <n v="1"/>
    <n v="2"/>
    <n v="0"/>
    <n v="0"/>
    <n v="0"/>
    <n v="0"/>
    <n v="0"/>
    <n v="1"/>
    <n v="0"/>
    <n v="0"/>
    <n v="0"/>
    <n v="0"/>
    <n v="0"/>
    <n v="0"/>
    <n v="1"/>
  </r>
  <r>
    <n v="97"/>
    <x v="0"/>
    <s v="Gestión de cumplimiento de objetivos y metas"/>
    <s v="GESTIÓN DE CUMPLIMIENTO DE OBJETIVOS Y METAS DEL PROCESO DE GESTIÓN DE LA INVESTIGACIÓN, DESARROLLO E INNOVACIÓN METEOROLÓGICA Y AMBIENTAL ATMOSFÉRICO"/>
    <s v="REPORTE"/>
    <s v="Coordinación y Seguimiento al proceso de gestión y ejecución de los proyectos, la investigación, desarrollo e innovación meteorológica y ambiental atmosférica"/>
    <s v="INFORME"/>
    <s v="DMA"/>
    <n v="0"/>
    <n v="1"/>
    <n v="0"/>
    <n v="1"/>
    <n v="0"/>
    <n v="1"/>
    <n v="0"/>
    <n v="1"/>
    <n v="0"/>
    <n v="1"/>
    <n v="0"/>
    <n v="1"/>
    <n v="6"/>
    <n v="0"/>
    <n v="1"/>
    <n v="0"/>
    <n v="1"/>
    <n v="0"/>
    <n v="1"/>
    <n v="0"/>
    <n v="1"/>
    <n v="0"/>
    <n v="0"/>
    <n v="0"/>
    <n v="0"/>
    <n v="4"/>
  </r>
  <r>
    <n v="31"/>
    <x v="2"/>
    <s v="Asesoramiento y participación técnica científica"/>
    <s v="DESARROLLO E IMPLEMENTACIÓN DE HERRAMIENTAS Y METODOLOGÍAS METEOROLÓGICAS Y AMBIENTAL ATMOSFÉRICAS"/>
    <s v="DOCUMENTO TECNICO"/>
    <s v="Actualización del Plan de Capacitación en el marco de los proyectos regionales de cooperación"/>
    <s v="DOCUMETO TÉCNICO"/>
    <s v="DMA"/>
    <n v="0"/>
    <n v="0"/>
    <n v="0"/>
    <n v="0"/>
    <n v="0"/>
    <n v="1"/>
    <n v="0"/>
    <n v="0"/>
    <n v="0"/>
    <n v="0"/>
    <n v="0"/>
    <n v="1"/>
    <n v="2"/>
    <n v="0"/>
    <n v="0"/>
    <n v="0"/>
    <n v="0"/>
    <n v="0"/>
    <n v="1"/>
    <n v="0"/>
    <n v="0"/>
    <n v="0"/>
    <n v="0"/>
    <n v="0"/>
    <n v="0"/>
    <n v="1"/>
  </r>
  <r>
    <n v="34"/>
    <x v="3"/>
    <s v="Difusión de productos y servicios"/>
    <s v="DIFUSIÓN DE PRODUCTOS Y SERVICIOS DE LA DMA DEL SENAMHI"/>
    <s v="INFORME"/>
    <s v="Asesoramiento técnico a usuarios públicos y privados, y atención a los medios de comunicación, delegaciones, y otros - SEA"/>
    <s v="REPORTE"/>
    <s v="SEA"/>
    <n v="0"/>
    <n v="0"/>
    <n v="0"/>
    <n v="0"/>
    <n v="0"/>
    <n v="1"/>
    <n v="0"/>
    <n v="0"/>
    <n v="0"/>
    <n v="0"/>
    <n v="0"/>
    <n v="1"/>
    <n v="2"/>
    <n v="0"/>
    <n v="0"/>
    <n v="0"/>
    <n v="0"/>
    <n v="0"/>
    <n v="1"/>
    <n v="0"/>
    <n v="0"/>
    <n v="0"/>
    <n v="0"/>
    <n v="0"/>
    <n v="0"/>
    <n v="1"/>
  </r>
  <r>
    <n v="78"/>
    <x v="4"/>
    <s v="Calidad del aire"/>
    <s v="VIGILANCIA DE CALIDAD DEL AIRE"/>
    <s v="DOCUMENTO TECNICO"/>
    <s v="Coordinación técnica para el Monitoreo ambiental en Loreto"/>
    <s v="REPORTE"/>
    <s v="SEA"/>
    <n v="0"/>
    <n v="0"/>
    <n v="0"/>
    <n v="1"/>
    <n v="0"/>
    <n v="0"/>
    <n v="1"/>
    <n v="0"/>
    <n v="0"/>
    <n v="1"/>
    <n v="0"/>
    <n v="0"/>
    <n v="3"/>
    <n v="0"/>
    <n v="0"/>
    <n v="0"/>
    <n v="1"/>
    <n v="0"/>
    <n v="0"/>
    <n v="1"/>
    <n v="0"/>
    <n v="0"/>
    <n v="0"/>
    <n v="0"/>
    <n v="0"/>
    <n v="2"/>
  </r>
  <r>
    <n v="78"/>
    <x v="4"/>
    <s v="Calidad del aire"/>
    <s v="VIGILANCIA DE CALIDAD DEL AIRE"/>
    <s v="DOCUMENTO TECNICO"/>
    <s v="Diagnostico de la Estación de la Vigilancia Atmosférica Marcapomacocha"/>
    <s v="DOCUMENTO TÉCNICO"/>
    <s v="SEA"/>
    <n v="0"/>
    <n v="0"/>
    <n v="0"/>
    <n v="0"/>
    <n v="0"/>
    <n v="1"/>
    <n v="0"/>
    <n v="0"/>
    <n v="0"/>
    <n v="0"/>
    <n v="0"/>
    <n v="1"/>
    <n v="2"/>
    <n v="0"/>
    <n v="0"/>
    <n v="0"/>
    <n v="0"/>
    <n v="0"/>
    <n v="1"/>
    <n v="0"/>
    <n v="0"/>
    <n v="0"/>
    <n v="0"/>
    <n v="0"/>
    <n v="0"/>
    <n v="1"/>
  </r>
  <r>
    <n v="78"/>
    <x v="5"/>
    <s v="Calidad del aire"/>
    <s v="DIFUSIÓN DE INFORMACIÓN DE VIGILANCIA Y PRONÓSTICO DE CALIDAD DEL AIRE"/>
    <s v="INSTITUCION"/>
    <s v="Difusión de información de vigilancia y pronóstico de calidad del aire"/>
    <s v="INSTITUCIÓN"/>
    <s v="SEA"/>
    <n v="15"/>
    <n v="15"/>
    <n v="15"/>
    <n v="15"/>
    <n v="15"/>
    <n v="15"/>
    <n v="15"/>
    <n v="15"/>
    <n v="15"/>
    <n v="15"/>
    <n v="15"/>
    <n v="15"/>
    <n v="180"/>
    <n v="15"/>
    <n v="15"/>
    <n v="15"/>
    <n v="15"/>
    <n v="15"/>
    <n v="15"/>
    <n v="15"/>
    <n v="15"/>
    <n v="15"/>
    <n v="0"/>
    <n v="0"/>
    <n v="0"/>
    <n v="135"/>
  </r>
  <r>
    <n v="78"/>
    <x v="6"/>
    <s v="Calidad del aire"/>
    <s v="ELABORACIÓN DE ESTUDIOS DE CALIDAD DEL AIRE ELABORADOS PARA LA CARACTERIZACIÓN DE LOS CONTAMINANTES ATMOSFÉRICOS"/>
    <s v="ESTUDIO"/>
    <s v="Elaboración de estudios para la caracterización de las variables ambientales atmosféricas - Parte 1"/>
    <s v="ESTUDIO"/>
    <s v="SEA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78"/>
    <x v="7"/>
    <s v="Calidad del aire"/>
    <s v="ELABORACIÓN DE INVESTIGACIONES DE CALIDAD DEL AIRE"/>
    <s v="INVESTIGACION"/>
    <s v="Elaboración de investigaciones sobre la influencia del tránsito vehicular en la calidad del aire - Parte 1 "/>
    <s v="INVESTIGACIÓN"/>
    <s v="SEA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31"/>
    <x v="2"/>
    <s v="HERRAMIENTAS Y METODOLOGÍAS METEOROLÓGICAS Y AMBIENTAL ATMOSFÉRICAS"/>
    <s v="DESARROLLO E IMPLEMENTACIÓN DE HERRAMIENTAS Y METODOLOGÍAS METEOROLÓGICAS Y AMBIENTAL ATMOSFÉRICAS"/>
    <s v="DOCUMENTO TECNICO"/>
    <s v="Elaboración de Notas Técnicas y/o Protocolos en ambiental atmosferico"/>
    <s v="DOCUMENTO TÉCNICO"/>
    <s v="SEA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78"/>
    <x v="6"/>
    <s v="Calidad del aire"/>
    <s v="ELABORACIÓN DE ESTUDIOS DE CALIDAD DEL AIRE ELABORADOS PARA LA CARACTERIZACIÓN DE LOS CONTAMINANTES ATMOSFÉRICOS"/>
    <s v="ESTUDIO"/>
    <s v="Elaboración de opiniones técnicas a estudios sobre Modelamiento de Dispersión de Contaminantes Atmosféricos"/>
    <s v="DOCUMENTO TÉCNICO"/>
    <s v="SEA"/>
    <n v="0"/>
    <n v="0"/>
    <n v="0"/>
    <n v="1"/>
    <n v="0"/>
    <n v="0"/>
    <n v="1"/>
    <n v="0"/>
    <n v="0"/>
    <n v="1"/>
    <n v="0"/>
    <n v="0"/>
    <n v="3"/>
    <n v="0"/>
    <n v="0"/>
    <n v="0"/>
    <n v="1"/>
    <n v="0"/>
    <n v="0"/>
    <n v="1"/>
    <n v="0"/>
    <n v="0"/>
    <n v="0"/>
    <n v="0"/>
    <n v="0"/>
    <n v="2"/>
  </r>
  <r>
    <n v="78"/>
    <x v="8"/>
    <s v="Calidad del aire"/>
    <s v="ELABORACIÓN DE PRONÓSTICOS DE CALIDAD DEL AIRE"/>
    <s v="DOCUMENTO TECNICO"/>
    <s v="Elaboración de pronóstico de calidad del aire y su verificación"/>
    <s v="PRONÓSTICO"/>
    <s v="SEA"/>
    <n v="31"/>
    <n v="28"/>
    <n v="31"/>
    <n v="30"/>
    <n v="31"/>
    <n v="30"/>
    <n v="31"/>
    <n v="31"/>
    <n v="30"/>
    <n v="31"/>
    <n v="30"/>
    <n v="31"/>
    <n v="365"/>
    <n v="31"/>
    <n v="28"/>
    <n v="31"/>
    <n v="30"/>
    <n v="31"/>
    <n v="30"/>
    <n v="31"/>
    <n v="31"/>
    <n v="30"/>
    <n v="0"/>
    <n v="0"/>
    <n v="0"/>
    <n v="273"/>
  </r>
  <r>
    <n v="3"/>
    <x v="9"/>
    <s v="Gestión de desastres"/>
    <s v="ELABORACIÓN DE ESTUDIOS PARA GESTIÓN DE RIESGO DE DESASTRES - SEA"/>
    <s v="ESTUDIO"/>
    <s v="Elaboración del estudios para la provisión de información de radiación - Parte 1"/>
    <s v="ESTUDIO"/>
    <s v="SEA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78"/>
    <x v="4"/>
    <s v="Calidad del aire"/>
    <s v="VIGILANCIA DE CALIDAD DEL AIRE"/>
    <s v="DOCUMENTO TECNICO"/>
    <s v="Monitoreo de condiciones ambientales atmosféricas asociados a la ocurrencia de incendios urbanos y forestales"/>
    <s v="DOCUMENTO TÉCNICO"/>
    <s v="SEA"/>
    <n v="0"/>
    <n v="1"/>
    <n v="0"/>
    <n v="1"/>
    <n v="0"/>
    <n v="1"/>
    <n v="0"/>
    <n v="1"/>
    <n v="0"/>
    <n v="1"/>
    <n v="0"/>
    <n v="1"/>
    <n v="6"/>
    <n v="0"/>
    <n v="1"/>
    <n v="0"/>
    <n v="1"/>
    <n v="0"/>
    <n v="1"/>
    <n v="0"/>
    <n v="1"/>
    <n v="0"/>
    <n v="0"/>
    <n v="0"/>
    <n v="0"/>
    <n v="4"/>
  </r>
  <r>
    <n v="99"/>
    <x v="10"/>
    <s v="Vigilancia Meteorológica"/>
    <s v="VIGILANCIA METEOROLÓGICA, CLIMÁTICA Y AMBIENTAL ATMOSFÉRICA"/>
    <s v="DOCUMENTO TECNICO"/>
    <s v="Monitoreo de la atmósfera global"/>
    <s v="DOCUMENTO TÉCNICO"/>
    <s v="SEA"/>
    <n v="0"/>
    <n v="0"/>
    <n v="0"/>
    <n v="1"/>
    <n v="0"/>
    <n v="0"/>
    <n v="1"/>
    <n v="0"/>
    <n v="0"/>
    <n v="1"/>
    <n v="0"/>
    <n v="0"/>
    <n v="3"/>
    <n v="0"/>
    <n v="0"/>
    <n v="0"/>
    <n v="1"/>
    <n v="0"/>
    <n v="0"/>
    <n v="1"/>
    <n v="0"/>
    <n v="0"/>
    <n v="0"/>
    <n v="0"/>
    <n v="0"/>
    <n v="2"/>
  </r>
  <r>
    <n v="78"/>
    <x v="4"/>
    <s v="Calidad del aire"/>
    <s v="VIGILANCIA DE CALIDAD DEL AIRE"/>
    <s v="DOCUMENTO TECNICO"/>
    <s v="Monitoreo de la calidad de agua de lluvia"/>
    <s v="DOCUMENTO TÉCNICO"/>
    <s v="SEA"/>
    <n v="0"/>
    <n v="0"/>
    <n v="0"/>
    <n v="1"/>
    <n v="0"/>
    <n v="0"/>
    <n v="1"/>
    <n v="0"/>
    <n v="0"/>
    <n v="1"/>
    <n v="0"/>
    <n v="0"/>
    <n v="3"/>
    <n v="0"/>
    <n v="0"/>
    <n v="0"/>
    <n v="1"/>
    <n v="0"/>
    <n v="0"/>
    <n v="1"/>
    <n v="0"/>
    <n v="0"/>
    <n v="0"/>
    <n v="0"/>
    <n v="0"/>
    <n v="2"/>
  </r>
  <r>
    <n v="78"/>
    <x v="4"/>
    <s v="Calidad del aire"/>
    <s v="VIGILANCIA DE CALIDAD DEL AIRE"/>
    <s v="DOCUMENTO TECNICO"/>
    <s v="Monitoreo de la calidad del aire"/>
    <s v="DOCUMENTO TÉCNICO"/>
    <s v="SEA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78"/>
    <x v="11"/>
    <s v="Calidad del aire"/>
    <s v="MONITOREO DE LA CALIDAD DEL AIRE EN EL DISTRITO DE MARCAPOMACOCHA"/>
    <s v="DOCUMENTO TECNICO"/>
    <s v="Monitoreo de la calidad del aire en el distrito de Marcapomacocha"/>
    <s v="DOCUMENTO TÉCNICO"/>
    <s v="SEA"/>
    <n v="0"/>
    <n v="0"/>
    <n v="0"/>
    <n v="1"/>
    <n v="0"/>
    <n v="0"/>
    <n v="1"/>
    <n v="0"/>
    <n v="0"/>
    <n v="1"/>
    <n v="0"/>
    <n v="0"/>
    <n v="3"/>
    <n v="0"/>
    <n v="0"/>
    <n v="0"/>
    <n v="1"/>
    <n v="0"/>
    <n v="0"/>
    <n v="1"/>
    <n v="0"/>
    <n v="0"/>
    <n v="0"/>
    <n v="0"/>
    <n v="0"/>
    <n v="2"/>
  </r>
  <r>
    <n v="99"/>
    <x v="10"/>
    <s v="Vigilancia Meteorológica"/>
    <s v="VIGILANCIA METEOROLÓGICA, CLIMÁTICA Y AMBIENTAL ATMOSFÉRICA"/>
    <s v="DOCUMENTO TECNICO"/>
    <s v="Monitoreo de la capa de ozono"/>
    <s v="DOCUMENTO TÉCNICO"/>
    <s v="SEA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99"/>
    <x v="10"/>
    <s v="Vigilancia Meteorológica"/>
    <s v="VIGILANCIA METEOROLÓGICA, CLIMÁTICA Y AMBIENTAL ATMOSFÉRICA"/>
    <s v="DOCUMENTO TECNICO"/>
    <s v="Monitoreo de radiación ultravioleta"/>
    <s v="DOCUMENTO TÉCNICO"/>
    <s v="SEA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103"/>
    <x v="12"/>
    <s v="Asesoramiento y participación técnica científica"/>
    <s v="ASESORAMIENTO Y PARTICIPACIÓN TÉCNICA CIENTÍFICA EN ASUNTOS METEOROLÓGICOS, CLIMÁTICOS Y AMBIENTALES ATMOSFÉRICOS, NACIONALES E INTERNACIONALES"/>
    <s v="REPORTE"/>
    <s v="Participación técnica científica en asuntos meteorológicos, climáticos y ambientales atmosféricos, nacionales e internacionales (OMM, otros) SEA"/>
    <s v="REPORTE"/>
    <s v="SEA"/>
    <n v="0"/>
    <n v="0"/>
    <n v="0"/>
    <n v="0"/>
    <n v="0"/>
    <n v="1"/>
    <n v="0"/>
    <n v="0"/>
    <n v="0"/>
    <n v="0"/>
    <n v="0"/>
    <n v="1"/>
    <n v="2"/>
    <n v="0"/>
    <n v="0"/>
    <n v="0"/>
    <n v="0"/>
    <n v="0"/>
    <n v="1"/>
    <n v="0"/>
    <n v="0"/>
    <n v="0"/>
    <n v="0"/>
    <n v="0"/>
    <n v="0"/>
    <n v="1"/>
  </r>
  <r>
    <n v="98"/>
    <x v="13"/>
    <s v="Productos y servicios"/>
    <s v="GENERACIÓN DE PRODUCTOS Y SERVICIOS METEOROLÓGICOS, CLIMÁTICOS Y AMBIENTAL ATMOSFÉRICOS A MEDIDA"/>
    <s v="DOCUMENTO TECNICO"/>
    <s v="Provisión de productos y servicios a través de convenios de cooperación interinstitucional en temas ambientales atmosféricos"/>
    <s v="REPORTE"/>
    <s v="SEA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98"/>
    <x v="13"/>
    <s v="Productos y servicios"/>
    <s v="GENERACIÓN DE PRODUCTOS Y SERVICIOS METEOROLÓGICOS, CLIMÁTICOS Y AMBIENTAL ATMOSFÉRICOS A MEDIDA"/>
    <s v="DOCUMENTO TECNICO"/>
    <s v="Provisión de productos y servicios mejorados para usuarios públicos y privados - SEA"/>
    <s v="REPORTE"/>
    <s v="SEA"/>
    <n v="0"/>
    <n v="0"/>
    <n v="0"/>
    <n v="0"/>
    <n v="0"/>
    <n v="1"/>
    <n v="0"/>
    <n v="0"/>
    <n v="0"/>
    <n v="0"/>
    <n v="1"/>
    <n v="0"/>
    <n v="2"/>
    <n v="0"/>
    <n v="0"/>
    <n v="0"/>
    <n v="0"/>
    <n v="0"/>
    <n v="1"/>
    <n v="0"/>
    <n v="0"/>
    <n v="0"/>
    <n v="0"/>
    <n v="0"/>
    <n v="0"/>
    <n v="1"/>
  </r>
  <r>
    <n v="78"/>
    <x v="4"/>
    <s v="Calidad del aire"/>
    <s v="VIGILANCIA DE CALIDAD DEL AIRE"/>
    <s v="DOCUMENTO TECNICO"/>
    <s v="Reporte de operatividad y calibración de espectrofotómetro Dobson en Marcapomacocha"/>
    <s v="DOCUMENTO TÉCNICO"/>
    <s v="SEA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78"/>
    <x v="4"/>
    <s v="Calidad del aire"/>
    <s v="VIGILANCIA DE CALIDAD DEL AIRE"/>
    <s v="DOCUMENTO TECNICO"/>
    <s v="Vigilancia Ambiental Atmosférica con imágenes satelitales"/>
    <s v="DOCUMENTO TÉCNICO"/>
    <s v="SEA"/>
    <n v="0"/>
    <n v="0"/>
    <n v="0"/>
    <n v="1"/>
    <n v="0"/>
    <n v="0"/>
    <n v="1"/>
    <n v="0"/>
    <n v="0"/>
    <n v="1"/>
    <n v="0"/>
    <n v="0"/>
    <n v="3"/>
    <n v="0"/>
    <n v="0"/>
    <n v="0"/>
    <n v="1"/>
    <n v="0"/>
    <n v="0"/>
    <n v="1"/>
    <n v="0"/>
    <n v="0"/>
    <n v="0"/>
    <n v="0"/>
    <n v="0"/>
    <n v="2"/>
  </r>
  <r>
    <n v="102"/>
    <x v="14"/>
    <s v="Enandes"/>
    <s v="PROYECTO ENANDES (PERU):  2.5 Dar respuesta a los diversos requisitos del Marco Nacional para los Servicios Climáticos"/>
    <s v="DOCUMENTO TÉCNICO"/>
    <s v="2.5.4 a) Diseño e implementación de interacciones estructuradas para el Diseño del Plan Estratégico de un MNSC"/>
    <s v="DOCUMENTO"/>
    <s v="ENANDES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1"/>
  </r>
  <r>
    <n v="102"/>
    <x v="15"/>
    <s v="Enandes"/>
    <s v="PROYECTO ENANDES (PERU): 3.6 Obtener enseñanzas útiles sobre las medidas de adaptación a escala local gracias a un proceso dinámico de trazabilidad del proyecto."/>
    <s v="DOCUMENTO TÉCNICO"/>
    <s v="3.6.5 a) Evaluación de la Línea de Salida de los Indicadores propuestos"/>
    <s v="DOCUMENTO"/>
    <s v="ENANDES"/>
    <n v="0"/>
    <n v="0"/>
    <n v="0"/>
    <n v="0"/>
    <n v="1"/>
    <n v="1"/>
    <n v="0"/>
    <n v="0"/>
    <n v="0"/>
    <n v="0"/>
    <n v="0"/>
    <n v="0"/>
    <n v="2"/>
    <n v="0"/>
    <n v="0"/>
    <n v="0"/>
    <n v="0"/>
    <n v="1"/>
    <n v="1"/>
    <n v="0"/>
    <n v="0"/>
    <n v="0"/>
    <n v="0"/>
    <n v="0"/>
    <n v="0"/>
    <n v="2"/>
  </r>
  <r>
    <n v="103"/>
    <x v="15"/>
    <s v="Enandes"/>
    <s v="PROYECTO ENANDES (PERU): 3.6 Obtener enseñanzas útiles sobre las medidas de adaptación a escala local gracias a un proceso dinámico de trazabilidad del proyecto."/>
    <s v="DOCUMENTO TÉCNICO"/>
    <s v="3.6.5 b)Talleres de Cierre"/>
    <s v="INFORME"/>
    <s v="ENANDES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1"/>
  </r>
  <r>
    <n v="103"/>
    <x v="15"/>
    <s v="Enandes"/>
    <s v="PROYECTO ENANDES (PERU): 3.6 Obtener enseñanzas útiles sobre las medidas de adaptación a escala local gracias a un proceso dinámico de trazabilidad del proyecto."/>
    <s v="DOCUMENTO TÉCNICO"/>
    <s v="3.6.6 a) Documentos Técnicos sobre el proyecto"/>
    <s v="DOCUMENTO"/>
    <s v="ENANDES"/>
    <n v="0"/>
    <n v="0"/>
    <n v="0"/>
    <n v="0"/>
    <n v="1"/>
    <n v="4"/>
    <n v="0"/>
    <n v="0"/>
    <n v="0"/>
    <n v="0"/>
    <n v="0"/>
    <n v="0"/>
    <n v="5"/>
    <n v="0"/>
    <n v="0"/>
    <n v="0"/>
    <n v="0"/>
    <n v="1"/>
    <n v="4"/>
    <n v="0"/>
    <n v="0"/>
    <n v="0"/>
    <n v="0"/>
    <n v="0"/>
    <n v="0"/>
    <n v="5"/>
  </r>
  <r>
    <n v="102"/>
    <x v="16"/>
    <s v="Enandes+"/>
    <s v="PROYECTO ENANDES+ (PERU): MEJORAMIENTO DE LA CARACTERIZACIÓN Y COMUNICACIÓN DE LOS ESTADOS  HISTÓRICOS Y RECIENTES DE AMENAZAS HIDROCLIMÁTICAS"/>
    <s v="INFORME"/>
    <s v="1.2.1.b) Codiseño de servicios TAC asociados a incendios forestales y sequías en el Altiplano"/>
    <s v="INFORME TÉCNICO"/>
    <s v="ENANDES+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1"/>
  </r>
  <r>
    <n v="102"/>
    <x v="16"/>
    <s v="Enandes+"/>
    <s v="PROYECTO ENANDES+ (PERU): MEJORAMIENTO DE LA CARACTERIZACIÓN Y COMUNICACIÓN DE LOS ESTADOS  HISTÓRICOS Y RECIENTES DE AMENAZAS HIDROCLIMÁTICAS"/>
    <s v="INFORME"/>
    <s v="1.2.1.d) Publicación de artículo científico relacionado a incendios forestales e índices de sequías"/>
    <s v="INFORME TÉCNICO"/>
    <s v="ENANDES+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0"/>
    <n v="1"/>
  </r>
  <r>
    <n v="103"/>
    <x v="16"/>
    <s v="Enandes+"/>
    <s v="PROYECTO ENANDES+ (PERU): MEJORAMIENTO DE LA CARACTERIZACIÓN Y COMUNICACIÓN DE LOS ESTADOS  HISTÓRICOS Y RECIENTES DE AMENAZAS HIDROCLIMÁTICAS"/>
    <s v="INFORME"/>
    <s v="1.2.2.a) Actualización de la caracterización climática en la región Puno"/>
    <s v="DOCUMENTO TÉCNICO"/>
    <s v="ENANDES+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0"/>
    <n v="1"/>
  </r>
  <r>
    <n v="103"/>
    <x v="17"/>
    <s v="Enandes+"/>
    <s v="PROYECTO ENANDES+ (PERU): CODISEÑO DE PLANES Y ACCIONES DE PREPARACIÓN Y ADAPTACIÓN ADECUADOS A CONTEXTOS LOCALES PARA REDUCIR LOS IMPACTOS NEGATIVOS DE LA VARIABILIDAD Y EL CAMBIO CLIMÁTICO"/>
    <s v="DOCUMENTO TÉCNICO"/>
    <s v="3.3.2.a) Identificar y sistematizar prácticas locales que utilicen servicios TAC (sequias e IF) en Puno"/>
    <s v="INFORME TÉCNICO"/>
    <s v="ENANDES+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0"/>
    <n v="1"/>
  </r>
  <r>
    <n v="102"/>
    <x v="16"/>
    <s v="Enandes+"/>
    <s v="PROYECTO ENANDES+ (PERU): MEJORAMIENTO DE LA PRODUCCIÓN Y DIFUSIÓN DE PREDICCIONES  SUBESTACIONALES A ESTACIONALES (S2S) DEL CLIMA REGIONAL Y LAS CONDICIONES HIDROLÓGICAS"/>
    <s v="DOCUMENTO TÉCNICO"/>
    <s v="1.3.2.a) Codiseño y mejora del IDESEP para hacer interoperable los pronósticos semanales (S2S)"/>
    <s v="INFORME TÉCNICO"/>
    <s v="ENANDES+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0"/>
    <n v="1"/>
  </r>
  <r>
    <n v="102"/>
    <x v="18"/>
    <s v="Enandes+"/>
    <s v="PROYECTO ENANDES+ (PERU): MEJORAMIENTO DE LA ACCESIBILIDAD, LA COMPRENSIÓN Y EL USO DE LA INFORMACIÓN TAC PARA LA GESTIÓN DE RIESGOS HIDROCLIMÁTICOS Y LA ADAPTACIÓN ENTRE ACTORES Y COMUNIDADES LOCALES - DMA"/>
    <s v="DOCUMENTO TÉCNICO"/>
    <s v="3.2.2.c) Facilitación local para la implementación de espacios de diálogo sobre servicios TAC en el Rímac "/>
    <s v="INFORME TÉCNICO"/>
    <s v="ENANDES+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0"/>
    <n v="1"/>
  </r>
  <r>
    <n v="103"/>
    <x v="17"/>
    <s v="Enandes+"/>
    <s v="PROYECTO ENANDES+ (PERU): CODISEÑO DE PLANES Y ACCIONES DE PREPARACIÓN Y ADAPTACIÓN ADECUADOS A CONTEXTOS LOCALES PARA REDUCIR LOS IMPACTOS NEGATIVOS DE LA VARIABILIDAD Y EL CAMBIO CLIMÁTICO"/>
    <s v="DOCUMENTO TÉCNICO"/>
    <s v="3.3.3.a) Proponer un prototipo de servicio TAC en Puno "/>
    <s v="INFORME TÉCNICO"/>
    <s v="ENANDES+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0"/>
    <n v="1"/>
  </r>
  <r>
    <n v="103"/>
    <x v="19"/>
    <s v="Enandes+"/>
    <s v="PROYECTO ENANDES+ (PERU): SEGUIMIENTO ACTIVO DEL PROYECTO PARA PROPORCIONAR LECCIONES ÚTILES SOBRE LAS ACCIONES DE ADAPTACIÓN LOCALES"/>
    <s v="DOCUMENTO TÉCNICO"/>
    <s v="3.5.3.a) Seguimiento de indicadores del proyecto 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19"/>
    <s v="Enandes+"/>
    <s v="PROYECTO ENANDES+ (PERU): SEGUIMIENTO ACTIVO DEL PROYECTO PARA PROPORCIONAR LECCIONES ÚTILES SOBRE LAS ACCIONES DE ADAPTACIÓN LOCALES"/>
    <s v="DOCUMENTO TÉCNICO"/>
    <s v="3.5.4.a) Reporte de condiciones habilitantes que aportan a la implementación de medidas de adaptación al CC "/>
    <s v="INFORME TÉCNICO"/>
    <s v="ENANDES+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0"/>
    <n v="1"/>
  </r>
  <r>
    <n v="102"/>
    <x v="20"/>
    <s v="Enandes+"/>
    <s v="PROYECTO ENANDES+ (PERU): DESARROLLO E IMPLEMENTACIÓN DE UN PLAN DE CAPACITACIÓN PARA SUBSANAR BRECHAS DE CAPACIDADES HUMANAS"/>
    <s v="DOCUMENTO TÉCNICO"/>
    <s v="4.1.1.a) Coordinación y seguimiento de las actividades relacionadas con el SST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3"/>
    <x v="20"/>
    <s v="Enandes+"/>
    <s v="PROYECTO ENANDES+ (PERU): DESARROLLO E IMPLEMENTACIÓN DE UN PLAN DE CAPACITACIÓN PARA SUBSANAR BRECHAS DE CAPACIDADES HUMANAS"/>
    <s v="DOCUMENTO TÉCNICO"/>
    <s v="4.1.1.b) Coordinación del SST SEB con los equipos de los SMHNs y los CRCs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3"/>
    <x v="21"/>
    <s v="Enandes+"/>
    <s v="PROYECTO ENANDES+ (PERU): COORDINACIÓN REGIONAL PARA LA ACTUALIZACIÓN DE SISTEMAS NACIONALES DE GESTIÓN DE DATOS CLIMÁTICOS E HIDROLÓGICOS Y BASES DE DATOS REGIONALES INTEROPERABLES"/>
    <s v="DOCUMENTO TÉCNICO"/>
    <s v="4.2.1.a) Coordinación NUREX: articulación interna y reuniones de trabajo con los equipos de las SMHN y CRC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22"/>
    <s v="Enandes+"/>
    <s v="PROYECTO ENANDES+ (PERU): FORTALECIMIENTO DE LAS CAPACIDADES NACIONALES DE MONITOREO Y PREDICCIÓN DEL CLIMA"/>
    <s v="DOCUMENTO TÉCNICO"/>
    <s v="4.3.1.c) Generación de servicios TAC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22"/>
    <s v="Enandes+"/>
    <s v="PROYECTO ENANDES+ (PERU): FORTALECIMIENTO DE LAS CAPACIDADES NACIONALES DE MONITOREO Y PREDICCIÓN DEL CLIMA"/>
    <s v="DOCUMENTO TÉCNICO"/>
    <s v="4.3.2.a) Complementar APP de SENAMHI con pronostico S2S 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3"/>
    <x v="23"/>
    <s v="Enandes+"/>
    <s v="PROYECTO ENANDES+ (PERU): FORTALECIMIENTO DE LAS CAPACIDADES DE PRODUCCIÓN Y DIFUSIÓN, Y LA ADOPCIÓN DE SERVICIOS TAC"/>
    <s v="DOCUMENTO TÉCNICO"/>
    <s v="4.4.1.c) Socialización de resultados en evento de presentación de estudios SEB de los SMHN y compartir resultados (workshop final)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23"/>
    <s v="Enandes+"/>
    <s v="PROYECTO ENANDES+ (PERU): FORTALECIMIENTO DE LAS CAPACIDADES DE PRODUCCIÓN Y DIFUSIÓN, Y LA ADOPCIÓN DE SERVICIOS TAC"/>
    <s v="DOCUMENTO TÉCNICO"/>
    <s v="4.4.1.d) Publicación de estudio SEB (diseño y diagramación)"/>
    <s v="DOCUMENTO TÉCNICO"/>
    <s v="ENANDES+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1"/>
  </r>
  <r>
    <n v="102"/>
    <x v="23"/>
    <s v="Enandes+"/>
    <s v="PROYECTO ENANDES+ (PERU): FORTALECIMIENTO DE LAS CAPACIDADES DE PRODUCCIÓN Y DIFUSIÓN, Y LA ADOPCIÓN DE SERVICIOS TAC"/>
    <s v="DOCUMENTO TÉCNICO"/>
    <s v="4.4.2.a) Informe de sistematización de buenas prácticas y lecciones aprendidas sobre los servicios TAC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3"/>
    <x v="24"/>
    <s v="Enandes+"/>
    <s v="PROYECTO ENANDES+ (PERU): CONVOCAR O ESTABLECER GRUPOS DE TRABAJO TÉCNICOS REGIONALES"/>
    <s v="DOCUMENTO TÉCNICO"/>
    <s v="4.5.2.b) Gestión de seguimiento administrativo nacional y regional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3"/>
    <x v="24"/>
    <s v="Enandes+"/>
    <s v="PROYECTO ENANDES+ (PERU): CONVOCAR O ESTABLECER GRUPOS DE TRABAJO TÉCNICOS REGIONALES"/>
    <s v="DOCUMENTO TÉCNICO"/>
    <s v="4.5.3.b) Taller de seguimiento de la articulación de los GT, Proyectos, CRC Y CRF, evaluación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25"/>
    <s v="Enandes+"/>
    <s v="PROYECTO ENANDES+ (CRF): MEJORAMIENTO Y ACTUALIZACIÓN DE LOS SISTEMAS NACIONALES DE GESTIÓN DE DATOS CLIMÁTICOS E HIDROLÓGICOS"/>
    <s v="DOCUMENTO TÉCNICO"/>
    <s v="1.1.4.a) Curso-taller: Guía para la formulación de una Estrategia Nacional de Observación y Plan Nacional WIGOS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26"/>
    <s v="Enandes+"/>
    <s v="PROYECTO ENANDES+ (CRF): MEJORAMIENTO DE LA PRODUCCIÓN Y DIFUSIÓN DE PREDICCIONES  SUBESTACIONALES A ESTACIONALES (S2S) DEL CLIMA REGIONAL Y LAS CONDICIONES HIDROLÓGICAS"/>
    <s v="DOCUMENTO TÉCNICO"/>
    <s v="1.3.4.b) Curso taller: Aplicación de IA para la predicción climática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26"/>
    <s v="Enandes+"/>
    <s v="PROYECTO ENANDES+ (CRF): MEJORAMIENTO DE LA PRODUCCIÓN Y DIFUSIÓN DE PREDICCIONES  SUBESTACIONALES A ESTACIONALES (S2S) DEL CLIMA REGIONAL Y LAS CONDICIONES HIDROLÓGICAS"/>
    <s v="DOCUMENTO TÉCNICO"/>
    <s v="1.3.4.c) Curso_taller: Downscaling para S2S / visualización IA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3"/>
    <x v="26"/>
    <s v="Enandes+"/>
    <s v="PROYECTO ENANDES+ (CRF): MEJORAMIENTO DE LA PRODUCCIÓN Y DIFUSIÓN DE PREDICCIONES  SUBESTACIONALES A ESTACIONALES (S2S) DEL CLIMA REGIONAL Y LAS CONDICIONES HIDROLÓGICAS"/>
    <s v="DOCUMENTO TÉCNICO"/>
    <s v="1.3.4.e) Estrategia nacional de observación e incorporación de terceros en la red del Servicio Hidrometeorológico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3"/>
    <x v="27"/>
    <s v="Enandes+"/>
    <s v="PROYECTO ENANDES+ (CRF): DESARROLLO DE ESTRATEGIAS APROPIADAS PARA LA COMUNICACIÓN DE LA INFORMACIÓN TAC"/>
    <s v="DOCUMENTO TÉCNICO"/>
    <s v="2.4.3.b) Participación en eventos de capacitación (congresos, seminarios, etc) y/o taller de proyecto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3"/>
    <x v="27"/>
    <s v="Enandes+"/>
    <s v="PROYECTO ENANDES+ (CRF): DESARROLLO DE ESTRATEGIAS APROPIADAS PARA LA COMUNICACIÓN DE LA INFORMACIÓN TAC"/>
    <s v="DOCUMENTO TÉCNICO"/>
    <s v="2.4.3.c) SST MTA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27"/>
    <s v="Enandes+"/>
    <s v="PROYECTO ENANDES+ (CRF): DESARROLLO DE ESTRATEGIAS APROPIADAS PARA LA COMUNICACIÓN DE LA INFORMACIÓN TAC"/>
    <s v="DOCUMENTO TÉCNICO"/>
    <s v="2.4.3.d) Seguimiento Técnico, recopilación de la información 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28"/>
    <s v="Enandes+"/>
    <s v="PROYECTO ENANDES+ (CRF): MEJORAMIENTO DE LA ACCESIBILIDAD, LA COMPRENSIÓN Y EL USO DE LA INFORMACIÓN TAC PARA LA GESTIÓN DE RIESGOS HIDROCLIMÁTICOS Y LA ADAPTACIÓN ENTRE ACTORES Y COMUNIDADES LOCALES"/>
    <s v="DOCUMENTO TÉCNICO"/>
    <s v="3.2.1.a) Curso-taller: Comunicación efectiva 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29"/>
    <s v="Enandes+"/>
    <s v="PROYECTO ENANDES+ (CRF): EVALUACIÓN DEL USO Y LOS BENEFICIOS SOCIOECONÓMICOS DE LAS ACCIONES DE DEMOSTRACIÓN DE ADAPTACIÓN DE ENANDES/BRAVA."/>
    <s v="DOCUMENTO TÉCNICO"/>
    <s v="3.4.3.c) Capacitación en uso de softwares para procesamiento de información para SEB (virtual y/o presencial)"/>
    <s v="INFORME TÉCNICO"/>
    <s v="ENANDES+"/>
    <n v="0"/>
    <n v="0"/>
    <n v="0"/>
    <n v="0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1"/>
  </r>
  <r>
    <n v="103"/>
    <x v="29"/>
    <s v="Enandes+"/>
    <s v="PROYECTO ENANDES+ (CRF): EVALUACIÓN DEL USO Y LOS BENEFICIOS SOCIOECONÓMICOS DE LAS ACCIONES DE DEMOSTRACIÓN DE ADAPTACIÓN DE ENANDES/BRAVA."/>
    <s v="DOCUMENTO TÉCNICO"/>
    <s v="3.4.3.e) Apoyo a la investigación de la PIU con enfoque intercultural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3"/>
    <x v="30"/>
    <s v="Enandes+"/>
    <s v="PROYECTO ENANDES+ (CRF): DESARROLLO E IMPLEMENTACIÓN DE UN PLAN DE CAPACITACIÓN PARA SUBSANAR BRECHAS DE CAPACIDADES HUMANAS"/>
    <s v="DOCUMENTO TÉCNICO"/>
    <s v="4.1.4.a) Evaluación de los esfuerzos de capacitación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3"/>
    <x v="31"/>
    <s v="Enandes+"/>
    <s v="PROYECTO ENANDES+ (CRF): REALIZAR ACTIVIDADES DE COORDINACIÓN REGIONAL PARA APOYAR LA ACTUALIZACIÓN DE LOS SISTEMAS NACIONALES DE GESTIÓN DE DATOS CLIMÁTICOS E HIDROLÓGICOS Y BASES DE DATOS REGIONALES INTEROPERABLES"/>
    <s v="DOCUMENTO TÉCNICO"/>
    <s v="4.2.2.a) Curso-taller: Aplicación de Python para el acceso a datos climáticos globales o regionales (OMM)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31"/>
    <s v="Enandes+"/>
    <s v="PROYECTO ENANDES+ (CRF): REALIZAR ACTIVIDADES DE COORDINACIÓN REGIONAL PARA APOYAR LA ACTUALIZACIÓN DE LOS SISTEMAS NACIONALES DE GESTIÓN DE DATOS CLIMÁTICOS E HIDROLÓGICOS Y BASES DE DATOS REGIONALES INTEROPERABLES"/>
    <s v="DOCUMENTO TÉCNICO"/>
    <s v="4.2.2.b) Diseminación de &quot;Peruvian Interpolated data of the SENAMHI’s Climatological and hydrological Observations&quot; (PISCO) (SST_Ecuador)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31"/>
    <s v="Enandes+"/>
    <s v="PROYECTO ENANDES+ (CRF): REALIZAR ACTIVIDADES DE COORDINACIÓN REGIONAL PARA APOYAR LA ACTUALIZACIÓN DE LOS SISTEMAS NACIONALES DE GESTIÓN DE DATOS CLIMÁTICOS E HIDROLÓGICOS Y BASES DE DATOS REGIONALES INTEROPERABLES"/>
    <s v="DOCUMENTO TÉCNICO"/>
    <s v="4.2.2.c) Diseminación de InterPGrads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32"/>
    <s v="Enandes+"/>
    <s v="PROYECTO ENANDES+ (CRF): FORTALECIMIENTO DE LAS CAPACIDADES DE PRODUCCIÓN Y DIFUSIÓN, Y LA ADOPCIÓN DE SERVICIOS TAC"/>
    <s v="DOCUMENTO TÉCNICO"/>
    <s v="4.4.1.a) Sistematización de experiencias SEB "/>
    <s v="INFORME TÉCNICO"/>
    <s v="ENANDES+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34"/>
    <x v="3"/>
    <s v="Difusión de productos y servicios"/>
    <s v="DIFUSIÓN DE PRODUCTOS Y SERVICIOS DE LA DMA DEL SENAMHI"/>
    <s v="INFORME"/>
    <s v="Asesoramiento técnico a usuarios públicos y privados, y atención a los medios de comunicación, delegaciones, y otros - SPC"/>
    <s v="REPORTE"/>
    <s v="SPC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98"/>
    <x v="13"/>
    <s v="Productos y servicios"/>
    <s v="GENERACIÓN DE PRODUCTOS Y SERVICIOS METEOROLÓGICOS, CLIMÁTICOS Y AMBIENTAL ATMOSFÉRICOS A MEDIDA"/>
    <s v="DOCUMENTO TECNICO"/>
    <s v="Atención de requerimientos de usuarios públicos y privados - SPC"/>
    <s v="REPORTE"/>
    <s v="SPC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39"/>
    <x v="10"/>
    <s v="Vigilancia Meteorológica"/>
    <s v="VIGILANCIA METEOROLÓGICA, CLIMÁTICA Y AMBIENTAL ATMOSFÉRICA"/>
    <s v="DOCUMENTO TECNICO"/>
    <s v="Briefing y Foros climáticos virtuales para sectores"/>
    <s v="REPORTE"/>
    <s v="SPC"/>
    <n v="2"/>
    <n v="2"/>
    <n v="2"/>
    <n v="2"/>
    <n v="1"/>
    <n v="1"/>
    <n v="1"/>
    <n v="1"/>
    <n v="1"/>
    <n v="1"/>
    <n v="2"/>
    <n v="2"/>
    <n v="18"/>
    <n v="2"/>
    <n v="2"/>
    <n v="2"/>
    <n v="2"/>
    <n v="1"/>
    <n v="1"/>
    <n v="1"/>
    <n v="1"/>
    <n v="1"/>
    <n v="0"/>
    <n v="0"/>
    <n v="0"/>
    <n v="13"/>
  </r>
  <r>
    <n v="96"/>
    <x v="33"/>
    <s v="Clima y variabilidad climática"/>
    <s v="ELABORACIÓN DE ESTUDIOS DE CLIMA Y VARIABILIDAD CLIMÁTICA"/>
    <s v="ESTUDIO"/>
    <s v="Estudio de machine Learnig para predicción de lluvias  a nivel nacional."/>
    <s v="ESTUDIO"/>
    <s v="SPC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31"/>
    <x v="2"/>
    <s v="HERRAMIENTAS Y METODOLOGÍAS METEOROLÓGICAS Y AMBIENTAL ATMOSFÉRICAS"/>
    <s v="DESARROLLO E IMPLEMENTACIÓN DE HERRAMIENTAS Y METODOLOGÍAS METEOROLÓGICAS Y AMBIENTAL ATMOSFÉRICAS"/>
    <s v="DOCUMENTO TECNICO"/>
    <s v="Elaboración de Notas Técnicas y/o Protocolos en la implementación de PISAC"/>
    <s v="REPORTE"/>
    <s v="SPC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</r>
  <r>
    <n v="31"/>
    <x v="2"/>
    <s v="HERRAMIENTAS Y METODOLOGÍAS METEOROLÓGICAS Y AMBIENTAL ATMOSFÉRICAS"/>
    <s v="DESARROLLO E IMPLEMENTACIÓN DE HERRAMIENTAS Y METODOLOGÍAS METEOROLÓGICAS Y AMBIENTAL ATMOSFÉRICAS"/>
    <s v="DOCUMENTO TECNICO"/>
    <s v="Elaboración de Notas Técnicas y/o Protocolos en la implementación de ISPI-FASE 2"/>
    <s v="DOCUMENTO TÉCNICO"/>
    <s v="SPC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</r>
  <r>
    <n v="31"/>
    <x v="34"/>
    <s v="Elaboración de pronósticos meteorológicos, climáticos y ambientales atmosféricos"/>
    <s v="ELABORACIÓN DE PRONÓSTICOS METEOROLÓGICOS, CLIMÁTICOS Y AMBIENTAL ATMOSFÉRICOS - SPC"/>
    <s v="PRONOSTICO"/>
    <s v="Elaboración de pronóstico climático nacional (SPC)"/>
    <s v="PRONÓSTICO"/>
    <s v="SPC"/>
    <n v="3"/>
    <n v="3"/>
    <n v="3"/>
    <n v="3"/>
    <n v="3"/>
    <n v="3"/>
    <n v="3"/>
    <n v="3"/>
    <n v="3"/>
    <n v="3"/>
    <n v="3"/>
    <n v="3"/>
    <n v="36"/>
    <n v="3"/>
    <n v="3"/>
    <n v="3"/>
    <n v="3"/>
    <n v="3"/>
    <n v="3"/>
    <n v="3"/>
    <n v="3"/>
    <n v="3"/>
    <n v="0"/>
    <n v="0"/>
    <n v="0"/>
    <n v="27"/>
  </r>
  <r>
    <n v="63"/>
    <x v="35"/>
    <s v="Vigilancia Meteorológica"/>
    <s v="VIGILANCIA Y MONITOREO METEOROLÓGICO Y CLIMÁTICO DEL FENÓMENO EL NIÑO"/>
    <s v="DOCUMENTO TECNICO"/>
    <s v="Elaboración de pronóstico extendido de lluvias (escenarios de lluvia) (SPC)"/>
    <s v="DOCUMENTO TÉCNICO"/>
    <s v="SPC"/>
    <n v="0"/>
    <n v="0"/>
    <n v="0"/>
    <n v="0"/>
    <n v="0"/>
    <n v="0"/>
    <n v="0"/>
    <n v="1"/>
    <n v="1"/>
    <n v="1"/>
    <n v="1"/>
    <n v="0"/>
    <n v="4"/>
    <n v="0"/>
    <n v="0"/>
    <n v="0"/>
    <n v="0"/>
    <n v="0"/>
    <n v="0"/>
    <n v="0"/>
    <n v="1"/>
    <n v="1"/>
    <n v="0"/>
    <n v="0"/>
    <n v="0"/>
    <n v="2"/>
  </r>
  <r>
    <n v="63"/>
    <x v="35"/>
    <s v="Vigilancia Meteorológica"/>
    <s v="VIGILANCIA Y MONITOREO METEOROLÓGICO Y CLIMÁTICO DEL FENÓMENO EL NIÑO"/>
    <s v="DOCUMENTO TECNICO"/>
    <s v="Elaboración de un video para la difusion de condiciones asociadas a El Niño/La Niña"/>
    <s v="VIDEO"/>
    <s v="SPC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39"/>
    <x v="10"/>
    <s v="Vigilancia Meteorológica"/>
    <s v="VIGILANCIA METEOROLÓGICA, CLIMÁTICA Y AMBIENTAL ATMOSFÉRICA"/>
    <s v="DOCUMENTO TECNICO"/>
    <s v="Generación de mapas climáticos (SPC)"/>
    <s v="MAPA"/>
    <s v="SPC"/>
    <n v="12"/>
    <n v="12"/>
    <n v="12"/>
    <n v="12"/>
    <n v="12"/>
    <n v="12"/>
    <n v="12"/>
    <n v="12"/>
    <n v="12"/>
    <n v="12"/>
    <n v="12"/>
    <n v="12"/>
    <n v="144"/>
    <n v="12"/>
    <n v="12"/>
    <n v="12"/>
    <n v="12"/>
    <n v="12"/>
    <n v="12"/>
    <n v="12"/>
    <n v="12"/>
    <n v="12"/>
    <n v="0"/>
    <n v="0"/>
    <n v="0"/>
    <n v="108"/>
  </r>
  <r>
    <n v="39"/>
    <x v="10"/>
    <s v="Vigilancia Meteorológica"/>
    <s v="VIGILANCIA METEOROLÓGICA, CLIMÁTICA Y AMBIENTAL ATMOSFÉRICA"/>
    <s v="DOCUMENTO TECNICO"/>
    <s v="Monitoreo climático (nacional, costero, coyuntural, etc.)"/>
    <s v="BOLETIN"/>
    <s v="SPC"/>
    <n v="15"/>
    <n v="15"/>
    <n v="15"/>
    <n v="15"/>
    <n v="10"/>
    <n v="10"/>
    <n v="10"/>
    <n v="10"/>
    <n v="11"/>
    <n v="14"/>
    <n v="15"/>
    <n v="15"/>
    <n v="155"/>
    <n v="15"/>
    <n v="15"/>
    <n v="15"/>
    <n v="15"/>
    <n v="10"/>
    <n v="10"/>
    <n v="10"/>
    <n v="10"/>
    <n v="11"/>
    <n v="0"/>
    <n v="0"/>
    <n v="0"/>
    <n v="111"/>
  </r>
  <r>
    <n v="63"/>
    <x v="35"/>
    <s v="Vigilancia Meteorológica"/>
    <s v="VIGILANCIA Y MONITOREO METEOROLÓGICO Y CLIMÁTICO DEL FENÓMENO EL NIÑO"/>
    <s v="DOCUMENTO TECNICO"/>
    <s v="Monitoreo de las condiciones atmosféricas en el contexto del FEN (SPC)"/>
    <s v="DOCUMENTO TÉCNICO"/>
    <s v="SPC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39"/>
    <x v="10"/>
    <s v="Vigilancia Meteorológica"/>
    <s v="VIGILANCIA METEOROLÓGICA, CLIMÁTICA Y AMBIENTAL ATMOSFÉRICA"/>
    <s v="DOCUMENTO TECNICO"/>
    <s v="Monitoreo de sequías meteorológicas (SPC)"/>
    <s v="BOLETIN"/>
    <s v="SPC"/>
    <n v="2"/>
    <n v="2"/>
    <n v="2"/>
    <n v="2"/>
    <n v="0"/>
    <n v="0"/>
    <n v="0"/>
    <n v="0"/>
    <n v="2"/>
    <n v="2"/>
    <n v="2"/>
    <n v="2"/>
    <n v="16"/>
    <n v="2"/>
    <n v="2"/>
    <n v="2"/>
    <n v="2"/>
    <n v="0"/>
    <n v="0"/>
    <n v="0"/>
    <n v="0"/>
    <n v="2"/>
    <n v="0"/>
    <n v="0"/>
    <n v="0"/>
    <n v="10"/>
  </r>
  <r>
    <n v="98"/>
    <x v="13"/>
    <s v="Productos y servicios"/>
    <s v="GENERACIÓN DE PRODUCTOS Y SERVICIOS METEOROLÓGICOS, CLIMÁTICOS Y AMBIENTAL ATMOSFÉRICOS A MEDIDA"/>
    <s v="DOCUMENTO TECNICO"/>
    <s v="Reuniones técnicas con usuarios sectoriales en el marco de foros u otros mecanismos de interfaz - SPC"/>
    <s v="REPORTE"/>
    <s v="SPC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</r>
  <r>
    <n v="31"/>
    <x v="34"/>
    <s v="Elaboración de pronósticos meteorológicos, climáticos y ambientales atmosféricos"/>
    <s v="ELABORACIÓN DE PRONÓSTICOS METEOROLÓGICOS, CLIMÁTICOS Y AMBIENTAL ATMOSFÉRICOS - SPC"/>
    <s v="PRONOSTICO"/>
    <s v="Verificación de pronóstico climático"/>
    <s v="INFORME"/>
    <s v="SPC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34"/>
    <x v="3"/>
    <s v="Difusión de productos y servicios"/>
    <s v="DIFUSIÓN DE PRODUCTOS Y SERVICIOS DE LA DMA DEL SENAMHI"/>
    <s v="INFORME"/>
    <s v="Asesoramiento técnico a usuarios públicos y privados, y atención a los medios de comunicación, delegaciones, y otros - SPM"/>
    <s v="REPORTE"/>
    <s v="SPM"/>
    <n v="0"/>
    <n v="0"/>
    <n v="1"/>
    <n v="0"/>
    <n v="0"/>
    <n v="1"/>
    <n v="0"/>
    <n v="0"/>
    <n v="1"/>
    <n v="0"/>
    <n v="0"/>
    <n v="1"/>
    <n v="4"/>
    <n v="0"/>
    <n v="0"/>
    <n v="1"/>
    <n v="0"/>
    <n v="0"/>
    <n v="1"/>
    <n v="0"/>
    <n v="0"/>
    <n v="1"/>
    <n v="0"/>
    <n v="0"/>
    <n v="0"/>
    <n v="3"/>
  </r>
  <r>
    <n v="98"/>
    <x v="13"/>
    <s v="Productos y servicios"/>
    <s v="GENERACIÓN DE PRODUCTOS Y SERVICIOS METEOROLÓGICOS, CLIMÁTICOS Y AMBIENTAL ATMOSFÉRICOS A MEDIDA"/>
    <s v="DOCUMENTO TECNICO"/>
    <s v="Atención de requerimientos de usuarios públicos y privados - SPM"/>
    <s v="REPORTE"/>
    <s v="SPM"/>
    <n v="0"/>
    <n v="0"/>
    <n v="0"/>
    <n v="1"/>
    <n v="0"/>
    <n v="0"/>
    <n v="0"/>
    <n v="0"/>
    <n v="0"/>
    <n v="0"/>
    <n v="0"/>
    <n v="1"/>
    <n v="2"/>
    <n v="0"/>
    <n v="0"/>
    <n v="0"/>
    <n v="1"/>
    <n v="0"/>
    <n v="0"/>
    <n v="0"/>
    <n v="0"/>
    <n v="0"/>
    <n v="0"/>
    <n v="0"/>
    <n v="0"/>
    <n v="1"/>
  </r>
  <r>
    <n v="64"/>
    <x v="36"/>
    <s v="Productos y servicios"/>
    <s v="GENERACIÓN DE PRODUCTOS Y SERVICIOS METEOROLÓGICOS, CLIMÁTICOS Y AMBIENTAL ATMOSFÉRICOS DE INCENDIOS FORESTALES A MEDIDA"/>
    <s v="DOCUMENTO TECNICO"/>
    <s v="Avisos de condiciones atmosféricas de incendios forestales."/>
    <s v="REPORTE"/>
    <s v="SPM"/>
    <n v="0"/>
    <n v="0"/>
    <n v="0"/>
    <n v="0"/>
    <n v="0"/>
    <n v="1"/>
    <n v="0"/>
    <n v="1"/>
    <n v="0"/>
    <n v="0"/>
    <n v="1"/>
    <n v="0"/>
    <n v="3"/>
    <n v="0"/>
    <n v="0"/>
    <n v="0"/>
    <n v="0"/>
    <n v="0"/>
    <n v="1"/>
    <n v="0"/>
    <n v="1"/>
    <n v="0"/>
    <n v="0"/>
    <n v="0"/>
    <n v="0"/>
    <n v="2"/>
  </r>
  <r>
    <n v="99"/>
    <x v="37"/>
    <s v="Elaboración de pronósticos meteorológicos, climáticos y ambientales atmosféricos"/>
    <s v="ELABORACIÓN DE PRONÓSTICOS METEOROLÓGICOS, CLIMÁTICOS Y AMBIENTAL ATMOSFÉRICOS - SPM"/>
    <s v="PRONOSTICO"/>
    <s v="Avisos meteorológicos nacionales"/>
    <s v="REPORTE"/>
    <s v="SPM"/>
    <n v="0"/>
    <n v="0"/>
    <n v="0"/>
    <n v="1"/>
    <n v="0"/>
    <n v="0"/>
    <n v="0"/>
    <n v="1"/>
    <n v="0"/>
    <n v="0"/>
    <n v="0"/>
    <n v="1"/>
    <n v="3"/>
    <n v="0"/>
    <n v="0"/>
    <n v="0"/>
    <n v="1"/>
    <n v="0"/>
    <n v="0"/>
    <n v="0"/>
    <n v="1"/>
    <n v="0"/>
    <n v="0"/>
    <n v="0"/>
    <n v="0"/>
    <n v="2"/>
  </r>
  <r>
    <n v="99"/>
    <x v="10"/>
    <s v="Vigilancia Meteorológica"/>
    <s v="VIGILANCIA METEOROLÓGICA, CLIMÁTICA Y AMBIENTAL ATMOSFÉRICA"/>
    <s v="DOCUMENTO TECNICO"/>
    <s v="Briefing meteorológico"/>
    <s v="REPORTE"/>
    <s v="SPM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99"/>
    <x v="37"/>
    <s v="Elaboración de pronósticos meteorológicos, climáticos y ambientales atmosféricos"/>
    <s v="ELABORACIÓN DE PRONÓSTICOS METEOROLÓGICOS, CLIMÁTICOS Y AMBIENTAL ATMOSFÉRICOS - SPM"/>
    <s v="PRONOSTICO"/>
    <s v="Elaboración de aviso/pronóstico de precipitaciones de corto plazo (24 horas)"/>
    <s v="PRONÓSTICO"/>
    <s v="SPM"/>
    <n v="31"/>
    <n v="28"/>
    <n v="31"/>
    <n v="30"/>
    <n v="31"/>
    <n v="30"/>
    <n v="31"/>
    <n v="31"/>
    <n v="30"/>
    <n v="31"/>
    <n v="30"/>
    <n v="31"/>
    <n v="365"/>
    <n v="31"/>
    <n v="28"/>
    <n v="31"/>
    <n v="30"/>
    <n v="31"/>
    <n v="30"/>
    <n v="31"/>
    <n v="31"/>
    <n v="30"/>
    <n v="0"/>
    <n v="0"/>
    <n v="0"/>
    <n v="273"/>
  </r>
  <r>
    <n v="31"/>
    <x v="2"/>
    <s v="HERRAMIENTAS Y METODOLOGÍAS METEOROLÓGICAS Y AMBIENTAL ATMOSFÉRICAS"/>
    <s v="DESARROLLO E IMPLEMENTACIÓN DE HERRAMIENTAS Y METODOLOGÍAS METEOROLÓGICAS Y AMBIENTAL ATMOSFÉRICAS"/>
    <s v="DOCUMENTO TECNICO"/>
    <s v="Elaboración de Notas Técnicas y/o Protocolos en meteorología-SPM"/>
    <s v="DOCUMENTO TÉCNICO"/>
    <s v="SPM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99"/>
    <x v="37"/>
    <s v="Elaboración de pronósticos meteorológicos, climáticos y ambientales atmosféricos"/>
    <s v="ELABORACIÓN DE PRONÓSTICOS METEOROLÓGICOS, CLIMÁTICOS Y AMBIENTAL ATMOSFÉRICOS - SPM"/>
    <s v="PRONOSTICO"/>
    <s v="Elaboración de pronóstico del tiempo"/>
    <s v="PRONÓSTICO"/>
    <s v="SPM"/>
    <n v="22"/>
    <n v="20"/>
    <n v="22"/>
    <n v="20"/>
    <n v="20"/>
    <n v="20"/>
    <n v="20"/>
    <n v="20"/>
    <n v="22"/>
    <n v="21"/>
    <n v="20"/>
    <n v="20"/>
    <n v="247"/>
    <n v="22"/>
    <n v="20"/>
    <n v="22"/>
    <n v="20"/>
    <n v="20"/>
    <n v="20"/>
    <n v="20"/>
    <n v="20"/>
    <n v="22"/>
    <n v="0"/>
    <n v="0"/>
    <n v="0"/>
    <n v="186"/>
  </r>
  <r>
    <n v="99"/>
    <x v="37"/>
    <s v="Elaboración de pronósticos meteorológicos, climáticos y ambientales atmosféricos"/>
    <s v="ELABORACIÓN DE PRONÓSTICOS METEOROLÓGICOS, CLIMÁTICOS Y AMBIENTAL ATMOSFÉRICOS - SPM"/>
    <s v="PRONOSTICO"/>
    <s v="Elaboración de pronósticos inmediatos (nowcasting)"/>
    <s v="REPORTE"/>
    <s v="SPM"/>
    <n v="0"/>
    <n v="0"/>
    <n v="0"/>
    <n v="0"/>
    <n v="0"/>
    <n v="1"/>
    <n v="0"/>
    <n v="0"/>
    <n v="0"/>
    <n v="0"/>
    <n v="0"/>
    <n v="1"/>
    <n v="2"/>
    <n v="0"/>
    <n v="0"/>
    <n v="0"/>
    <n v="0"/>
    <n v="0"/>
    <n v="1"/>
    <n v="0"/>
    <n v="0"/>
    <n v="0"/>
    <n v="0"/>
    <n v="0"/>
    <n v="0"/>
    <n v="1"/>
  </r>
  <r>
    <n v="3"/>
    <x v="38"/>
    <s v="Gestión de desastres"/>
    <s v="ELABORACIÓN DE ESTUDIOS PARA GESTIÓN DE RIESGO DE DESASTRES - SPM"/>
    <s v="ESTUDIO"/>
    <s v="Elaboración del estudio: identificación de capa límite en Lima- Parte I (borrador)"/>
    <s v="ESTUDIO"/>
    <s v="SPM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99"/>
    <x v="10"/>
    <s v="Vigilancia Meteorológica"/>
    <s v="VIGILANCIA METEOROLÓGICA, CLIMÁTICA Y AMBIENTAL ATMOSFÉRICA"/>
    <s v="DOCUMENTO TECNICO"/>
    <s v="Generación de datos e imágenes resultantes de sensoramiento remoto (SPM)"/>
    <s v="REPORTE"/>
    <s v="SPM"/>
    <n v="0"/>
    <n v="0"/>
    <n v="1"/>
    <n v="0"/>
    <n v="0"/>
    <n v="1"/>
    <n v="0"/>
    <n v="0"/>
    <n v="1"/>
    <n v="0"/>
    <n v="0"/>
    <n v="1"/>
    <n v="4"/>
    <n v="0"/>
    <n v="0"/>
    <n v="1"/>
    <n v="0"/>
    <n v="0"/>
    <n v="1"/>
    <n v="0"/>
    <n v="0"/>
    <n v="1"/>
    <n v="0"/>
    <n v="0"/>
    <n v="0"/>
    <n v="3"/>
  </r>
  <r>
    <n v="99"/>
    <x v="10"/>
    <s v="Vigilancia Meteorológica"/>
    <s v="VIGILANCIA METEOROLÓGICA, CLIMÁTICA Y AMBIENTAL ATMOSFÉRICA"/>
    <s v="DOCUMENTO TECNICO"/>
    <s v="Monitoreo diario de variables meteorológicas y umbrales"/>
    <s v="REPORTE"/>
    <s v="SPM"/>
    <n v="31"/>
    <n v="28"/>
    <n v="31"/>
    <n v="30"/>
    <n v="31"/>
    <n v="30"/>
    <n v="31"/>
    <n v="31"/>
    <n v="30"/>
    <n v="31"/>
    <n v="30"/>
    <n v="31"/>
    <n v="365"/>
    <n v="31"/>
    <n v="28"/>
    <n v="31"/>
    <n v="30"/>
    <n v="31"/>
    <n v="30"/>
    <n v="31"/>
    <n v="31"/>
    <n v="30"/>
    <n v="0"/>
    <n v="0"/>
    <n v="0"/>
    <n v="273"/>
  </r>
  <r>
    <n v="64"/>
    <x v="36"/>
    <s v="Productos y servicios"/>
    <s v="GENERACIÓN DE PRODUCTOS Y SERVICIOS METEOROLÓGICOS, CLIMÁTICOS Y AMBIENTAL ATMOSFÉRICOS DE INCENDIOS FORESTALES A MEDIDA"/>
    <s v="DOCUMENTO TECNICO"/>
    <s v="Monitoreo y pronóstico de condiciones atmosféricas favorables a indencios forestales."/>
    <s v="BOLETÍN"/>
    <s v="SPM"/>
    <n v="0"/>
    <n v="0"/>
    <n v="0"/>
    <n v="0"/>
    <n v="4"/>
    <n v="4"/>
    <n v="5"/>
    <n v="4"/>
    <n v="4"/>
    <n v="5"/>
    <n v="4"/>
    <n v="0"/>
    <n v="30"/>
    <n v="0"/>
    <n v="0"/>
    <n v="0"/>
    <n v="0"/>
    <n v="4"/>
    <n v="4"/>
    <n v="5"/>
    <n v="4"/>
    <n v="4"/>
    <n v="0"/>
    <n v="0"/>
    <n v="0"/>
    <n v="21"/>
  </r>
  <r>
    <n v="99"/>
    <x v="10"/>
    <s v="Vigilancia Meteorológica"/>
    <s v="VIGILANCIA METEOROLÓGICA, CLIMÁTICA Y AMBIENTAL ATMOSFÉRICA"/>
    <s v="DOCUMENTO TECNICO"/>
    <s v="Monitoreo y pronóstico semanal de precipitación o temperatura (SPM)"/>
    <s v="BOLETÍN"/>
    <s v="SPM"/>
    <n v="5"/>
    <n v="4"/>
    <n v="4"/>
    <n v="5"/>
    <n v="4"/>
    <n v="4"/>
    <n v="5"/>
    <n v="4"/>
    <n v="4"/>
    <n v="5"/>
    <n v="4"/>
    <n v="5"/>
    <n v="53"/>
    <n v="5"/>
    <n v="4"/>
    <n v="4"/>
    <n v="5"/>
    <n v="4"/>
    <n v="4"/>
    <n v="5"/>
    <n v="4"/>
    <n v="4"/>
    <n v="0"/>
    <n v="0"/>
    <n v="0"/>
    <n v="39"/>
  </r>
  <r>
    <n v="103"/>
    <x v="12"/>
    <s v="Asesoramiento y participación técnica científica"/>
    <s v="ASESORAMIENTO Y PARTICIPACIÓN TÉCNICA CIENTÍFICA EN ASUNTOS METEOROLÓGICOS, CLIMÁTICOS Y AMBIENTALES, NACIONALES E INTERNACIONALES"/>
    <s v="REPORTE"/>
    <s v="Participación técnica científica en asuntos meteorológicos, climáticos y ambientales, nacionales e internacionales (OMM, otros) SPM"/>
    <s v="REPORTE"/>
    <s v="SPM"/>
    <n v="0"/>
    <n v="0"/>
    <n v="0"/>
    <n v="0"/>
    <n v="0"/>
    <n v="1"/>
    <n v="0"/>
    <n v="0"/>
    <n v="0"/>
    <n v="0"/>
    <n v="0"/>
    <n v="1"/>
    <n v="2"/>
    <n v="0"/>
    <n v="0"/>
    <n v="0"/>
    <n v="0"/>
    <n v="0"/>
    <n v="1"/>
    <n v="0"/>
    <n v="0"/>
    <n v="0"/>
    <n v="0"/>
    <n v="0"/>
    <n v="0"/>
    <n v="1"/>
  </r>
  <r>
    <n v="5"/>
    <x v="39"/>
    <s v="Elaboración de pronósticos meteorológicos, climáticos y ambientales atmosféricos"/>
    <s v="ELABORACIÓN DE PRONÓSTICOS METEOROLÓGICOS, CLIMÁTICOS Y AMBIENTAL ATMOSFÉRICOS DE PELIGRO VOLCÁNICO"/>
    <s v="INFORME"/>
    <s v="Pronóstico a corto plazo sobre condiciones meteorológicas de zonas de actividad volcánica - SPM"/>
    <s v="REPORTE"/>
    <s v="SPM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98"/>
    <x v="13"/>
    <s v="Productos y servicios"/>
    <s v="GENERACIÓN DE PRODUCTOS Y SERVICIOS METEOROLÓGICOS, CLIMÁTICOS Y AMBIENTAL ATMOSFÉRICOS A MEDIDA"/>
    <s v="DOCUMENTO TECNICO"/>
    <s v="Provisión de productos y servicios mejorados para usuarios públicos y privados - SPM"/>
    <s v="REPORTE"/>
    <s v="SPM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98"/>
    <x v="13"/>
    <s v="Productos y servicios"/>
    <s v="GENERACIÓN DE PRODUCTOS Y SERVICIOS METEOROLÓGICOS, CLIMÁTICOS Y AMBIENTAL ATMOSFÉRICOS A MEDIDA"/>
    <s v="DOCUMENTO TECNICO"/>
    <s v="Reuniones técnicas con usuarios sectoriales en el marco de foros u otros mecanismos de interfaz - SPM"/>
    <s v="REPORTE"/>
    <s v="SPM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99"/>
    <x v="37"/>
    <s v="Elaboración de pronósticos meteorológicos, climáticos y ambientales atmosféricos"/>
    <s v="ELABORACIÓN DE PRONÓSTICOS METEOROLÓGICOS, CLIMÁTICOS Y AMBIENTAL ATMOSFÉRICOS - SPM"/>
    <s v="PRONOSTICO"/>
    <s v="Verificación de pronósticos tiempo"/>
    <s v="INFORME"/>
    <s v="SPM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39"/>
    <x v="40"/>
    <s v="Vigilancia Meteorológica"/>
    <s v="VIGILANCIA METEOROLÓGICA CON FINES DE ALERTA TEMPRANA EN EL COEN"/>
    <s v="INFORME"/>
    <s v="Vigilancia meteorológica con fines de alerta temprana en el COEN"/>
    <s v="INFORME"/>
    <s v="SPM"/>
    <n v="0"/>
    <n v="2"/>
    <n v="2"/>
    <n v="2"/>
    <n v="2"/>
    <n v="2"/>
    <n v="2"/>
    <n v="2"/>
    <n v="2"/>
    <n v="2"/>
    <n v="2"/>
    <n v="2"/>
    <n v="22"/>
    <n v="0"/>
    <n v="2"/>
    <n v="2"/>
    <n v="2"/>
    <n v="2"/>
    <n v="2"/>
    <n v="2"/>
    <n v="2"/>
    <n v="2"/>
    <n v="0"/>
    <n v="0"/>
    <n v="0"/>
    <n v="16"/>
  </r>
  <r>
    <n v="39"/>
    <x v="41"/>
    <s v="Vigilancia Meteorológica"/>
    <s v="VIGILANCIA METEOROLÓGICA CON FINES DE ALERTA TEMPRANA EN EL MARCO DEL FENÓMENO EL NIÑO"/>
    <s v="INFORME"/>
    <s v="Vigilancia meteorológica con fines de alerta temprana en el marco del Fenómeno El Niño"/>
    <s v="INFORME"/>
    <s v="SPM"/>
    <n v="0"/>
    <n v="2"/>
    <n v="2"/>
    <n v="2"/>
    <n v="2"/>
    <n v="2"/>
    <n v="2"/>
    <n v="2"/>
    <n v="2"/>
    <n v="1"/>
    <n v="1"/>
    <n v="1"/>
    <n v="19"/>
    <n v="0"/>
    <n v="2"/>
    <n v="2"/>
    <n v="2"/>
    <n v="2"/>
    <n v="2"/>
    <n v="2"/>
    <n v="2"/>
    <n v="2"/>
    <n v="0"/>
    <n v="0"/>
    <n v="0"/>
    <n v="16"/>
  </r>
  <r>
    <n v="99"/>
    <x v="10"/>
    <s v="Vigilancia Meteorológica"/>
    <s v="VIGILANCIA METEOROLÓGICA, CLIMÁTICA Y AMBIENTAL ATMOSFÉRICA"/>
    <s v="DOCUMENTO TECNICO"/>
    <s v="Vigilancia sinoptica"/>
    <s v="BOLETÍN"/>
    <s v="SPM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3"/>
    <x v="42"/>
    <s v="Vigilancia Meteorológica"/>
    <s v="ELABORACIÓN DE ESTUDIOS PARA GESTIÓN DE RIESGO DE DESASTRES SPC"/>
    <s v="DOCUMENTO TÉCNICO"/>
    <s v=" Informe asociados a los temas de pronosticos S2S "/>
    <s v="INFORME"/>
    <s v="SPC"/>
    <n v="0"/>
    <n v="0"/>
    <n v="0"/>
    <n v="0"/>
    <n v="0"/>
    <n v="0"/>
    <n v="0"/>
    <n v="0"/>
    <n v="0"/>
    <n v="0"/>
    <n v="2"/>
    <n v="1"/>
    <n v="3"/>
    <n v="0"/>
    <n v="0"/>
    <n v="0"/>
    <n v="0"/>
    <n v="0"/>
    <n v="0"/>
    <n v="0"/>
    <n v="0"/>
    <n v="0"/>
    <n v="0"/>
    <n v="0"/>
    <n v="0"/>
    <n v="0"/>
  </r>
  <r>
    <n v="103"/>
    <x v="12"/>
    <s v="Vigilancia Meteorológica"/>
    <s v="ASESORAMIENTO Y PARTICIPACIÓN TÉCNICA CIENTÍFICA EN ASUNTOS METEOROLÓGICOS, CLIMÁTICOS Y AMBIENTALES, NACIONALES E INTERNACIONALES"/>
    <s v="REPORTE"/>
    <s v="Participación técnica científica en asuntos meteorológicos, climáticos y ambientales, nacionales e internacionales (OMM, otros) SPC"/>
    <s v="REPORTE"/>
    <s v="SPC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39"/>
    <x v="10"/>
    <s v="Vigilancia Meteorológica"/>
    <s v="VIGILANCIA METEOROLÓGICA, CLIMÁTICA Y AMBIENTAL ATMOSFÉRICA"/>
    <s v="DOCUMENTO TECNICO"/>
    <s v="Sistematización de eventos extremos a nivel nacional (SPC)"/>
    <s v="REPORTE"/>
    <s v="SPC"/>
    <n v="0"/>
    <n v="0"/>
    <n v="0"/>
    <n v="1"/>
    <n v="0"/>
    <n v="0"/>
    <n v="0"/>
    <n v="0"/>
    <n v="0"/>
    <n v="0"/>
    <n v="1"/>
    <n v="0"/>
    <n v="2"/>
    <n v="0"/>
    <n v="0"/>
    <n v="0"/>
    <n v="1"/>
    <n v="0"/>
    <n v="0"/>
    <n v="0"/>
    <n v="0"/>
    <n v="0"/>
    <n v="0"/>
    <n v="0"/>
    <n v="0"/>
    <n v="1"/>
  </r>
  <r>
    <n v="39"/>
    <x v="10"/>
    <s v="Vigilancia Meteorológica"/>
    <s v="VIGILANCIA METEOROLÓGICA, CLIMÁTICA Y AMBIENTAL ATMOSFÉRICA"/>
    <s v="DOCUMENTO TECNICO"/>
    <s v="Vigilancia y estado del clima a nivel nacional"/>
    <s v="INFORME"/>
    <s v="SPC"/>
    <n v="0"/>
    <n v="0"/>
    <n v="0"/>
    <n v="0"/>
    <n v="0"/>
    <n v="1"/>
    <n v="0"/>
    <n v="0"/>
    <n v="0"/>
    <n v="0"/>
    <n v="1"/>
    <n v="0"/>
    <n v="2"/>
    <n v="0"/>
    <n v="0"/>
    <n v="0"/>
    <n v="0"/>
    <n v="0"/>
    <n v="1"/>
    <n v="0"/>
    <n v="0"/>
    <n v="0"/>
    <n v="0"/>
    <n v="0"/>
    <n v="0"/>
    <n v="1"/>
  </r>
  <r>
    <n v="31"/>
    <x v="2"/>
    <s v="HERRAMIENTAS Y METODOLOGÍAS METEOROLÓGICAS Y AMBIENTAL ATMOSFÉRICAS"/>
    <s v="DESARROLLO E IMPLEMENTACIÓN DE HERRAMIENTAS Y METODOLOGÍAS METEOROLÓGICAS Y AMBIENTAL ATMOSFÉRICAS"/>
    <s v="DOCUMENTO TECNICO"/>
    <s v="Elaboración de Notas Técnicas y/o Protocolos en vigilancia de XTRIM actualizada -eventos extremos,"/>
    <s v="DOCUMENTO TÉCNICO"/>
    <s v="SPC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</r>
  <r>
    <n v="31"/>
    <x v="34"/>
    <s v="Elaboración de pronósticos meteorológicos, climáticos y ambientales atmosféricos"/>
    <s v="ELABORACIÓN DE PRONÓSTICOS METEOROLÓGICOS, CLIMÁTICOS Y AMBIENTAL ATMOSFÉRICOS - SPC"/>
    <s v="PRONOSTICO"/>
    <s v="Elaboración del pronóstico subestacional (semanal y mensual) a nivel nacional"/>
    <s v="PRONÓSTICO"/>
    <s v="SPC"/>
    <n v="16"/>
    <n v="16"/>
    <n v="16"/>
    <n v="16"/>
    <n v="16"/>
    <n v="16"/>
    <n v="16"/>
    <n v="16"/>
    <n v="16"/>
    <n v="16"/>
    <n v="16"/>
    <n v="16"/>
    <n v="192"/>
    <n v="16"/>
    <n v="16"/>
    <n v="16"/>
    <n v="16"/>
    <n v="16"/>
    <n v="16"/>
    <n v="16"/>
    <n v="16"/>
    <n v="16"/>
    <n v="0"/>
    <n v="0"/>
    <n v="0"/>
    <n v="144"/>
  </r>
  <r>
    <n v="96"/>
    <x v="33"/>
    <s v="Clima y variabilidad climática"/>
    <s v="ELABORACIÓN DE ESTUDIOS DE CLIMA Y VARIABILIDAD CLIMÁTICA"/>
    <s v="ESTUDIO"/>
    <s v="Atlas de heladas meteorologicas fase 1&quot; "/>
    <s v="INFORME"/>
    <s v="SPC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0"/>
    <n v="1"/>
  </r>
  <r>
    <n v="134"/>
    <x v="43"/>
    <m/>
    <s v="DIFUSION Y SOCIALIZACION DE INFORMACION GENERADA PARA LA VIGILANCIA DEL FEN (Ley N°32732)"/>
    <s v="INFORME"/>
    <s v="Comunicación, difusión y divulgación de información relacionada con eventos severos relacionados a El Niño en el contexto del cambio climático"/>
    <s v="INFORME"/>
    <s v="DMA"/>
    <n v="0"/>
    <n v="0"/>
    <n v="0"/>
    <n v="0"/>
    <n v="0"/>
    <n v="0"/>
    <n v="0"/>
    <n v="0"/>
    <n v="0"/>
    <n v="0"/>
    <n v="0"/>
    <n v="1"/>
    <n v="1"/>
    <m/>
    <m/>
    <m/>
    <m/>
    <m/>
    <m/>
    <m/>
    <n v="0"/>
    <m/>
    <n v="0"/>
    <n v="0"/>
    <n v="0"/>
    <n v="0"/>
  </r>
  <r>
    <n v="135"/>
    <x v="44"/>
    <m/>
    <s v="FORTALECIMIENTO DE LA VIGILANCIA CLIMATICA Y ARTICULACION MULTISECTORIAL EN EL CONTEXTO DEL FEN (Ley N°32732)"/>
    <s v="INFORME"/>
    <s v="Articulación interinstitucional y vigilancia climática para la generación de pronósticos y vigilancia ante eventos extremos en el marco del FEN"/>
    <s v="INFORME"/>
    <s v="SPC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136"/>
    <x v="45"/>
    <s v="Vigilancia Meteorológica"/>
    <s v="FORTALECIMIENTO DE LA VIGILANCIA METEOROLOGICA Y ARTICULACION MULTISECTORIAL EN EL CONTEXTO DEL FEN (Ley N°32732)"/>
    <s v="INFORME"/>
    <s v="Articulación interinstitucional y vigilancia meteorológica para la generación de pronósticos y vigilancia ante eventos extremos en el marco del FEN"/>
    <s v="INFORME"/>
    <s v="SPM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139"/>
    <x v="46"/>
    <m/>
    <s v="FORTALECIMIENTO DE LA VIGILANCIA AMBIENTAL ATMOSFERICA Y ARTICULACION MULTISECTORIAL EN EL CONTEXTO DEL FEN (Ley N°32732)"/>
    <s v="INFORME"/>
    <s v="Articulación interinstitucional y vigilancia ambiental atmosférica para la generación de pronósticos y vigilancia ante eventos extremos en el marco del FEN"/>
    <s v="INFORME"/>
    <s v="SEA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n v="97"/>
    <x v="0"/>
    <s v="Gestión de cumplimiento de objetivos y metas"/>
    <x v="0"/>
    <s v="REPORTE"/>
    <s v="Asistencia administrativa para la conducción del proceso de gestión de la investigación, desarrollo e innovación meteorológica y ambiental atmosférico"/>
    <s v="INFORME"/>
    <x v="0"/>
    <n v="0"/>
    <n v="1"/>
    <n v="0"/>
    <n v="1"/>
    <n v="0"/>
    <n v="1"/>
    <n v="0"/>
    <n v="1"/>
    <n v="0"/>
    <n v="1"/>
    <n v="0"/>
    <n v="1"/>
    <n v="6"/>
    <n v="0"/>
    <n v="1"/>
    <n v="0"/>
    <n v="1"/>
    <n v="0"/>
    <n v="1"/>
    <n v="0"/>
    <n v="1"/>
    <n v="0"/>
    <n v="0"/>
    <n v="0"/>
    <n v="0"/>
    <n v="4"/>
  </r>
  <r>
    <n v="31"/>
    <x v="1"/>
    <s v="Gestión de cumplimiento de objetivos y metas"/>
    <x v="1"/>
    <s v="REPORTE"/>
    <s v="Asistencia administrativa para la conducción del proceso de gestión de la vigilancia y pronóstico meteorológico y ambiental atmosférico"/>
    <s v="REPORTE"/>
    <x v="0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97"/>
    <x v="0"/>
    <s v="Gestión de cumplimiento de objetivos y metas"/>
    <x v="0"/>
    <s v="REPORTE"/>
    <s v="Conducción del proceso de gestión de la investigación, desarrollo e innovación meteorológica y ambiental atmosférico"/>
    <s v="INFORME"/>
    <x v="0"/>
    <n v="0"/>
    <n v="0"/>
    <n v="0"/>
    <n v="0"/>
    <n v="0"/>
    <n v="1"/>
    <n v="0"/>
    <n v="0"/>
    <n v="0"/>
    <n v="0"/>
    <n v="0"/>
    <n v="1"/>
    <n v="2"/>
    <n v="0"/>
    <n v="0"/>
    <n v="0"/>
    <n v="0"/>
    <n v="0"/>
    <n v="1"/>
    <n v="0"/>
    <n v="0"/>
    <n v="0"/>
    <n v="0"/>
    <n v="0"/>
    <n v="0"/>
    <n v="1"/>
  </r>
  <r>
    <n v="31"/>
    <x v="1"/>
    <s v="Gestión de cumplimiento de objetivos y metas"/>
    <x v="1"/>
    <s v="REPORTE"/>
    <s v="Conducción del proceso de gestión de la vigilancia y pronóstico meteorológico y ambiental atmosférico"/>
    <s v="INFORME"/>
    <x v="0"/>
    <n v="0"/>
    <n v="0"/>
    <n v="0"/>
    <n v="0"/>
    <n v="0"/>
    <n v="1"/>
    <n v="0"/>
    <n v="0"/>
    <n v="0"/>
    <n v="0"/>
    <n v="0"/>
    <n v="1"/>
    <n v="2"/>
    <n v="0"/>
    <n v="0"/>
    <n v="0"/>
    <n v="0"/>
    <n v="0"/>
    <n v="1"/>
    <n v="0"/>
    <n v="0"/>
    <n v="0"/>
    <n v="0"/>
    <n v="0"/>
    <n v="0"/>
    <n v="1"/>
  </r>
  <r>
    <n v="97"/>
    <x v="0"/>
    <s v="Gestión de cumplimiento de objetivos y metas"/>
    <x v="0"/>
    <s v="REPORTE"/>
    <s v="Coordinación y Seguimiento al proceso de gestión y ejecución de los proyectos, la investigación, desarrollo e innovación meteorológica y ambiental atmosférica"/>
    <s v="INFORME"/>
    <x v="0"/>
    <n v="0"/>
    <n v="1"/>
    <n v="0"/>
    <n v="1"/>
    <n v="0"/>
    <n v="1"/>
    <n v="0"/>
    <n v="1"/>
    <n v="0"/>
    <n v="1"/>
    <n v="0"/>
    <n v="1"/>
    <n v="6"/>
    <n v="0"/>
    <n v="1"/>
    <n v="0"/>
    <n v="1"/>
    <n v="0"/>
    <n v="1"/>
    <n v="0"/>
    <n v="1"/>
    <n v="0"/>
    <n v="0"/>
    <n v="0"/>
    <n v="0"/>
    <n v="4"/>
  </r>
  <r>
    <n v="31"/>
    <x v="2"/>
    <s v="Asesoramiento y participación técnica científica"/>
    <x v="2"/>
    <s v="DOCUMENTO TECNICO"/>
    <s v="Actualización del Plan de Capacitación en el marco de los proyectos regionales de cooperación"/>
    <s v="DOCUMETO TÉCNICO"/>
    <x v="0"/>
    <n v="0"/>
    <n v="0"/>
    <n v="0"/>
    <n v="0"/>
    <n v="0"/>
    <n v="1"/>
    <n v="0"/>
    <n v="0"/>
    <n v="0"/>
    <n v="0"/>
    <n v="0"/>
    <n v="1"/>
    <n v="2"/>
    <n v="0"/>
    <n v="0"/>
    <n v="0"/>
    <n v="0"/>
    <n v="0"/>
    <n v="1"/>
    <n v="0"/>
    <n v="0"/>
    <n v="0"/>
    <n v="0"/>
    <n v="0"/>
    <n v="0"/>
    <n v="1"/>
  </r>
  <r>
    <n v="34"/>
    <x v="3"/>
    <s v="Difusión de productos y servicios"/>
    <x v="3"/>
    <s v="INFORME"/>
    <s v="Asesoramiento técnico a usuarios públicos y privados, y atención a los medios de comunicación, delegaciones, y otros - SEA"/>
    <s v="REPORTE"/>
    <x v="1"/>
    <n v="0"/>
    <n v="0"/>
    <n v="0"/>
    <n v="0"/>
    <n v="0"/>
    <n v="1"/>
    <n v="0"/>
    <n v="0"/>
    <n v="0"/>
    <n v="0"/>
    <n v="0"/>
    <n v="1"/>
    <n v="2"/>
    <n v="0"/>
    <n v="0"/>
    <n v="0"/>
    <n v="0"/>
    <n v="0"/>
    <n v="1"/>
    <n v="0"/>
    <n v="0"/>
    <n v="0"/>
    <n v="0"/>
    <n v="0"/>
    <n v="0"/>
    <n v="1"/>
  </r>
  <r>
    <n v="78"/>
    <x v="4"/>
    <s v="Calidad del aire"/>
    <x v="4"/>
    <s v="DOCUMENTO TECNICO"/>
    <s v="Coordinación técnica para el Monitoreo ambiental en Loreto"/>
    <s v="REPORTE"/>
    <x v="1"/>
    <n v="0"/>
    <n v="0"/>
    <n v="0"/>
    <n v="1"/>
    <n v="0"/>
    <n v="0"/>
    <n v="1"/>
    <n v="0"/>
    <n v="0"/>
    <n v="1"/>
    <n v="0"/>
    <n v="0"/>
    <n v="3"/>
    <n v="0"/>
    <n v="0"/>
    <n v="0"/>
    <n v="1"/>
    <n v="0"/>
    <n v="0"/>
    <n v="1"/>
    <n v="0"/>
    <n v="0"/>
    <n v="0"/>
    <n v="0"/>
    <n v="0"/>
    <n v="2"/>
  </r>
  <r>
    <n v="78"/>
    <x v="4"/>
    <s v="Calidad del aire"/>
    <x v="4"/>
    <s v="DOCUMENTO TECNICO"/>
    <s v="Diagnostico de la Estación de la Vigilancia Atmosférica Marcapomacocha"/>
    <s v="DOCUMENTO TÉCNICO"/>
    <x v="1"/>
    <n v="0"/>
    <n v="0"/>
    <n v="0"/>
    <n v="0"/>
    <n v="0"/>
    <n v="1"/>
    <n v="0"/>
    <n v="0"/>
    <n v="0"/>
    <n v="0"/>
    <n v="0"/>
    <n v="1"/>
    <n v="2"/>
    <n v="0"/>
    <n v="0"/>
    <n v="0"/>
    <n v="0"/>
    <n v="0"/>
    <n v="1"/>
    <n v="0"/>
    <n v="0"/>
    <n v="0"/>
    <n v="0"/>
    <n v="0"/>
    <n v="0"/>
    <n v="1"/>
  </r>
  <r>
    <n v="78"/>
    <x v="5"/>
    <s v="Calidad del aire"/>
    <x v="5"/>
    <s v="INSTITUCION"/>
    <s v="Difusión de información de vigilancia y pronóstico de calidad del aire"/>
    <s v="INSTITUCIÓN"/>
    <x v="1"/>
    <n v="15"/>
    <n v="15"/>
    <n v="15"/>
    <n v="15"/>
    <n v="15"/>
    <n v="15"/>
    <n v="15"/>
    <n v="15"/>
    <n v="15"/>
    <n v="15"/>
    <n v="15"/>
    <n v="15"/>
    <n v="180"/>
    <n v="15"/>
    <n v="15"/>
    <n v="15"/>
    <n v="15"/>
    <n v="15"/>
    <n v="15"/>
    <n v="15"/>
    <n v="15"/>
    <n v="15"/>
    <n v="0"/>
    <n v="0"/>
    <n v="0"/>
    <n v="135"/>
  </r>
  <r>
    <n v="78"/>
    <x v="6"/>
    <s v="Calidad del aire"/>
    <x v="6"/>
    <s v="ESTUDIO"/>
    <s v="Elaboración de estudios para la caracterización de las variables ambientales atmosféricas - Parte 1"/>
    <s v="ESTUDIO"/>
    <x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78"/>
    <x v="7"/>
    <s v="Calidad del aire"/>
    <x v="7"/>
    <s v="INVESTIGACION"/>
    <s v="Elaboración de investigaciones sobre la influencia del tránsito vehicular en la calidad del aire - Parte 1 "/>
    <s v="INVESTIGACIÓN"/>
    <x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31"/>
    <x v="2"/>
    <s v="HERRAMIENTAS Y METODOLOGÍAS METEOROLÓGICAS Y AMBIENTAL ATMOSFÉRICAS"/>
    <x v="2"/>
    <s v="DOCUMENTO TECNICO"/>
    <s v="Elaboración de Notas Técnicas y/o Protocolos en ambiental atmosferico"/>
    <s v="DOCUMENTO TÉCNICO"/>
    <x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78"/>
    <x v="6"/>
    <s v="Calidad del aire"/>
    <x v="6"/>
    <s v="ESTUDIO"/>
    <s v="Elaboración de opiniones técnicas a estudios sobre Modelamiento de Dispersión de Contaminantes Atmosféricos"/>
    <s v="DOCUMENTO TÉCNICO"/>
    <x v="1"/>
    <n v="0"/>
    <n v="0"/>
    <n v="0"/>
    <n v="1"/>
    <n v="0"/>
    <n v="0"/>
    <n v="1"/>
    <n v="0"/>
    <n v="0"/>
    <n v="1"/>
    <n v="0"/>
    <n v="0"/>
    <n v="3"/>
    <n v="0"/>
    <n v="0"/>
    <n v="0"/>
    <n v="1"/>
    <n v="0"/>
    <n v="0"/>
    <n v="1"/>
    <n v="0"/>
    <n v="0"/>
    <n v="0"/>
    <n v="0"/>
    <n v="0"/>
    <n v="2"/>
  </r>
  <r>
    <n v="78"/>
    <x v="8"/>
    <s v="Calidad del aire"/>
    <x v="8"/>
    <s v="DOCUMENTO TECNICO"/>
    <s v="Elaboración de pronóstico de calidad del aire y su verificación"/>
    <s v="PRONÓSTICO"/>
    <x v="1"/>
    <n v="31"/>
    <n v="28"/>
    <n v="31"/>
    <n v="30"/>
    <n v="31"/>
    <n v="30"/>
    <n v="31"/>
    <n v="31"/>
    <n v="30"/>
    <n v="31"/>
    <n v="30"/>
    <n v="31"/>
    <n v="365"/>
    <n v="31"/>
    <n v="28"/>
    <n v="31"/>
    <n v="30"/>
    <n v="31"/>
    <n v="30"/>
    <n v="31"/>
    <n v="31"/>
    <n v="30"/>
    <n v="0"/>
    <n v="0"/>
    <n v="0"/>
    <n v="273"/>
  </r>
  <r>
    <n v="3"/>
    <x v="9"/>
    <s v="Gestión de desastres"/>
    <x v="9"/>
    <s v="ESTUDIO"/>
    <s v="Elaboración del estudios para la provisión de información de radiación - Parte 1"/>
    <s v="ESTUDIO"/>
    <x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78"/>
    <x v="4"/>
    <s v="Calidad del aire"/>
    <x v="4"/>
    <s v="DOCUMENTO TECNICO"/>
    <s v="Monitoreo de condiciones ambientales atmosféricas asociados a la ocurrencia de incendios urbanos y forestales"/>
    <s v="DOCUMENTO TÉCNICO"/>
    <x v="1"/>
    <n v="0"/>
    <n v="1"/>
    <n v="0"/>
    <n v="1"/>
    <n v="0"/>
    <n v="1"/>
    <n v="0"/>
    <n v="1"/>
    <n v="0"/>
    <n v="1"/>
    <n v="0"/>
    <n v="1"/>
    <n v="6"/>
    <n v="0"/>
    <n v="1"/>
    <n v="0"/>
    <n v="1"/>
    <n v="0"/>
    <n v="1"/>
    <n v="0"/>
    <n v="1"/>
    <n v="0"/>
    <n v="0"/>
    <n v="0"/>
    <n v="0"/>
    <n v="4"/>
  </r>
  <r>
    <n v="99"/>
    <x v="10"/>
    <s v="Vigilancia Meteorológica"/>
    <x v="10"/>
    <s v="DOCUMENTO TECNICO"/>
    <s v="Monitoreo de la atmósfera global"/>
    <s v="DOCUMENTO TÉCNICO"/>
    <x v="1"/>
    <n v="0"/>
    <n v="0"/>
    <n v="0"/>
    <n v="1"/>
    <n v="0"/>
    <n v="0"/>
    <n v="1"/>
    <n v="0"/>
    <n v="0"/>
    <n v="1"/>
    <n v="0"/>
    <n v="0"/>
    <n v="3"/>
    <n v="0"/>
    <n v="0"/>
    <n v="0"/>
    <n v="1"/>
    <n v="0"/>
    <n v="0"/>
    <n v="1"/>
    <n v="0"/>
    <n v="0"/>
    <n v="0"/>
    <n v="0"/>
    <n v="0"/>
    <n v="2"/>
  </r>
  <r>
    <n v="78"/>
    <x v="4"/>
    <s v="Calidad del aire"/>
    <x v="4"/>
    <s v="DOCUMENTO TECNICO"/>
    <s v="Monitoreo de la calidad de agua de lluvia"/>
    <s v="DOCUMENTO TÉCNICO"/>
    <x v="1"/>
    <n v="0"/>
    <n v="0"/>
    <n v="0"/>
    <n v="1"/>
    <n v="0"/>
    <n v="0"/>
    <n v="1"/>
    <n v="0"/>
    <n v="0"/>
    <n v="1"/>
    <n v="0"/>
    <n v="0"/>
    <n v="3"/>
    <n v="0"/>
    <n v="0"/>
    <n v="0"/>
    <n v="1"/>
    <n v="0"/>
    <n v="0"/>
    <n v="1"/>
    <n v="0"/>
    <n v="0"/>
    <n v="0"/>
    <n v="0"/>
    <n v="0"/>
    <n v="2"/>
  </r>
  <r>
    <n v="78"/>
    <x v="4"/>
    <s v="Calidad del aire"/>
    <x v="4"/>
    <s v="DOCUMENTO TECNICO"/>
    <s v="Monitoreo de la calidad del aire"/>
    <s v="DOCUMENTO TÉCNICO"/>
    <x v="1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78"/>
    <x v="11"/>
    <s v="Calidad del aire"/>
    <x v="11"/>
    <s v="DOCUMENTO TECNICO"/>
    <s v="Monitoreo de la calidad del aire en el distrito de Marcapomacocha"/>
    <s v="DOCUMENTO TÉCNICO"/>
    <x v="1"/>
    <n v="0"/>
    <n v="0"/>
    <n v="0"/>
    <n v="1"/>
    <n v="0"/>
    <n v="0"/>
    <n v="1"/>
    <n v="0"/>
    <n v="0"/>
    <n v="1"/>
    <n v="0"/>
    <n v="0"/>
    <n v="3"/>
    <n v="0"/>
    <n v="0"/>
    <n v="0"/>
    <n v="1"/>
    <n v="0"/>
    <n v="0"/>
    <n v="1"/>
    <n v="0"/>
    <n v="0"/>
    <n v="0"/>
    <n v="0"/>
    <n v="0"/>
    <n v="2"/>
  </r>
  <r>
    <n v="99"/>
    <x v="10"/>
    <s v="Vigilancia Meteorológica"/>
    <x v="10"/>
    <s v="DOCUMENTO TECNICO"/>
    <s v="Monitoreo de la capa de ozono"/>
    <s v="DOCUMENTO TÉCNICO"/>
    <x v="1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99"/>
    <x v="10"/>
    <s v="Vigilancia Meteorológica"/>
    <x v="10"/>
    <s v="DOCUMENTO TECNICO"/>
    <s v="Monitoreo de radiación ultravioleta"/>
    <s v="DOCUMENTO TÉCNICO"/>
    <x v="1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103"/>
    <x v="12"/>
    <s v="Asesoramiento y participación técnica científica"/>
    <x v="12"/>
    <s v="REPORTE"/>
    <s v="Participación técnica científica en asuntos meteorológicos, climáticos y ambientales atmosféricos, nacionales e internacionales (OMM, otros) SEA"/>
    <s v="REPORTE"/>
    <x v="1"/>
    <n v="0"/>
    <n v="0"/>
    <n v="0"/>
    <n v="0"/>
    <n v="0"/>
    <n v="1"/>
    <n v="0"/>
    <n v="0"/>
    <n v="0"/>
    <n v="0"/>
    <n v="0"/>
    <n v="1"/>
    <n v="2"/>
    <n v="0"/>
    <n v="0"/>
    <n v="0"/>
    <n v="0"/>
    <n v="0"/>
    <n v="1"/>
    <n v="0"/>
    <n v="0"/>
    <n v="0"/>
    <n v="0"/>
    <n v="0"/>
    <n v="0"/>
    <n v="1"/>
  </r>
  <r>
    <n v="98"/>
    <x v="13"/>
    <s v="Productos y servicios"/>
    <x v="13"/>
    <s v="DOCUMENTO TECNICO"/>
    <s v="Provisión de productos y servicios a través de convenios de cooperación interinstitucional en temas ambientales atmosféricos"/>
    <s v="REPORTE"/>
    <x v="1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98"/>
    <x v="13"/>
    <s v="Productos y servicios"/>
    <x v="13"/>
    <s v="DOCUMENTO TECNICO"/>
    <s v="Provisión de productos y servicios mejorados para usuarios públicos y privados - SEA"/>
    <s v="REPORTE"/>
    <x v="1"/>
    <n v="0"/>
    <n v="0"/>
    <n v="0"/>
    <n v="0"/>
    <n v="0"/>
    <n v="1"/>
    <n v="0"/>
    <n v="0"/>
    <n v="0"/>
    <n v="0"/>
    <n v="1"/>
    <n v="0"/>
    <n v="2"/>
    <n v="0"/>
    <n v="0"/>
    <n v="0"/>
    <n v="0"/>
    <n v="0"/>
    <n v="1"/>
    <n v="0"/>
    <n v="0"/>
    <n v="0"/>
    <n v="0"/>
    <n v="0"/>
    <n v="0"/>
    <n v="1"/>
  </r>
  <r>
    <n v="78"/>
    <x v="4"/>
    <s v="Calidad del aire"/>
    <x v="4"/>
    <s v="DOCUMENTO TECNICO"/>
    <s v="Reporte de operatividad y calibración de espectrofotómetro Dobson en Marcapomacocha"/>
    <s v="DOCUMENTO TÉCNICO"/>
    <x v="1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78"/>
    <x v="4"/>
    <s v="Calidad del aire"/>
    <x v="4"/>
    <s v="DOCUMENTO TECNICO"/>
    <s v="Vigilancia Ambiental Atmosférica con imágenes satelitales"/>
    <s v="DOCUMENTO TÉCNICO"/>
    <x v="1"/>
    <n v="0"/>
    <n v="0"/>
    <n v="0"/>
    <n v="1"/>
    <n v="0"/>
    <n v="0"/>
    <n v="1"/>
    <n v="0"/>
    <n v="0"/>
    <n v="1"/>
    <n v="0"/>
    <n v="0"/>
    <n v="3"/>
    <n v="0"/>
    <n v="0"/>
    <n v="0"/>
    <n v="1"/>
    <n v="0"/>
    <n v="0"/>
    <n v="1"/>
    <n v="0"/>
    <n v="0"/>
    <n v="0"/>
    <n v="0"/>
    <n v="0"/>
    <n v="2"/>
  </r>
  <r>
    <n v="102"/>
    <x v="14"/>
    <s v="Enandes"/>
    <x v="14"/>
    <s v="DOCUMENTO TÉCNICO"/>
    <s v="2.5.4 a) Diseño e implementación de interacciones estructuradas para el Diseño del Plan Estratégico de un MNSC"/>
    <s v="DOCUMENTO"/>
    <x v="2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1"/>
  </r>
  <r>
    <n v="102"/>
    <x v="15"/>
    <s v="Enandes"/>
    <x v="15"/>
    <s v="DOCUMENTO TÉCNICO"/>
    <s v="3.6.5 a) Evaluación de la Línea de Salida de los Indicadores propuestos"/>
    <s v="DOCUMENTO"/>
    <x v="2"/>
    <n v="0"/>
    <n v="0"/>
    <n v="0"/>
    <n v="0"/>
    <n v="1"/>
    <n v="1"/>
    <n v="0"/>
    <n v="0"/>
    <n v="0"/>
    <n v="0"/>
    <n v="0"/>
    <n v="0"/>
    <n v="2"/>
    <n v="0"/>
    <n v="0"/>
    <n v="0"/>
    <n v="0"/>
    <n v="1"/>
    <n v="1"/>
    <n v="0"/>
    <n v="0"/>
    <n v="0"/>
    <n v="0"/>
    <n v="0"/>
    <n v="0"/>
    <n v="2"/>
  </r>
  <r>
    <n v="103"/>
    <x v="15"/>
    <s v="Enandes"/>
    <x v="15"/>
    <s v="DOCUMENTO TÉCNICO"/>
    <s v="3.6.5 b)Talleres de Cierre"/>
    <s v="INFORME"/>
    <x v="2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1"/>
  </r>
  <r>
    <n v="103"/>
    <x v="15"/>
    <s v="Enandes"/>
    <x v="15"/>
    <s v="DOCUMENTO TÉCNICO"/>
    <s v="3.6.6 a) Documentos Técnicos sobre el proyecto"/>
    <s v="DOCUMENTO"/>
    <x v="2"/>
    <n v="0"/>
    <n v="0"/>
    <n v="0"/>
    <n v="0"/>
    <n v="1"/>
    <n v="4"/>
    <n v="0"/>
    <n v="0"/>
    <n v="0"/>
    <n v="0"/>
    <n v="0"/>
    <n v="0"/>
    <n v="5"/>
    <n v="0"/>
    <n v="0"/>
    <n v="0"/>
    <n v="0"/>
    <n v="1"/>
    <n v="4"/>
    <n v="0"/>
    <n v="0"/>
    <n v="0"/>
    <n v="0"/>
    <n v="0"/>
    <n v="0"/>
    <n v="5"/>
  </r>
  <r>
    <n v="102"/>
    <x v="16"/>
    <s v="Enandes+"/>
    <x v="16"/>
    <s v="INFORME"/>
    <s v="1.2.1.b) Codiseño de servicios TAC asociados a incendios forestales y sequías en el Altiplano"/>
    <s v="INFORME TÉCNICO"/>
    <x v="3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1"/>
  </r>
  <r>
    <n v="102"/>
    <x v="16"/>
    <s v="Enandes+"/>
    <x v="16"/>
    <s v="INFORME"/>
    <s v="1.2.1.d) Publicación de artículo científico relacionado a incendios forestales e índices de sequías"/>
    <s v="INFORME TÉCNICO"/>
    <x v="3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0"/>
    <n v="1"/>
  </r>
  <r>
    <n v="103"/>
    <x v="16"/>
    <s v="Enandes+"/>
    <x v="16"/>
    <s v="INFORME"/>
    <s v="1.2.2.a) Actualización de la caracterización climática en la región Puno"/>
    <s v="DOCUMENTO TÉCNICO"/>
    <x v="3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0"/>
    <n v="1"/>
  </r>
  <r>
    <n v="103"/>
    <x v="17"/>
    <s v="Enandes+"/>
    <x v="17"/>
    <s v="DOCUMENTO TÉCNICO"/>
    <s v="3.3.2.a) Identificar y sistematizar prácticas locales que utilicen servicios TAC (sequias e IF) en Puno"/>
    <s v="INFORME TÉCNICO"/>
    <x v="3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0"/>
    <n v="1"/>
  </r>
  <r>
    <n v="102"/>
    <x v="16"/>
    <s v="Enandes+"/>
    <x v="18"/>
    <s v="DOCUMENTO TÉCNICO"/>
    <s v="1.3.2.a) Codiseño y mejora del IDESEP para hacer interoperable los pronósticos semanales (S2S)"/>
    <s v="INFORME TÉCNICO"/>
    <x v="3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0"/>
    <n v="1"/>
  </r>
  <r>
    <n v="102"/>
    <x v="18"/>
    <s v="Enandes+"/>
    <x v="19"/>
    <s v="DOCUMENTO TÉCNICO"/>
    <s v="3.2.2.c) Facilitación local para la implementación de espacios de diálogo sobre servicios TAC en el Rímac "/>
    <s v="INFORME TÉCNICO"/>
    <x v="3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0"/>
    <n v="1"/>
  </r>
  <r>
    <n v="103"/>
    <x v="17"/>
    <s v="Enandes+"/>
    <x v="17"/>
    <s v="DOCUMENTO TÉCNICO"/>
    <s v="3.3.3.a) Proponer un prototipo de servicio TAC en Puno "/>
    <s v="INFORME TÉCNICO"/>
    <x v="3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0"/>
    <n v="1"/>
  </r>
  <r>
    <n v="103"/>
    <x v="19"/>
    <s v="Enandes+"/>
    <x v="20"/>
    <s v="DOCUMENTO TÉCNICO"/>
    <s v="3.5.3.a) Seguimiento de indicadores del proyecto 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19"/>
    <s v="Enandes+"/>
    <x v="20"/>
    <s v="DOCUMENTO TÉCNICO"/>
    <s v="3.5.4.a) Reporte de condiciones habilitantes que aportan a la implementación de medidas de adaptación al CC "/>
    <s v="INFORME TÉCNICO"/>
    <x v="3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0"/>
    <n v="1"/>
  </r>
  <r>
    <n v="102"/>
    <x v="20"/>
    <s v="Enandes+"/>
    <x v="21"/>
    <s v="DOCUMENTO TÉCNICO"/>
    <s v="4.1.1.a) Coordinación y seguimiento de las actividades relacionadas con el SST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3"/>
    <x v="20"/>
    <s v="Enandes+"/>
    <x v="21"/>
    <s v="DOCUMENTO TÉCNICO"/>
    <s v="4.1.1.b) Coordinación del SST SEB con los equipos de los SMHNs y los CRCs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3"/>
    <x v="21"/>
    <s v="Enandes+"/>
    <x v="22"/>
    <s v="DOCUMENTO TÉCNICO"/>
    <s v="4.2.1.a) Coordinación NUREX: articulación interna y reuniones de trabajo con los equipos de las SMHN y CRC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22"/>
    <s v="Enandes+"/>
    <x v="23"/>
    <s v="DOCUMENTO TÉCNICO"/>
    <s v="4.3.1.c) Generación de servicios TAC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22"/>
    <s v="Enandes+"/>
    <x v="23"/>
    <s v="DOCUMENTO TÉCNICO"/>
    <s v="4.3.2.a) Complementar APP de SENAMHI con pronostico S2S 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3"/>
    <x v="23"/>
    <s v="Enandes+"/>
    <x v="24"/>
    <s v="DOCUMENTO TÉCNICO"/>
    <s v="4.4.1.c) Socialización de resultados en evento de presentación de estudios SEB de los SMHN y compartir resultados (workshop final)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23"/>
    <s v="Enandes+"/>
    <x v="24"/>
    <s v="DOCUMENTO TÉCNICO"/>
    <s v="4.4.1.d) Publicación de estudio SEB (diseño y diagramación)"/>
    <s v="DOCUMENTO TÉCNICO"/>
    <x v="3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1"/>
  </r>
  <r>
    <n v="102"/>
    <x v="23"/>
    <s v="Enandes+"/>
    <x v="24"/>
    <s v="DOCUMENTO TÉCNICO"/>
    <s v="4.4.2.a) Informe de sistematización de buenas prácticas y lecciones aprendidas sobre los servicios TAC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3"/>
    <x v="24"/>
    <s v="Enandes+"/>
    <x v="25"/>
    <s v="DOCUMENTO TÉCNICO"/>
    <s v="4.5.2.b) Gestión de seguimiento administrativo nacional y regional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3"/>
    <x v="24"/>
    <s v="Enandes+"/>
    <x v="25"/>
    <s v="DOCUMENTO TÉCNICO"/>
    <s v="4.5.3.b) Taller de seguimiento de la articulación de los GT, Proyectos, CRC Y CRF, evaluación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25"/>
    <s v="Enandes+"/>
    <x v="26"/>
    <s v="DOCUMENTO TÉCNICO"/>
    <s v="1.1.4.a) Curso-taller: Guía para la formulación de una Estrategia Nacional de Observación y Plan Nacional WIGOS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26"/>
    <s v="Enandes+"/>
    <x v="27"/>
    <s v="DOCUMENTO TÉCNICO"/>
    <s v="1.3.4.b) Curso taller: Aplicación de IA para la predicción climática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26"/>
    <s v="Enandes+"/>
    <x v="27"/>
    <s v="DOCUMENTO TÉCNICO"/>
    <s v="1.3.4.c) Curso_taller: Downscaling para S2S / visualización IA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3"/>
    <x v="26"/>
    <s v="Enandes+"/>
    <x v="27"/>
    <s v="DOCUMENTO TÉCNICO"/>
    <s v="1.3.4.e) Estrategia nacional de observación e incorporación de terceros en la red del Servicio Hidrometeorológico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3"/>
    <x v="27"/>
    <s v="Enandes+"/>
    <x v="28"/>
    <s v="DOCUMENTO TÉCNICO"/>
    <s v="2.4.3.b) Participación en eventos de capacitación (congresos, seminarios, etc) y/o taller de proyecto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3"/>
    <x v="27"/>
    <s v="Enandes+"/>
    <x v="28"/>
    <s v="DOCUMENTO TÉCNICO"/>
    <s v="2.4.3.c) SST MTA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27"/>
    <s v="Enandes+"/>
    <x v="28"/>
    <s v="DOCUMENTO TÉCNICO"/>
    <s v="2.4.3.d) Seguimiento Técnico, recopilación de la información 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28"/>
    <s v="Enandes+"/>
    <x v="29"/>
    <s v="DOCUMENTO TÉCNICO"/>
    <s v="3.2.1.a) Curso-taller: Comunicación efectiva 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29"/>
    <s v="Enandes+"/>
    <x v="30"/>
    <s v="DOCUMENTO TÉCNICO"/>
    <s v="3.4.3.c) Capacitación en uso de softwares para procesamiento de información para SEB (virtual y/o presencial)"/>
    <s v="INFORME TÉCNICO"/>
    <x v="3"/>
    <n v="0"/>
    <n v="0"/>
    <n v="0"/>
    <n v="0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1"/>
  </r>
  <r>
    <n v="103"/>
    <x v="29"/>
    <s v="Enandes+"/>
    <x v="30"/>
    <s v="DOCUMENTO TÉCNICO"/>
    <s v="3.4.3.e) Apoyo a la investigación de la PIU con enfoque intercultural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3"/>
    <x v="30"/>
    <s v="Enandes+"/>
    <x v="31"/>
    <s v="DOCUMENTO TÉCNICO"/>
    <s v="4.1.4.a) Evaluación de los esfuerzos de capacitación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3"/>
    <x v="31"/>
    <s v="Enandes+"/>
    <x v="32"/>
    <s v="DOCUMENTO TÉCNICO"/>
    <s v="4.2.2.a) Curso-taller: Aplicación de Python para el acceso a datos climáticos globales o regionales (OMM)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31"/>
    <s v="Enandes+"/>
    <x v="32"/>
    <s v="DOCUMENTO TÉCNICO"/>
    <s v="4.2.2.b) Diseminación de &quot;Peruvian Interpolated data of the SENAMHI’s Climatological and hydrological Observations&quot; (PISCO) (SST_Ecuador)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31"/>
    <s v="Enandes+"/>
    <x v="32"/>
    <s v="DOCUMENTO TÉCNICO"/>
    <s v="4.2.2.c) Diseminación de InterPGrads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102"/>
    <x v="32"/>
    <s v="Enandes+"/>
    <x v="33"/>
    <s v="DOCUMENTO TÉCNICO"/>
    <s v="4.4.1.a) Sistematización de experiencias SEB "/>
    <s v="INFORME TÉCNICO"/>
    <x v="3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n v="34"/>
    <x v="3"/>
    <s v="Difusión de productos y servicios"/>
    <x v="3"/>
    <s v="INFORME"/>
    <s v="Asesoramiento técnico a usuarios públicos y privados, y atención a los medios de comunicación, delegaciones, y otros - SPC"/>
    <s v="REPORTE"/>
    <x v="4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98"/>
    <x v="13"/>
    <s v="Productos y servicios"/>
    <x v="13"/>
    <s v="DOCUMENTO TECNICO"/>
    <s v="Atención de requerimientos de usuarios públicos y privados - SPC"/>
    <s v="REPORTE"/>
    <x v="4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39"/>
    <x v="10"/>
    <s v="Vigilancia Meteorológica"/>
    <x v="10"/>
    <s v="DOCUMENTO TECNICO"/>
    <s v="Briefing y Foros climáticos virtuales para sectores"/>
    <s v="REPORTE"/>
    <x v="4"/>
    <n v="2"/>
    <n v="2"/>
    <n v="2"/>
    <n v="2"/>
    <n v="1"/>
    <n v="1"/>
    <n v="1"/>
    <n v="1"/>
    <n v="1"/>
    <n v="1"/>
    <n v="2"/>
    <n v="2"/>
    <n v="18"/>
    <n v="2"/>
    <n v="2"/>
    <n v="2"/>
    <n v="2"/>
    <n v="1"/>
    <n v="1"/>
    <n v="1"/>
    <n v="1"/>
    <n v="1"/>
    <n v="0"/>
    <n v="0"/>
    <n v="0"/>
    <n v="13"/>
  </r>
  <r>
    <n v="96"/>
    <x v="33"/>
    <s v="Clima y variabilidad climática"/>
    <x v="34"/>
    <s v="ESTUDIO"/>
    <s v="Estudio de machine Learnig para predicción de lluvias  a nivel nacional."/>
    <s v="ESTUDIO"/>
    <x v="4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31"/>
    <x v="2"/>
    <s v="HERRAMIENTAS Y METODOLOGÍAS METEOROLÓGICAS Y AMBIENTAL ATMOSFÉRICAS"/>
    <x v="2"/>
    <s v="DOCUMENTO TECNICO"/>
    <s v="Elaboración de Notas Técnicas y/o Protocolos en la implementación de PISAC"/>
    <s v="REPORTE"/>
    <x v="4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</r>
  <r>
    <n v="31"/>
    <x v="2"/>
    <s v="HERRAMIENTAS Y METODOLOGÍAS METEOROLÓGICAS Y AMBIENTAL ATMOSFÉRICAS"/>
    <x v="2"/>
    <s v="DOCUMENTO TECNICO"/>
    <s v="Elaboración de Notas Técnicas y/o Protocolos en la implementación de ISPI-FASE 2"/>
    <s v="DOCUMENTO TÉCNICO"/>
    <x v="4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</r>
  <r>
    <n v="31"/>
    <x v="34"/>
    <s v="Elaboración de pronósticos meteorológicos, climáticos y ambientales atmosféricos"/>
    <x v="35"/>
    <s v="PRONOSTICO"/>
    <s v="Elaboración de pronóstico climático nacional (SPC)"/>
    <s v="PRONÓSTICO"/>
    <x v="4"/>
    <n v="3"/>
    <n v="3"/>
    <n v="3"/>
    <n v="3"/>
    <n v="3"/>
    <n v="3"/>
    <n v="3"/>
    <n v="3"/>
    <n v="3"/>
    <n v="3"/>
    <n v="3"/>
    <n v="3"/>
    <n v="36"/>
    <n v="3"/>
    <n v="3"/>
    <n v="3"/>
    <n v="3"/>
    <n v="3"/>
    <n v="3"/>
    <n v="3"/>
    <n v="3"/>
    <n v="3"/>
    <n v="0"/>
    <n v="0"/>
    <n v="0"/>
    <n v="27"/>
  </r>
  <r>
    <n v="63"/>
    <x v="35"/>
    <s v="Vigilancia Meteorológica"/>
    <x v="36"/>
    <s v="DOCUMENTO TECNICO"/>
    <s v="Elaboración de pronóstico extendido de lluvias (escenarios de lluvia) (SPC)"/>
    <s v="DOCUMENTO TÉCNICO"/>
    <x v="4"/>
    <n v="0"/>
    <n v="0"/>
    <n v="0"/>
    <n v="0"/>
    <n v="0"/>
    <n v="0"/>
    <n v="0"/>
    <n v="1"/>
    <n v="1"/>
    <n v="1"/>
    <n v="1"/>
    <n v="0"/>
    <n v="4"/>
    <n v="0"/>
    <n v="0"/>
    <n v="0"/>
    <n v="0"/>
    <n v="0"/>
    <n v="0"/>
    <n v="0"/>
    <n v="1"/>
    <n v="1"/>
    <n v="0"/>
    <n v="0"/>
    <n v="0"/>
    <n v="2"/>
  </r>
  <r>
    <n v="63"/>
    <x v="35"/>
    <s v="Vigilancia Meteorológica"/>
    <x v="36"/>
    <s v="DOCUMENTO TECNICO"/>
    <s v="Elaboración de un video para la difusion de condiciones asociadas a El Niño/La Niña"/>
    <s v="VIDEO"/>
    <x v="4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39"/>
    <x v="10"/>
    <s v="Vigilancia Meteorológica"/>
    <x v="10"/>
    <s v="DOCUMENTO TECNICO"/>
    <s v="Generación de mapas climáticos (SPC)"/>
    <s v="MAPA"/>
    <x v="4"/>
    <n v="12"/>
    <n v="12"/>
    <n v="12"/>
    <n v="12"/>
    <n v="12"/>
    <n v="12"/>
    <n v="12"/>
    <n v="12"/>
    <n v="12"/>
    <n v="12"/>
    <n v="12"/>
    <n v="12"/>
    <n v="144"/>
    <n v="12"/>
    <n v="12"/>
    <n v="12"/>
    <n v="12"/>
    <n v="12"/>
    <n v="12"/>
    <n v="12"/>
    <n v="12"/>
    <n v="12"/>
    <n v="0"/>
    <n v="0"/>
    <n v="0"/>
    <n v="108"/>
  </r>
  <r>
    <n v="39"/>
    <x v="10"/>
    <s v="Vigilancia Meteorológica"/>
    <x v="10"/>
    <s v="DOCUMENTO TECNICO"/>
    <s v="Monitoreo climático (nacional, costero, coyuntural, etc.)"/>
    <s v="BOLETIN"/>
    <x v="4"/>
    <n v="15"/>
    <n v="15"/>
    <n v="15"/>
    <n v="15"/>
    <n v="10"/>
    <n v="10"/>
    <n v="10"/>
    <n v="10"/>
    <n v="11"/>
    <n v="14"/>
    <n v="15"/>
    <n v="15"/>
    <n v="155"/>
    <n v="15"/>
    <n v="15"/>
    <n v="15"/>
    <n v="15"/>
    <n v="10"/>
    <n v="10"/>
    <n v="10"/>
    <n v="10"/>
    <n v="11"/>
    <n v="0"/>
    <n v="0"/>
    <n v="0"/>
    <n v="111"/>
  </r>
  <r>
    <n v="63"/>
    <x v="35"/>
    <s v="Vigilancia Meteorológica"/>
    <x v="36"/>
    <s v="DOCUMENTO TECNICO"/>
    <s v="Monitoreo de las condiciones atmosféricas en el contexto del FEN (SPC)"/>
    <s v="DOCUMENTO TÉCNICO"/>
    <x v="4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39"/>
    <x v="10"/>
    <s v="Vigilancia Meteorológica"/>
    <x v="10"/>
    <s v="DOCUMENTO TECNICO"/>
    <s v="Monitoreo de sequías meteorológicas (SPC)"/>
    <s v="BOLETIN"/>
    <x v="4"/>
    <n v="2"/>
    <n v="2"/>
    <n v="2"/>
    <n v="2"/>
    <n v="0"/>
    <n v="0"/>
    <n v="0"/>
    <n v="0"/>
    <n v="2"/>
    <n v="2"/>
    <n v="2"/>
    <n v="2"/>
    <n v="16"/>
    <n v="2"/>
    <n v="2"/>
    <n v="2"/>
    <n v="2"/>
    <n v="0"/>
    <n v="0"/>
    <n v="0"/>
    <n v="0"/>
    <n v="2"/>
    <n v="0"/>
    <n v="0"/>
    <n v="0"/>
    <n v="10"/>
  </r>
  <r>
    <n v="98"/>
    <x v="13"/>
    <s v="Productos y servicios"/>
    <x v="13"/>
    <s v="DOCUMENTO TECNICO"/>
    <s v="Reuniones técnicas con usuarios sectoriales en el marco de foros u otros mecanismos de interfaz - SPC"/>
    <s v="REPORTE"/>
    <x v="4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</r>
  <r>
    <n v="31"/>
    <x v="34"/>
    <s v="Elaboración de pronósticos meteorológicos, climáticos y ambientales atmosféricos"/>
    <x v="35"/>
    <s v="PRONOSTICO"/>
    <s v="Verificación de pronóstico climático"/>
    <s v="INFORME"/>
    <x v="4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34"/>
    <x v="3"/>
    <s v="Difusión de productos y servicios"/>
    <x v="3"/>
    <s v="INFORME"/>
    <s v="Asesoramiento técnico a usuarios públicos y privados, y atención a los medios de comunicación, delegaciones, y otros - SPM"/>
    <s v="REPORTE"/>
    <x v="5"/>
    <n v="0"/>
    <n v="0"/>
    <n v="1"/>
    <n v="0"/>
    <n v="0"/>
    <n v="1"/>
    <n v="0"/>
    <n v="0"/>
    <n v="1"/>
    <n v="0"/>
    <n v="0"/>
    <n v="1"/>
    <n v="4"/>
    <n v="0"/>
    <n v="0"/>
    <n v="1"/>
    <n v="0"/>
    <n v="0"/>
    <n v="1"/>
    <n v="0"/>
    <n v="0"/>
    <n v="1"/>
    <n v="0"/>
    <n v="0"/>
    <n v="0"/>
    <n v="3"/>
  </r>
  <r>
    <n v="98"/>
    <x v="13"/>
    <s v="Productos y servicios"/>
    <x v="13"/>
    <s v="DOCUMENTO TECNICO"/>
    <s v="Atención de requerimientos de usuarios públicos y privados - SPM"/>
    <s v="REPORTE"/>
    <x v="5"/>
    <n v="0"/>
    <n v="0"/>
    <n v="0"/>
    <n v="1"/>
    <n v="0"/>
    <n v="0"/>
    <n v="0"/>
    <n v="0"/>
    <n v="0"/>
    <n v="0"/>
    <n v="0"/>
    <n v="1"/>
    <n v="2"/>
    <n v="0"/>
    <n v="0"/>
    <n v="0"/>
    <n v="1"/>
    <n v="0"/>
    <n v="0"/>
    <n v="0"/>
    <n v="0"/>
    <n v="0"/>
    <n v="0"/>
    <n v="0"/>
    <n v="0"/>
    <n v="1"/>
  </r>
  <r>
    <n v="64"/>
    <x v="36"/>
    <s v="Productos y servicios"/>
    <x v="37"/>
    <s v="DOCUMENTO TECNICO"/>
    <s v="Avisos de condiciones atmosféricas de incendios forestales."/>
    <s v="REPORTE"/>
    <x v="5"/>
    <n v="0"/>
    <n v="0"/>
    <n v="0"/>
    <n v="0"/>
    <n v="0"/>
    <n v="1"/>
    <n v="0"/>
    <n v="1"/>
    <n v="0"/>
    <n v="0"/>
    <n v="1"/>
    <n v="0"/>
    <n v="3"/>
    <n v="0"/>
    <n v="0"/>
    <n v="0"/>
    <n v="0"/>
    <n v="0"/>
    <n v="1"/>
    <n v="0"/>
    <n v="1"/>
    <n v="0"/>
    <n v="0"/>
    <n v="0"/>
    <n v="0"/>
    <n v="2"/>
  </r>
  <r>
    <n v="99"/>
    <x v="37"/>
    <s v="Elaboración de pronósticos meteorológicos, climáticos y ambientales atmosféricos"/>
    <x v="38"/>
    <s v="PRONOSTICO"/>
    <s v="Avisos meteorológicos nacionales"/>
    <s v="REPORTE"/>
    <x v="5"/>
    <n v="0"/>
    <n v="0"/>
    <n v="0"/>
    <n v="1"/>
    <n v="0"/>
    <n v="0"/>
    <n v="0"/>
    <n v="1"/>
    <n v="0"/>
    <n v="0"/>
    <n v="0"/>
    <n v="1"/>
    <n v="3"/>
    <n v="0"/>
    <n v="0"/>
    <n v="0"/>
    <n v="1"/>
    <n v="0"/>
    <n v="0"/>
    <n v="0"/>
    <n v="1"/>
    <n v="0"/>
    <n v="0"/>
    <n v="0"/>
    <n v="0"/>
    <n v="2"/>
  </r>
  <r>
    <n v="99"/>
    <x v="10"/>
    <s v="Vigilancia Meteorológica"/>
    <x v="10"/>
    <s v="DOCUMENTO TECNICO"/>
    <s v="Briefing meteorológico"/>
    <s v="REPORTE"/>
    <x v="5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99"/>
    <x v="37"/>
    <s v="Elaboración de pronósticos meteorológicos, climáticos y ambientales atmosféricos"/>
    <x v="38"/>
    <s v="PRONOSTICO"/>
    <s v="Elaboración de aviso/pronóstico de precipitaciones de corto plazo (24 horas)"/>
    <s v="PRONÓSTICO"/>
    <x v="5"/>
    <n v="31"/>
    <n v="28"/>
    <n v="31"/>
    <n v="30"/>
    <n v="31"/>
    <n v="30"/>
    <n v="31"/>
    <n v="31"/>
    <n v="30"/>
    <n v="31"/>
    <n v="30"/>
    <n v="31"/>
    <n v="365"/>
    <n v="31"/>
    <n v="28"/>
    <n v="31"/>
    <n v="30"/>
    <n v="31"/>
    <n v="30"/>
    <n v="31"/>
    <n v="31"/>
    <n v="30"/>
    <n v="0"/>
    <n v="0"/>
    <n v="0"/>
    <n v="273"/>
  </r>
  <r>
    <n v="31"/>
    <x v="2"/>
    <s v="HERRAMIENTAS Y METODOLOGÍAS METEOROLÓGICAS Y AMBIENTAL ATMOSFÉRICAS"/>
    <x v="2"/>
    <s v="DOCUMENTO TECNICO"/>
    <s v="Elaboración de Notas Técnicas y/o Protocolos en meteorología-SPM"/>
    <s v="DOCUMENTO TÉCNICO"/>
    <x v="5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99"/>
    <x v="37"/>
    <s v="Elaboración de pronósticos meteorológicos, climáticos y ambientales atmosféricos"/>
    <x v="38"/>
    <s v="PRONOSTICO"/>
    <s v="Elaboración de pronóstico del tiempo"/>
    <s v="PRONÓSTICO"/>
    <x v="5"/>
    <n v="22"/>
    <n v="20"/>
    <n v="22"/>
    <n v="20"/>
    <n v="20"/>
    <n v="20"/>
    <n v="20"/>
    <n v="20"/>
    <n v="22"/>
    <n v="21"/>
    <n v="20"/>
    <n v="20"/>
    <n v="247"/>
    <n v="22"/>
    <n v="20"/>
    <n v="22"/>
    <n v="20"/>
    <n v="20"/>
    <n v="20"/>
    <n v="20"/>
    <n v="20"/>
    <n v="22"/>
    <n v="0"/>
    <n v="0"/>
    <n v="0"/>
    <n v="186"/>
  </r>
  <r>
    <n v="99"/>
    <x v="37"/>
    <s v="Elaboración de pronósticos meteorológicos, climáticos y ambientales atmosféricos"/>
    <x v="38"/>
    <s v="PRONOSTICO"/>
    <s v="Elaboración de pronósticos inmediatos (nowcasting)"/>
    <s v="REPORTE"/>
    <x v="5"/>
    <n v="0"/>
    <n v="0"/>
    <n v="0"/>
    <n v="0"/>
    <n v="0"/>
    <n v="1"/>
    <n v="0"/>
    <n v="0"/>
    <n v="0"/>
    <n v="0"/>
    <n v="0"/>
    <n v="1"/>
    <n v="2"/>
    <n v="0"/>
    <n v="0"/>
    <n v="0"/>
    <n v="0"/>
    <n v="0"/>
    <n v="1"/>
    <n v="0"/>
    <n v="0"/>
    <n v="0"/>
    <n v="0"/>
    <n v="0"/>
    <n v="0"/>
    <n v="1"/>
  </r>
  <r>
    <n v="3"/>
    <x v="38"/>
    <s v="Gestión de desastres"/>
    <x v="39"/>
    <s v="ESTUDIO"/>
    <s v="Elaboración del estudio: identificación de capa límite en Lima- Parte I (borrador)"/>
    <s v="ESTUDIO"/>
    <x v="5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99"/>
    <x v="10"/>
    <s v="Vigilancia Meteorológica"/>
    <x v="10"/>
    <s v="DOCUMENTO TECNICO"/>
    <s v="Generación de datos e imágenes resultantes de sensoramiento remoto (SPM)"/>
    <s v="REPORTE"/>
    <x v="5"/>
    <n v="0"/>
    <n v="0"/>
    <n v="1"/>
    <n v="0"/>
    <n v="0"/>
    <n v="1"/>
    <n v="0"/>
    <n v="0"/>
    <n v="1"/>
    <n v="0"/>
    <n v="0"/>
    <n v="1"/>
    <n v="4"/>
    <n v="0"/>
    <n v="0"/>
    <n v="1"/>
    <n v="0"/>
    <n v="0"/>
    <n v="1"/>
    <n v="0"/>
    <n v="0"/>
    <n v="1"/>
    <n v="0"/>
    <n v="0"/>
    <n v="0"/>
    <n v="3"/>
  </r>
  <r>
    <n v="99"/>
    <x v="10"/>
    <s v="Vigilancia Meteorológica"/>
    <x v="10"/>
    <s v="DOCUMENTO TECNICO"/>
    <s v="Monitoreo diario de variables meteorológicas y umbrales"/>
    <s v="REPORTE"/>
    <x v="5"/>
    <n v="31"/>
    <n v="28"/>
    <n v="31"/>
    <n v="30"/>
    <n v="31"/>
    <n v="30"/>
    <n v="31"/>
    <n v="31"/>
    <n v="30"/>
    <n v="31"/>
    <n v="30"/>
    <n v="31"/>
    <n v="365"/>
    <n v="31"/>
    <n v="28"/>
    <n v="31"/>
    <n v="30"/>
    <n v="31"/>
    <n v="30"/>
    <n v="31"/>
    <n v="31"/>
    <n v="30"/>
    <n v="0"/>
    <n v="0"/>
    <n v="0"/>
    <n v="273"/>
  </r>
  <r>
    <n v="64"/>
    <x v="36"/>
    <s v="Productos y servicios"/>
    <x v="37"/>
    <s v="DOCUMENTO TECNICO"/>
    <s v="Monitoreo y pronóstico de condiciones atmosféricas favorables a indencios forestales."/>
    <s v="BOLETÍN"/>
    <x v="5"/>
    <n v="0"/>
    <n v="0"/>
    <n v="0"/>
    <n v="0"/>
    <n v="4"/>
    <n v="4"/>
    <n v="5"/>
    <n v="4"/>
    <n v="4"/>
    <n v="5"/>
    <n v="4"/>
    <n v="0"/>
    <n v="30"/>
    <n v="0"/>
    <n v="0"/>
    <n v="0"/>
    <n v="0"/>
    <n v="4"/>
    <n v="4"/>
    <n v="5"/>
    <n v="4"/>
    <n v="4"/>
    <n v="0"/>
    <n v="0"/>
    <n v="0"/>
    <n v="21"/>
  </r>
  <r>
    <n v="99"/>
    <x v="10"/>
    <s v="Vigilancia Meteorológica"/>
    <x v="10"/>
    <s v="DOCUMENTO TECNICO"/>
    <s v="Monitoreo y pronóstico semanal de precipitación o temperatura (SPM)"/>
    <s v="BOLETÍN"/>
    <x v="5"/>
    <n v="5"/>
    <n v="4"/>
    <n v="4"/>
    <n v="5"/>
    <n v="4"/>
    <n v="4"/>
    <n v="5"/>
    <n v="4"/>
    <n v="4"/>
    <n v="5"/>
    <n v="4"/>
    <n v="5"/>
    <n v="53"/>
    <n v="5"/>
    <n v="4"/>
    <n v="4"/>
    <n v="5"/>
    <n v="4"/>
    <n v="4"/>
    <n v="5"/>
    <n v="4"/>
    <n v="4"/>
    <n v="0"/>
    <n v="0"/>
    <n v="0"/>
    <n v="39"/>
  </r>
  <r>
    <n v="103"/>
    <x v="12"/>
    <s v="Asesoramiento y participación técnica científica"/>
    <x v="40"/>
    <s v="REPORTE"/>
    <s v="Participación técnica científica en asuntos meteorológicos, climáticos y ambientales, nacionales e internacionales (OMM, otros) SPM"/>
    <s v="REPORTE"/>
    <x v="5"/>
    <n v="0"/>
    <n v="0"/>
    <n v="0"/>
    <n v="0"/>
    <n v="0"/>
    <n v="1"/>
    <n v="0"/>
    <n v="0"/>
    <n v="0"/>
    <n v="0"/>
    <n v="0"/>
    <n v="1"/>
    <n v="2"/>
    <n v="0"/>
    <n v="0"/>
    <n v="0"/>
    <n v="0"/>
    <n v="0"/>
    <n v="1"/>
    <n v="0"/>
    <n v="0"/>
    <n v="0"/>
    <n v="0"/>
    <n v="0"/>
    <n v="0"/>
    <n v="1"/>
  </r>
  <r>
    <n v="5"/>
    <x v="39"/>
    <s v="Elaboración de pronósticos meteorológicos, climáticos y ambientales atmosféricos"/>
    <x v="41"/>
    <s v="INFORME"/>
    <s v="Pronóstico a corto plazo sobre condiciones meteorológicas de zonas de actividad volcánica - SPM"/>
    <s v="REPORTE"/>
    <x v="5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98"/>
    <x v="13"/>
    <s v="Productos y servicios"/>
    <x v="13"/>
    <s v="DOCUMENTO TECNICO"/>
    <s v="Provisión de productos y servicios mejorados para usuarios públicos y privados - SPM"/>
    <s v="REPORTE"/>
    <x v="5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98"/>
    <x v="13"/>
    <s v="Productos y servicios"/>
    <x v="13"/>
    <s v="DOCUMENTO TECNICO"/>
    <s v="Reuniones técnicas con usuarios sectoriales en el marco de foros u otros mecanismos de interfaz - SPM"/>
    <s v="REPORTE"/>
    <x v="5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99"/>
    <x v="37"/>
    <s v="Elaboración de pronósticos meteorológicos, climáticos y ambientales atmosféricos"/>
    <x v="38"/>
    <s v="PRONOSTICO"/>
    <s v="Verificación de pronósticos tiempo"/>
    <s v="INFORME"/>
    <x v="5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39"/>
    <x v="40"/>
    <s v="Vigilancia Meteorológica"/>
    <x v="42"/>
    <s v="INFORME"/>
    <s v="Vigilancia meteorológica con fines de alerta temprana en el COEN"/>
    <s v="INFORME"/>
    <x v="5"/>
    <n v="0"/>
    <n v="2"/>
    <n v="2"/>
    <n v="2"/>
    <n v="2"/>
    <n v="2"/>
    <n v="2"/>
    <n v="2"/>
    <n v="2"/>
    <n v="2"/>
    <n v="2"/>
    <n v="2"/>
    <n v="22"/>
    <n v="0"/>
    <n v="2"/>
    <n v="2"/>
    <n v="2"/>
    <n v="2"/>
    <n v="2"/>
    <n v="2"/>
    <n v="2"/>
    <n v="2"/>
    <n v="0"/>
    <n v="0"/>
    <n v="0"/>
    <n v="16"/>
  </r>
  <r>
    <n v="39"/>
    <x v="41"/>
    <s v="Vigilancia Meteorológica"/>
    <x v="43"/>
    <s v="INFORME"/>
    <s v="Vigilancia meteorológica con fines de alerta temprana en el marco del Fenómeno El Niño"/>
    <s v="INFORME"/>
    <x v="5"/>
    <n v="0"/>
    <n v="2"/>
    <n v="2"/>
    <n v="2"/>
    <n v="2"/>
    <n v="2"/>
    <n v="2"/>
    <n v="2"/>
    <n v="2"/>
    <n v="1"/>
    <n v="1"/>
    <n v="1"/>
    <n v="19"/>
    <n v="0"/>
    <n v="2"/>
    <n v="2"/>
    <n v="2"/>
    <n v="2"/>
    <n v="2"/>
    <n v="2"/>
    <n v="2"/>
    <n v="2"/>
    <n v="0"/>
    <n v="0"/>
    <n v="0"/>
    <n v="16"/>
  </r>
  <r>
    <n v="99"/>
    <x v="10"/>
    <s v="Vigilancia Meteorológica"/>
    <x v="10"/>
    <s v="DOCUMENTO TECNICO"/>
    <s v="Vigilancia sinoptica"/>
    <s v="BOLETÍN"/>
    <x v="5"/>
    <n v="1"/>
    <n v="1"/>
    <n v="1"/>
    <n v="1"/>
    <n v="1"/>
    <n v="1"/>
    <n v="1"/>
    <n v="1"/>
    <n v="1"/>
    <n v="1"/>
    <n v="1"/>
    <n v="1"/>
    <n v="12"/>
    <n v="1"/>
    <n v="1"/>
    <n v="1"/>
    <n v="1"/>
    <n v="1"/>
    <n v="1"/>
    <n v="1"/>
    <n v="1"/>
    <n v="1"/>
    <n v="0"/>
    <n v="0"/>
    <n v="0"/>
    <n v="9"/>
  </r>
  <r>
    <n v="3"/>
    <x v="42"/>
    <s v="Vigilancia Meteorológica"/>
    <x v="44"/>
    <s v="DOCUMENTO TÉCNICO"/>
    <s v=" Informe asociados a los temas de pronosticos S2S "/>
    <s v="INFORME"/>
    <x v="4"/>
    <n v="0"/>
    <n v="0"/>
    <n v="0"/>
    <n v="0"/>
    <n v="0"/>
    <n v="0"/>
    <n v="0"/>
    <n v="0"/>
    <n v="0"/>
    <n v="0"/>
    <n v="2"/>
    <n v="1"/>
    <n v="3"/>
    <n v="0"/>
    <n v="0"/>
    <n v="0"/>
    <n v="0"/>
    <n v="0"/>
    <n v="0"/>
    <n v="0"/>
    <n v="0"/>
    <n v="0"/>
    <n v="0"/>
    <n v="0"/>
    <n v="0"/>
    <n v="0"/>
  </r>
  <r>
    <n v="103"/>
    <x v="12"/>
    <s v="Vigilancia Meteorológica"/>
    <x v="40"/>
    <s v="REPORTE"/>
    <s v="Participación técnica científica en asuntos meteorológicos, climáticos y ambientales, nacionales e internacionales (OMM, otros) SPC"/>
    <s v="REPORTE"/>
    <x v="4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39"/>
    <x v="10"/>
    <s v="Vigilancia Meteorológica"/>
    <x v="10"/>
    <s v="DOCUMENTO TECNICO"/>
    <s v="Sistematización de eventos extremos a nivel nacional (SPC)"/>
    <s v="REPORTE"/>
    <x v="4"/>
    <n v="0"/>
    <n v="0"/>
    <n v="0"/>
    <n v="1"/>
    <n v="0"/>
    <n v="0"/>
    <n v="0"/>
    <n v="0"/>
    <n v="0"/>
    <n v="0"/>
    <n v="1"/>
    <n v="0"/>
    <n v="2"/>
    <n v="0"/>
    <n v="0"/>
    <n v="0"/>
    <n v="1"/>
    <n v="0"/>
    <n v="0"/>
    <n v="0"/>
    <n v="0"/>
    <n v="0"/>
    <n v="0"/>
    <n v="0"/>
    <n v="0"/>
    <n v="1"/>
  </r>
  <r>
    <n v="39"/>
    <x v="10"/>
    <s v="Vigilancia Meteorológica"/>
    <x v="10"/>
    <s v="DOCUMENTO TECNICO"/>
    <s v="Vigilancia y estado del clima a nivel nacional"/>
    <s v="INFORME"/>
    <x v="4"/>
    <n v="0"/>
    <n v="0"/>
    <n v="0"/>
    <n v="0"/>
    <n v="0"/>
    <n v="1"/>
    <n v="0"/>
    <n v="0"/>
    <n v="0"/>
    <n v="0"/>
    <n v="1"/>
    <n v="0"/>
    <n v="2"/>
    <n v="0"/>
    <n v="0"/>
    <n v="0"/>
    <n v="0"/>
    <n v="0"/>
    <n v="1"/>
    <n v="0"/>
    <n v="0"/>
    <n v="0"/>
    <n v="0"/>
    <n v="0"/>
    <n v="0"/>
    <n v="1"/>
  </r>
  <r>
    <n v="31"/>
    <x v="2"/>
    <s v="HERRAMIENTAS Y METODOLOGÍAS METEOROLÓGICAS Y AMBIENTAL ATMOSFÉRICAS"/>
    <x v="2"/>
    <s v="DOCUMENTO TECNICO"/>
    <s v="Elaboración de Notas Técnicas y/o Protocolos en vigilancia de XTRIM actualizada -eventos extremos,"/>
    <s v="DOCUMENTO TÉCNICO"/>
    <x v="4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</r>
  <r>
    <n v="31"/>
    <x v="34"/>
    <s v="Elaboración de pronósticos meteorológicos, climáticos y ambientales atmosféricos"/>
    <x v="35"/>
    <s v="PRONOSTICO"/>
    <s v="Elaboración del pronóstico subestacional (semanal y mensual) a nivel nacional"/>
    <s v="PRONÓSTICO"/>
    <x v="4"/>
    <n v="16"/>
    <n v="16"/>
    <n v="16"/>
    <n v="16"/>
    <n v="16"/>
    <n v="16"/>
    <n v="16"/>
    <n v="16"/>
    <n v="16"/>
    <n v="16"/>
    <n v="16"/>
    <n v="16"/>
    <n v="192"/>
    <n v="16"/>
    <n v="16"/>
    <n v="16"/>
    <n v="16"/>
    <n v="16"/>
    <n v="16"/>
    <n v="16"/>
    <n v="16"/>
    <n v="16"/>
    <n v="0"/>
    <n v="0"/>
    <n v="0"/>
    <n v="144"/>
  </r>
  <r>
    <n v="96"/>
    <x v="33"/>
    <s v="Clima y variabilidad climática"/>
    <x v="34"/>
    <s v="ESTUDIO"/>
    <s v="Atlas de heladas meteorologicas fase 1&quot; "/>
    <s v="INFORME"/>
    <x v="4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Resumen" cacheId="9" applyNumberFormats="0" applyBorderFormats="0" applyFontFormats="0" applyPatternFormats="0" applyAlignmentFormats="0" applyWidthHeightFormats="0" dataCaption="" updatedVersion="6" compact="0" compactData="0">
  <location ref="A4:B5" firstHeaderRow="1" firstDataRow="1" firstDataCol="2" rowPageCount="1" colPageCount="1"/>
  <pivotFields count="34">
    <pivotField name="Meta pptal" compact="0" outline="0" multipleItemSelectionAllowed="1" showAll="0"/>
    <pivotField name="Codigo" axis="axisRow" compact="0" outline="0" multipleItemSelectionAllowed="1" showAll="0" sortType="ascending" defaultSubtotal="0">
      <items count="43">
        <item x="39"/>
        <item x="3"/>
        <item x="34"/>
        <item x="1"/>
        <item x="2"/>
        <item x="33"/>
        <item x="0"/>
        <item x="13"/>
        <item x="35"/>
        <item x="36"/>
        <item x="8"/>
        <item x="11"/>
        <item x="4"/>
        <item x="7"/>
        <item x="10"/>
        <item x="6"/>
        <item x="9"/>
        <item x="38"/>
        <item x="37"/>
        <item x="12"/>
        <item x="5"/>
        <item x="40"/>
        <item x="41"/>
        <item x="30"/>
        <item x="26"/>
        <item x="17"/>
        <item x="16"/>
        <item x="18"/>
        <item x="42"/>
        <item x="19"/>
        <item x="20"/>
        <item x="21"/>
        <item x="22"/>
        <item x="23"/>
        <item x="24"/>
        <item x="25"/>
        <item x="27"/>
        <item x="28"/>
        <item x="29"/>
        <item x="31"/>
        <item x="32"/>
        <item x="14"/>
        <item x="15"/>
      </items>
    </pivotField>
    <pivotField compact="0" outline="0" subtotalTop="0" showAll="0" includeNewItemsInFilter="1" defaultSubtotal="0"/>
    <pivotField name="Actividad Operativa" axis="axisRow" compact="0" outline="0" multipleItemSelectionAllowed="1" showAll="0" sortType="ascending">
      <items count="46">
        <item x="12"/>
        <item x="40"/>
        <item x="2"/>
        <item x="5"/>
        <item x="3"/>
        <item x="6"/>
        <item x="34"/>
        <item x="9"/>
        <item x="39"/>
        <item x="44"/>
        <item x="7"/>
        <item x="8"/>
        <item x="35"/>
        <item x="38"/>
        <item x="41"/>
        <item x="13"/>
        <item x="37"/>
        <item x="0"/>
        <item x="1"/>
        <item x="11"/>
        <item x="14"/>
        <item x="15"/>
        <item x="28"/>
        <item x="31"/>
        <item x="30"/>
        <item x="33"/>
        <item x="29"/>
        <item x="27"/>
        <item x="26"/>
        <item x="32"/>
        <item x="17"/>
        <item x="25"/>
        <item x="22"/>
        <item x="21"/>
        <item x="24"/>
        <item x="23"/>
        <item x="19"/>
        <item x="16"/>
        <item x="18"/>
        <item x="20"/>
        <item x="4"/>
        <item x="42"/>
        <item x="43"/>
        <item x="10"/>
        <item x="36"/>
        <item t="default"/>
      </items>
    </pivotField>
    <pivotField name="Unidad de medida" compact="0" outline="0" multipleItemSelectionAllowed="1" showAll="0"/>
    <pivotField name="Accion UGP" compact="0" outline="0" multipleItemSelectionAllowed="1" showAll="0"/>
    <pivotField name="unidad de medida2" compact="0" outline="0" multipleItemSelectionAllowed="1" showAll="0"/>
    <pivotField name="Organo" axis="axisPage" compact="0" outline="0" multipleItemSelectionAllowed="1" showAll="0">
      <items count="15">
        <item m="1" x="10"/>
        <item h="1" m="1" x="9"/>
        <item h="1" m="1" x="11"/>
        <item h="1" m="1" x="13"/>
        <item h="1" m="1" x="12"/>
        <item h="1" m="1" x="6"/>
        <item h="1" m="1" x="7"/>
        <item h="1" x="2"/>
        <item h="1" m="1" x="8"/>
        <item h="1" x="0"/>
        <item h="1" x="1"/>
        <item h="1" x="3"/>
        <item h="1" x="4"/>
        <item h="1" x="5"/>
        <item t="default"/>
      </items>
    </pivotField>
    <pivotField name="PROGRAM ENE" compact="0" numFmtId="4" outline="0" multipleItemSelectionAllowed="1" showAll="0"/>
    <pivotField name="PROGRAM FEB" compact="0" numFmtId="4" outline="0" multipleItemSelectionAllowed="1" showAll="0"/>
    <pivotField name="PROGRAM MAR" compact="0" numFmtId="4" outline="0" multipleItemSelectionAllowed="1" showAll="0"/>
    <pivotField name="PROGRAM ABR" compact="0" numFmtId="4" outline="0" multipleItemSelectionAllowed="1" showAll="0"/>
    <pivotField name="PROGRAM MAY" compact="0" numFmtId="4" outline="0" multipleItemSelectionAllowed="1" showAll="0"/>
    <pivotField name="PROGRAM JUN" compact="0" numFmtId="4" outline="0" multipleItemSelectionAllowed="1" showAll="0"/>
    <pivotField name="PROGRAM JUL" compact="0" numFmtId="4" outline="0" multipleItemSelectionAllowed="1" showAll="0"/>
    <pivotField name="PROGRAM AGO" compact="0" numFmtId="4" outline="0" multipleItemSelectionAllowed="1" showAll="0"/>
    <pivotField name="PROGRAM SET" compact="0" numFmtId="4" outline="0" multipleItemSelectionAllowed="1" showAll="0"/>
    <pivotField name="PROGRAM OCT" compact="0" numFmtId="4" outline="0" multipleItemSelectionAllowed="1" showAll="0"/>
    <pivotField name="PROGRAM NOV" compact="0" numFmtId="4" outline="0" multipleItemSelectionAllowed="1" showAll="0"/>
    <pivotField name="PROGRAM DIC" compact="0" numFmtId="4" outline="0" multipleItemSelectionAllowed="1" showAll="0"/>
    <pivotField name="PROGRAM Total" compact="0" numFmtId="4" outline="0" multipleItemSelectionAllowed="1" showAll="0"/>
    <pivotField name="EJECUCIÓN ENE" compact="0" numFmtId="4" outline="0" multipleItemSelectionAllowed="1" showAll="0"/>
    <pivotField name="EJECUCIÓN FEB" compact="0" numFmtId="4" outline="0" multipleItemSelectionAllowed="1" showAll="0"/>
    <pivotField name="EJECUCIÓN MAR" compact="0" numFmtId="4" outline="0" multipleItemSelectionAllowed="1" showAll="0"/>
    <pivotField name="EJECUCIÓN ABR" compact="0" numFmtId="4" outline="0" multipleItemSelectionAllowed="1" showAll="0"/>
    <pivotField name="EJECUCIÓN MAY" compact="0" numFmtId="4" outline="0" multipleItemSelectionAllowed="1" showAll="0"/>
    <pivotField name="EJECUCIÓN JUN" compact="0" numFmtId="4" outline="0" multipleItemSelectionAllowed="1" showAll="0"/>
    <pivotField name="EJECUCIÓN JUL" compact="0" numFmtId="4" outline="0" multipleItemSelectionAllowed="1" showAll="0"/>
    <pivotField name="EJECUCIÓN AGO" compact="0" numFmtId="4" outline="0" multipleItemSelectionAllowed="1" showAll="0"/>
    <pivotField name="EJECUCIÓN SET" compact="0" numFmtId="4" outline="0" multipleItemSelectionAllowed="1" showAll="0"/>
    <pivotField name="EJECUCIÓN OCT" compact="0" outline="0" multipleItemSelectionAllowed="1" showAll="0"/>
    <pivotField name="EJECUCIÓN NOV" compact="0" outline="0" multipleItemSelectionAllowed="1" showAll="0"/>
    <pivotField name="EJECUCIÓN DIC" compact="0" outline="0" multipleItemSelectionAllowed="1" showAll="0"/>
    <pivotField name="EJECUCIÓN Total" compact="0" numFmtId="4" outline="0" multipleItemSelectionAllowed="1" showAll="0"/>
  </pivotFields>
  <rowFields count="2">
    <field x="1"/>
    <field x="3"/>
  </rowFields>
  <rowItems count="1">
    <i t="grand">
      <x/>
    </i>
  </rowItems>
  <colItems count="1">
    <i/>
  </colItems>
  <pageFields count="1">
    <pageField fld="7" hier="0"/>
  </page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D" cacheId="4" applyNumberFormats="0" applyBorderFormats="0" applyFontFormats="0" applyPatternFormats="0" applyAlignmentFormats="0" applyWidthHeightFormats="0" dataCaption="" updatedVersion="6" compact="0" compactData="0">
  <location ref="A3:C52" firstHeaderRow="1" firstDataRow="2" firstDataCol="1"/>
  <pivotFields count="34">
    <pivotField name="Meta pptal" compact="0" outline="0" multipleItemSelectionAllowed="1" showAll="0"/>
    <pivotField name="Codigo" axis="axisRow" compact="0" outline="0" multipleItemSelectionAllowed="1" showAll="0" sortType="ascending">
      <items count="49">
        <item m="1" x="47"/>
        <item x="46"/>
        <item x="39"/>
        <item x="3"/>
        <item x="34"/>
        <item x="1"/>
        <item x="2"/>
        <item x="33"/>
        <item x="0"/>
        <item x="13"/>
        <item x="35"/>
        <item x="36"/>
        <item x="8"/>
        <item x="11"/>
        <item x="4"/>
        <item x="7"/>
        <item x="10"/>
        <item x="6"/>
        <item x="9"/>
        <item x="38"/>
        <item x="37"/>
        <item x="12"/>
        <item x="5"/>
        <item x="40"/>
        <item x="41"/>
        <item x="30"/>
        <item x="26"/>
        <item x="17"/>
        <item x="16"/>
        <item x="18"/>
        <item x="42"/>
        <item x="19"/>
        <item x="20"/>
        <item x="21"/>
        <item x="22"/>
        <item x="23"/>
        <item x="24"/>
        <item x="25"/>
        <item x="27"/>
        <item x="28"/>
        <item x="29"/>
        <item x="31"/>
        <item x="32"/>
        <item x="14"/>
        <item x="15"/>
        <item x="43"/>
        <item x="44"/>
        <item x="45"/>
        <item t="default"/>
      </items>
    </pivotField>
    <pivotField compact="0" outline="0" subtotalTop="0" showAll="0" includeNewItemsInFilter="1" defaultSubtotal="0"/>
    <pivotField name="Actividad Operativa" compact="0" outline="0" multipleItemSelectionAllowed="1" showAll="0"/>
    <pivotField name="Unidad de medida" compact="0" outline="0" multipleItemSelectionAllowed="1" showAll="0"/>
    <pivotField name="Accion UGP" compact="0" outline="0" multipleItemSelectionAllowed="1" showAll="0"/>
    <pivotField name="unidad de medida2" compact="0" outline="0" multipleItemSelectionAllowed="1" showAll="0"/>
    <pivotField name="Organo" compact="0" outline="0" multipleItemSelectionAllowed="1" showAll="0"/>
    <pivotField name="PROGRAM ENE" compact="0" numFmtId="4" outline="0" multipleItemSelectionAllowed="1" showAll="0"/>
    <pivotField name="PROGRAM FEB" compact="0" numFmtId="4" outline="0" multipleItemSelectionAllowed="1" showAll="0"/>
    <pivotField name="PROGRAM MAR" compact="0" numFmtId="4" outline="0" multipleItemSelectionAllowed="1" showAll="0"/>
    <pivotField name="PROGRAM ABR" compact="0" numFmtId="4" outline="0" multipleItemSelectionAllowed="1" showAll="0"/>
    <pivotField name="PROGRAM MAY" compact="0" numFmtId="4" outline="0" multipleItemSelectionAllowed="1" showAll="0"/>
    <pivotField name="PROGRAM JUN" compact="0" numFmtId="4" outline="0" multipleItemSelectionAllowed="1" showAll="0"/>
    <pivotField name="PROGRAM JUL" compact="0" numFmtId="4" outline="0" multipleItemSelectionAllowed="1" showAll="0"/>
    <pivotField name="PROGRAM AGO" dataField="1" compact="0" numFmtId="4" outline="0" multipleItemSelectionAllowed="1" showAll="0"/>
    <pivotField name="PROGRAM SET" compact="0" numFmtId="4" outline="0" multipleItemSelectionAllowed="1" showAll="0"/>
    <pivotField name="PROGRAM OCT" compact="0" numFmtId="4" outline="0" multipleItemSelectionAllowed="1" showAll="0"/>
    <pivotField name="PROGRAM NOV" compact="0" numFmtId="4" outline="0" multipleItemSelectionAllowed="1" showAll="0"/>
    <pivotField name="PROGRAM DIC" compact="0" numFmtId="4" outline="0" multipleItemSelectionAllowed="1" showAll="0"/>
    <pivotField name="PROGRAM Total" compact="0" numFmtId="4" outline="0" multipleItemSelectionAllowed="1" showAll="0"/>
    <pivotField name="EJECUCIÓN ENE" compact="0" numFmtId="4" outline="0" multipleItemSelectionAllowed="1" showAll="0"/>
    <pivotField name="EJECUCIÓN FEB" compact="0" numFmtId="4" outline="0" multipleItemSelectionAllowed="1" showAll="0"/>
    <pivotField name="EJECUCIÓN MAR" compact="0" numFmtId="4" outline="0" multipleItemSelectionAllowed="1" showAll="0"/>
    <pivotField name="EJECUCIÓN ABR" compact="0" numFmtId="4" outline="0" multipleItemSelectionAllowed="1" showAll="0"/>
    <pivotField name="EJECUCIÓN MAY" compact="0" numFmtId="4" outline="0" multipleItemSelectionAllowed="1" showAll="0"/>
    <pivotField name="EJECUCIÓN JUN" compact="0" numFmtId="4" outline="0" multipleItemSelectionAllowed="1" showAll="0"/>
    <pivotField name="EJECUCIÓN JUL" compact="0" numFmtId="4" outline="0" multipleItemSelectionAllowed="1" showAll="0"/>
    <pivotField name="EJECUCIÓN AGO" dataField="1" compact="0" numFmtId="4" outline="0" multipleItemSelectionAllowed="1" showAll="0"/>
    <pivotField name="EJECUCIÓN SET" compact="0" numFmtId="4" outline="0" multipleItemSelectionAllowed="1" showAll="0"/>
    <pivotField name="EJECUCIÓN OCT" compact="0" outline="0" multipleItemSelectionAllowed="1" showAll="0"/>
    <pivotField name="EJECUCIÓN NOV" compact="0" outline="0" multipleItemSelectionAllowed="1" showAll="0"/>
    <pivotField name="EJECUCIÓN DIC" compact="0" outline="0" multipleItemSelectionAllowed="1" showAll="0"/>
    <pivotField name="EJECUCIÓN Total" compact="0" numFmtId="4" outline="0" multipleItemSelectionAllowed="1" showAll="0"/>
  </pivotFields>
  <rowFields count="1">
    <field x="1"/>
  </rowFields>
  <rowItems count="4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EJECUCIÓN AGO" fld="28" baseField="0"/>
    <dataField name="Suma de PROGRAM AGO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/>
  </sheetViews>
  <sheetFormatPr baseColWidth="10" defaultColWidth="12.625" defaultRowHeight="15" customHeight="1"/>
  <cols>
    <col min="1" max="1" width="17.875" customWidth="1"/>
    <col min="2" max="2" width="82.375" customWidth="1"/>
    <col min="3" max="3" width="24" customWidth="1"/>
    <col min="4" max="4" width="10.375" customWidth="1"/>
    <col min="5" max="5" width="17.75" customWidth="1"/>
    <col min="6" max="6" width="15.125" customWidth="1"/>
    <col min="7" max="9" width="10.375" customWidth="1"/>
    <col min="10" max="10" width="20.375" customWidth="1"/>
    <col min="11" max="26" width="10.375" customWidth="1"/>
  </cols>
  <sheetData>
    <row r="1" spans="1:7" ht="14.25" customHeight="1"/>
    <row r="2" spans="1:7" ht="14.25" customHeight="1">
      <c r="A2" s="53" t="s">
        <v>5</v>
      </c>
      <c r="B2" s="54" t="s">
        <v>301</v>
      </c>
    </row>
    <row r="3" spans="1:7" ht="14.25" customHeight="1"/>
    <row r="4" spans="1:7" ht="14.25" customHeight="1">
      <c r="A4" s="48" t="s">
        <v>1</v>
      </c>
      <c r="B4" s="49" t="s">
        <v>2</v>
      </c>
    </row>
    <row r="5" spans="1:7" ht="14.25" customHeight="1">
      <c r="A5" s="51" t="s">
        <v>128</v>
      </c>
      <c r="B5" s="52"/>
      <c r="D5" s="8"/>
      <c r="E5" s="8"/>
      <c r="F5" s="8"/>
      <c r="G5" s="8"/>
    </row>
    <row r="6" spans="1:7" ht="14.25" customHeight="1">
      <c r="D6" s="8"/>
      <c r="E6" s="8"/>
      <c r="F6" s="8"/>
      <c r="G6" s="8"/>
    </row>
    <row r="7" spans="1:7" ht="14.25" customHeight="1">
      <c r="D7" s="8"/>
      <c r="E7" s="8"/>
      <c r="F7" s="8"/>
      <c r="G7" s="8"/>
    </row>
    <row r="8" spans="1:7" ht="14.25" customHeight="1">
      <c r="D8" s="8"/>
      <c r="E8" s="8"/>
      <c r="F8" s="8"/>
      <c r="G8" s="8"/>
    </row>
    <row r="9" spans="1:7" ht="14.25" customHeight="1">
      <c r="D9" s="8"/>
      <c r="E9" s="8"/>
      <c r="F9" s="8"/>
      <c r="G9" s="8"/>
    </row>
    <row r="10" spans="1:7" ht="14.25" customHeight="1">
      <c r="D10" s="8"/>
      <c r="E10" s="8"/>
      <c r="F10" s="8"/>
      <c r="G10" s="8"/>
    </row>
    <row r="11" spans="1:7" ht="14.25" customHeight="1">
      <c r="D11" s="8"/>
      <c r="E11" s="8"/>
      <c r="F11" s="8"/>
      <c r="G11" s="8"/>
    </row>
    <row r="12" spans="1:7" ht="14.25" customHeight="1">
      <c r="D12" s="8"/>
      <c r="E12" s="8"/>
      <c r="F12" s="8"/>
      <c r="G12" s="8"/>
    </row>
    <row r="13" spans="1:7" ht="14.25" customHeight="1">
      <c r="D13" s="8"/>
      <c r="E13" s="8"/>
      <c r="F13" s="8"/>
      <c r="G13" s="8"/>
    </row>
    <row r="14" spans="1:7" ht="14.25" customHeight="1">
      <c r="D14" s="8"/>
      <c r="E14" s="8"/>
      <c r="F14" s="8"/>
      <c r="G14" s="8"/>
    </row>
    <row r="15" spans="1:7" ht="14.25" customHeight="1">
      <c r="D15" s="8"/>
      <c r="E15" s="8"/>
      <c r="F15" s="8"/>
      <c r="G15" s="8"/>
    </row>
    <row r="16" spans="1:7" ht="14.25" customHeight="1">
      <c r="D16" s="8"/>
      <c r="E16" s="8"/>
      <c r="F16" s="8"/>
      <c r="G16" s="8"/>
    </row>
    <row r="17" spans="1:7" ht="14.25" customHeight="1">
      <c r="D17" s="8"/>
      <c r="E17" s="8"/>
      <c r="F17" s="8"/>
      <c r="G17" s="8"/>
    </row>
    <row r="18" spans="1:7" ht="14.25" customHeight="1">
      <c r="D18" s="8"/>
      <c r="E18" s="8"/>
      <c r="F18" s="8"/>
      <c r="G18" s="8"/>
    </row>
    <row r="19" spans="1:7" ht="14.25" customHeight="1">
      <c r="A19" s="14" t="s">
        <v>118</v>
      </c>
      <c r="D19" s="8"/>
      <c r="E19" s="8"/>
      <c r="F19" s="8"/>
      <c r="G19" s="8"/>
    </row>
    <row r="20" spans="1:7" ht="14.25" customHeight="1">
      <c r="A20" s="8" t="s">
        <v>119</v>
      </c>
      <c r="D20" s="8"/>
      <c r="E20" s="8"/>
      <c r="F20" s="8"/>
      <c r="G20" s="8"/>
    </row>
    <row r="21" spans="1:7" ht="14.25" customHeight="1">
      <c r="D21" s="8"/>
      <c r="E21" s="8"/>
      <c r="F21" s="8"/>
      <c r="G21" s="8"/>
    </row>
    <row r="22" spans="1:7" ht="14.25" customHeight="1">
      <c r="D22" s="8"/>
      <c r="E22" s="8"/>
      <c r="F22" s="8"/>
      <c r="G22" s="8"/>
    </row>
    <row r="23" spans="1:7" ht="14.25" customHeight="1">
      <c r="D23" s="8"/>
      <c r="E23" s="8"/>
      <c r="F23" s="8"/>
      <c r="G23" s="8"/>
    </row>
    <row r="24" spans="1:7" ht="14.25" customHeight="1">
      <c r="D24" s="8"/>
      <c r="E24" s="8"/>
      <c r="F24" s="8"/>
      <c r="G24" s="8"/>
    </row>
    <row r="25" spans="1:7" ht="14.25" customHeight="1">
      <c r="D25" s="8"/>
      <c r="E25" s="8"/>
      <c r="F25" s="8"/>
      <c r="G25" s="8"/>
    </row>
    <row r="26" spans="1:7" ht="14.25" customHeight="1">
      <c r="D26" s="8"/>
      <c r="E26" s="8"/>
      <c r="F26" s="8"/>
      <c r="G26" s="8"/>
    </row>
    <row r="27" spans="1:7" ht="14.25" customHeight="1">
      <c r="D27" s="8"/>
      <c r="E27" s="8"/>
      <c r="F27" s="8"/>
      <c r="G27" s="8"/>
    </row>
    <row r="28" spans="1:7" ht="14.25" customHeight="1">
      <c r="D28" s="8"/>
      <c r="E28" s="8"/>
      <c r="F28" s="8"/>
      <c r="G28" s="8"/>
    </row>
    <row r="29" spans="1:7" ht="14.25" customHeight="1">
      <c r="D29" s="8"/>
      <c r="E29" s="8"/>
      <c r="F29" s="8"/>
      <c r="G29" s="8"/>
    </row>
    <row r="30" spans="1:7" ht="14.25" customHeight="1">
      <c r="D30" s="8"/>
      <c r="E30" s="8"/>
      <c r="F30" s="8"/>
      <c r="G30" s="8"/>
    </row>
    <row r="31" spans="1:7" ht="14.25" customHeight="1">
      <c r="D31" s="8"/>
      <c r="E31" s="8"/>
      <c r="F31" s="8"/>
      <c r="G31" s="8"/>
    </row>
    <row r="32" spans="1:7" ht="14.25" customHeight="1">
      <c r="D32" s="8"/>
      <c r="E32" s="8"/>
      <c r="F32" s="8"/>
      <c r="G32" s="8"/>
    </row>
    <row r="33" spans="4:7" ht="14.25" customHeight="1">
      <c r="D33" s="8"/>
      <c r="E33" s="8"/>
      <c r="F33" s="8"/>
      <c r="G33" s="8"/>
    </row>
    <row r="34" spans="4:7" ht="14.25" customHeight="1">
      <c r="D34" s="8"/>
      <c r="E34" s="8"/>
      <c r="F34" s="8"/>
      <c r="G34" s="8"/>
    </row>
    <row r="35" spans="4:7" ht="14.25" customHeight="1">
      <c r="D35" s="8"/>
      <c r="E35" s="8"/>
      <c r="F35" s="8"/>
      <c r="G35" s="8"/>
    </row>
    <row r="36" spans="4:7" ht="14.25" customHeight="1">
      <c r="D36" s="8"/>
      <c r="E36" s="8"/>
      <c r="F36" s="8"/>
      <c r="G36" s="8"/>
    </row>
    <row r="37" spans="4:7" ht="14.25" customHeight="1">
      <c r="D37" s="8"/>
      <c r="E37" s="8"/>
      <c r="F37" s="8"/>
      <c r="G37" s="8"/>
    </row>
    <row r="38" spans="4:7" ht="14.25" customHeight="1">
      <c r="D38" s="8"/>
      <c r="E38" s="8"/>
      <c r="F38" s="8"/>
      <c r="G38" s="8"/>
    </row>
    <row r="39" spans="4:7" ht="14.25" customHeight="1">
      <c r="D39" s="8"/>
      <c r="E39" s="8"/>
      <c r="F39" s="8"/>
      <c r="G39" s="8"/>
    </row>
    <row r="40" spans="4:7" ht="14.25" customHeight="1">
      <c r="D40" s="8"/>
      <c r="E40" s="8"/>
      <c r="F40" s="8"/>
      <c r="G40" s="8"/>
    </row>
    <row r="41" spans="4:7" ht="14.25" customHeight="1">
      <c r="D41" s="8"/>
      <c r="E41" s="8"/>
      <c r="F41" s="8"/>
      <c r="G41" s="8"/>
    </row>
    <row r="42" spans="4:7" ht="14.25" customHeight="1">
      <c r="D42" s="8"/>
      <c r="E42" s="8"/>
      <c r="F42" s="8"/>
      <c r="G42" s="8"/>
    </row>
    <row r="43" spans="4:7" ht="14.25" customHeight="1">
      <c r="D43" s="8"/>
      <c r="E43" s="8"/>
      <c r="F43" s="8"/>
      <c r="G43" s="8"/>
    </row>
    <row r="44" spans="4:7" ht="14.25" customHeight="1">
      <c r="D44" s="8"/>
      <c r="E44" s="8"/>
      <c r="F44" s="8"/>
      <c r="G44" s="8"/>
    </row>
    <row r="45" spans="4:7" ht="14.25" customHeight="1">
      <c r="D45" s="8"/>
      <c r="E45" s="8"/>
      <c r="F45" s="8"/>
      <c r="G45" s="8"/>
    </row>
    <row r="46" spans="4:7" ht="14.25" customHeight="1">
      <c r="D46" s="8"/>
      <c r="E46" s="8"/>
      <c r="F46" s="8"/>
      <c r="G46" s="8"/>
    </row>
    <row r="47" spans="4:7" ht="14.25" customHeight="1">
      <c r="D47" s="8"/>
      <c r="E47" s="8"/>
      <c r="F47" s="8"/>
      <c r="G47" s="8"/>
    </row>
    <row r="48" spans="4:7" ht="14.25" customHeight="1">
      <c r="D48" s="8"/>
      <c r="E48" s="8"/>
      <c r="F48" s="8"/>
      <c r="G48" s="8"/>
    </row>
    <row r="49" spans="1:7" ht="14.25" customHeight="1">
      <c r="D49" s="8"/>
      <c r="E49" s="8"/>
      <c r="F49" s="8"/>
      <c r="G49" s="8"/>
    </row>
    <row r="50" spans="1:7" ht="14.25" customHeight="1">
      <c r="D50" s="8"/>
      <c r="E50" s="8"/>
      <c r="F50" s="8"/>
      <c r="G50" s="8"/>
    </row>
    <row r="51" spans="1:7" ht="14.25" customHeight="1">
      <c r="D51" s="8"/>
      <c r="E51" s="8"/>
      <c r="F51" s="8"/>
      <c r="G51" s="8"/>
    </row>
    <row r="52" spans="1:7" ht="14.25" customHeight="1">
      <c r="D52" s="8"/>
      <c r="E52" s="8"/>
      <c r="F52" s="8"/>
      <c r="G52" s="8"/>
    </row>
    <row r="53" spans="1:7" ht="14.25" customHeight="1">
      <c r="D53" s="8"/>
      <c r="E53" s="8"/>
      <c r="F53" s="8"/>
      <c r="G53" s="8"/>
    </row>
    <row r="54" spans="1:7" ht="14.25" customHeight="1">
      <c r="D54" s="8"/>
      <c r="E54" s="8"/>
      <c r="F54" s="8"/>
      <c r="G54" s="8"/>
    </row>
    <row r="55" spans="1:7" ht="14.25" customHeight="1"/>
    <row r="56" spans="1:7" ht="14.25" customHeight="1"/>
    <row r="57" spans="1:7" ht="14.25" customHeight="1">
      <c r="A57" s="8"/>
      <c r="B57" s="8"/>
    </row>
    <row r="58" spans="1:7" ht="14.25" customHeight="1">
      <c r="A58" s="8"/>
      <c r="B58" s="8"/>
      <c r="C58" s="8"/>
    </row>
    <row r="59" spans="1:7" ht="14.25" customHeight="1">
      <c r="A59" s="8"/>
      <c r="B59" s="8"/>
      <c r="C59" s="8"/>
    </row>
    <row r="60" spans="1:7" ht="14.25" customHeight="1">
      <c r="A60" s="8"/>
      <c r="B60" s="8"/>
      <c r="C60" s="8"/>
    </row>
    <row r="61" spans="1:7" ht="14.25" customHeight="1">
      <c r="A61" s="8"/>
      <c r="B61" s="8"/>
      <c r="C61" s="8"/>
    </row>
    <row r="62" spans="1:7" ht="14.25" customHeight="1">
      <c r="A62" s="8"/>
      <c r="B62" s="8"/>
      <c r="C62" s="8"/>
      <c r="F62" s="8"/>
    </row>
    <row r="63" spans="1:7" ht="14.25" customHeight="1">
      <c r="A63" s="8"/>
      <c r="B63" s="8"/>
      <c r="C63" s="8"/>
    </row>
    <row r="64" spans="1:7" ht="14.25" customHeight="1">
      <c r="A64" s="8"/>
      <c r="B64" s="8"/>
      <c r="C64" s="8"/>
    </row>
    <row r="65" spans="1:8" ht="14.25" customHeight="1">
      <c r="A65" s="8"/>
      <c r="B65" s="8"/>
      <c r="C65" s="8"/>
    </row>
    <row r="66" spans="1:8" ht="14.25" customHeight="1">
      <c r="A66" s="8"/>
      <c r="B66" s="8"/>
      <c r="C66" s="8"/>
    </row>
    <row r="67" spans="1:8" ht="14.25" customHeight="1">
      <c r="A67" s="8"/>
      <c r="B67" s="8"/>
      <c r="C67" s="8"/>
    </row>
    <row r="68" spans="1:8" ht="14.25" customHeight="1">
      <c r="A68" s="8"/>
      <c r="B68" s="8"/>
      <c r="C68" s="8"/>
    </row>
    <row r="69" spans="1:8" ht="14.25" customHeight="1">
      <c r="A69" s="8"/>
      <c r="B69" s="8"/>
      <c r="C69" s="8"/>
    </row>
    <row r="70" spans="1:8" ht="14.25" customHeight="1">
      <c r="A70" s="8"/>
      <c r="B70" s="8"/>
      <c r="C70" s="8"/>
    </row>
    <row r="71" spans="1:8" ht="14.25" customHeight="1">
      <c r="A71" s="8"/>
      <c r="B71" s="8"/>
      <c r="C71" s="8"/>
    </row>
    <row r="72" spans="1:8" ht="14.25" customHeight="1">
      <c r="A72" s="8"/>
      <c r="B72" s="8"/>
      <c r="C72" s="8"/>
    </row>
    <row r="73" spans="1:8" ht="14.25" customHeight="1">
      <c r="A73" s="8"/>
      <c r="B73" s="8"/>
      <c r="C73" s="8"/>
    </row>
    <row r="74" spans="1:8" ht="14.25" customHeight="1">
      <c r="A74" s="8"/>
      <c r="B74" s="8"/>
      <c r="C74" s="8"/>
    </row>
    <row r="75" spans="1:8" ht="14.25" customHeight="1">
      <c r="A75" s="8"/>
      <c r="B75" s="8"/>
      <c r="C75" s="8"/>
      <c r="H75" s="8"/>
    </row>
    <row r="76" spans="1:8" ht="14.25" customHeight="1">
      <c r="A76" s="8"/>
      <c r="B76" s="8"/>
      <c r="C76" s="8"/>
    </row>
    <row r="77" spans="1:8" ht="14.25" customHeight="1">
      <c r="A77" s="8"/>
      <c r="B77" s="8"/>
      <c r="C77" s="8"/>
      <c r="D77" s="8"/>
    </row>
    <row r="78" spans="1:8" ht="14.25" customHeight="1">
      <c r="A78" s="8"/>
      <c r="B78" s="8"/>
      <c r="C78" s="8"/>
    </row>
    <row r="79" spans="1:8" ht="14.25" customHeight="1">
      <c r="A79" s="8"/>
      <c r="B79" s="8"/>
      <c r="C79" s="8"/>
    </row>
    <row r="80" spans="1:8" ht="14.25" customHeight="1">
      <c r="A80" s="8"/>
      <c r="B80" s="8"/>
      <c r="C80" s="8"/>
    </row>
    <row r="81" spans="1:6" ht="14.25" customHeight="1">
      <c r="A81" s="8"/>
      <c r="B81" s="8"/>
      <c r="C81" s="8"/>
    </row>
    <row r="82" spans="1:6" ht="14.25" customHeight="1">
      <c r="A82" s="8"/>
      <c r="B82" s="8"/>
      <c r="C82" s="8"/>
    </row>
    <row r="83" spans="1:6" ht="14.25" customHeight="1">
      <c r="A83" s="8"/>
      <c r="B83" s="8"/>
      <c r="C83" s="8"/>
    </row>
    <row r="84" spans="1:6" ht="14.25" customHeight="1">
      <c r="A84" s="8"/>
      <c r="B84" s="8"/>
      <c r="C84" s="8"/>
    </row>
    <row r="85" spans="1:6" ht="14.25" customHeight="1">
      <c r="A85" s="8"/>
      <c r="B85" s="8"/>
      <c r="C85" s="8"/>
    </row>
    <row r="86" spans="1:6" ht="14.25" customHeight="1">
      <c r="A86" s="8"/>
      <c r="B86" s="8"/>
      <c r="C86" s="8"/>
    </row>
    <row r="87" spans="1:6" ht="14.25" customHeight="1">
      <c r="A87" s="8"/>
      <c r="B87" s="8"/>
      <c r="C87" s="8"/>
    </row>
    <row r="88" spans="1:6" ht="14.25" customHeight="1">
      <c r="A88" s="8"/>
      <c r="B88" s="8"/>
      <c r="C88" s="8"/>
    </row>
    <row r="89" spans="1:6" ht="14.25" customHeight="1">
      <c r="A89" s="8"/>
      <c r="B89" s="8"/>
      <c r="C89" s="8"/>
    </row>
    <row r="90" spans="1:6" ht="14.25" customHeight="1">
      <c r="A90" s="8"/>
      <c r="B90" s="8"/>
      <c r="C90" s="8"/>
    </row>
    <row r="91" spans="1:6" ht="14.25" customHeight="1">
      <c r="A91" s="8"/>
      <c r="B91" s="8"/>
      <c r="C91" s="8"/>
    </row>
    <row r="92" spans="1:6" ht="14.25" customHeight="1">
      <c r="A92" s="8"/>
      <c r="B92" s="8"/>
      <c r="C92" s="8"/>
    </row>
    <row r="93" spans="1:6" ht="14.25" customHeight="1">
      <c r="A93" s="8"/>
      <c r="B93" s="8"/>
      <c r="C93" s="8"/>
    </row>
    <row r="94" spans="1:6" ht="14.25" customHeight="1">
      <c r="A94" s="8"/>
      <c r="B94" s="8"/>
      <c r="C94" s="8"/>
    </row>
    <row r="95" spans="1:6" ht="14.25" customHeight="1">
      <c r="A95" s="8"/>
      <c r="B95" s="8"/>
      <c r="C95" s="8"/>
    </row>
    <row r="96" spans="1:6" ht="14.25" customHeight="1">
      <c r="A96" s="8"/>
      <c r="B96" s="8"/>
      <c r="C96" s="8"/>
      <c r="F96" s="8"/>
    </row>
    <row r="97" spans="1:3" ht="14.25" customHeight="1">
      <c r="A97" s="8"/>
      <c r="B97" s="8"/>
      <c r="C97" s="8"/>
    </row>
    <row r="98" spans="1:3" ht="14.25" customHeight="1">
      <c r="A98" s="8"/>
      <c r="B98" s="8"/>
      <c r="C98" s="8"/>
    </row>
    <row r="99" spans="1:3" ht="14.25" customHeight="1">
      <c r="A99" s="8"/>
      <c r="B99" s="8"/>
      <c r="C99" s="8"/>
    </row>
    <row r="100" spans="1:3" ht="14.25" customHeight="1">
      <c r="A100" s="8"/>
      <c r="B100" s="8"/>
      <c r="C100" s="8"/>
    </row>
    <row r="101" spans="1:3" ht="14.25" customHeight="1">
      <c r="A101" s="8"/>
      <c r="B101" s="8"/>
      <c r="C101" s="8"/>
    </row>
    <row r="102" spans="1:3" ht="14.25" customHeight="1">
      <c r="A102" s="8"/>
      <c r="B102" s="8"/>
      <c r="C102" s="8"/>
    </row>
    <row r="103" spans="1:3" ht="14.25" customHeight="1">
      <c r="A103" s="8"/>
      <c r="B103" s="8"/>
      <c r="C103" s="8"/>
    </row>
    <row r="104" spans="1:3" ht="14.25" customHeight="1">
      <c r="A104" s="8"/>
      <c r="B104" s="8"/>
      <c r="C104" s="8"/>
    </row>
    <row r="105" spans="1:3" ht="14.25" customHeight="1">
      <c r="A105" s="8"/>
      <c r="B105" s="8"/>
      <c r="C105" s="8"/>
    </row>
    <row r="106" spans="1:3" ht="14.25" customHeight="1">
      <c r="A106" s="8"/>
      <c r="B106" s="8"/>
      <c r="C106" s="8"/>
    </row>
    <row r="107" spans="1:3" ht="14.25" customHeight="1">
      <c r="A107" s="8"/>
      <c r="B107" s="8"/>
      <c r="C107" s="8"/>
    </row>
    <row r="108" spans="1:3" ht="14.25" customHeight="1"/>
    <row r="109" spans="1:3" ht="14.25" customHeight="1"/>
    <row r="110" spans="1:3" ht="14.25" customHeight="1"/>
    <row r="111" spans="1:3" ht="14.25" customHeight="1"/>
    <row r="112" spans="1:3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baseColWidth="10" defaultColWidth="12.625" defaultRowHeight="15" customHeight="1"/>
  <cols>
    <col min="1" max="1" width="17.875" customWidth="1"/>
    <col min="2" max="3" width="10.625" customWidth="1"/>
    <col min="4" max="4" width="16.125" customWidth="1"/>
    <col min="5" max="6" width="10.625" customWidth="1"/>
    <col min="7" max="8" width="20.625" customWidth="1"/>
    <col min="9" max="26" width="10.625" customWidth="1"/>
  </cols>
  <sheetData>
    <row r="1" spans="1:11" ht="14.25" customHeight="1"/>
    <row r="2" spans="1:11" ht="14.25" customHeight="1"/>
    <row r="3" spans="1:11" ht="14.25" customHeight="1">
      <c r="A3" s="50"/>
      <c r="B3" s="48" t="s">
        <v>283</v>
      </c>
      <c r="C3" s="55"/>
      <c r="D3" s="8"/>
    </row>
    <row r="4" spans="1:11" ht="14.25" customHeight="1">
      <c r="A4" s="48" t="s">
        <v>1</v>
      </c>
      <c r="B4" s="50" t="s">
        <v>43</v>
      </c>
      <c r="C4" s="56" t="s">
        <v>44</v>
      </c>
      <c r="D4" s="8"/>
      <c r="E4" s="8" t="s">
        <v>46</v>
      </c>
      <c r="F4" s="8" t="s">
        <v>47</v>
      </c>
      <c r="G4" s="10" t="s">
        <v>48</v>
      </c>
      <c r="I4" s="10" t="s">
        <v>49</v>
      </c>
      <c r="J4" s="10" t="s">
        <v>50</v>
      </c>
      <c r="K4" s="10" t="s">
        <v>51</v>
      </c>
    </row>
    <row r="5" spans="1:11" ht="14.25" customHeight="1">
      <c r="A5" s="50" t="s">
        <v>45</v>
      </c>
      <c r="B5" s="57">
        <v>0</v>
      </c>
      <c r="C5" s="58">
        <v>0</v>
      </c>
      <c r="D5" s="11" t="s">
        <v>45</v>
      </c>
      <c r="E5" s="10">
        <v>0</v>
      </c>
      <c r="F5" s="10">
        <v>0</v>
      </c>
      <c r="G5" s="10" t="s">
        <v>54</v>
      </c>
      <c r="H5" s="10">
        <v>0</v>
      </c>
      <c r="I5" s="10">
        <v>0</v>
      </c>
      <c r="J5" s="10">
        <f t="shared" ref="J5:J58" si="0">+I5-E5</f>
        <v>0</v>
      </c>
      <c r="K5" s="10">
        <f t="shared" ref="K5:K58" si="1">+I5-F5</f>
        <v>0</v>
      </c>
    </row>
    <row r="6" spans="1:11" ht="14.25" customHeight="1">
      <c r="A6" s="59" t="s">
        <v>52</v>
      </c>
      <c r="B6" s="60">
        <v>0</v>
      </c>
      <c r="C6" s="61">
        <v>0</v>
      </c>
      <c r="D6" s="11" t="s">
        <v>52</v>
      </c>
      <c r="E6" s="10">
        <v>0</v>
      </c>
      <c r="F6" s="10">
        <v>0</v>
      </c>
      <c r="G6" s="10" t="s">
        <v>52</v>
      </c>
      <c r="H6" s="10">
        <v>0</v>
      </c>
      <c r="I6" s="10">
        <v>0</v>
      </c>
      <c r="J6" s="10">
        <f t="shared" si="0"/>
        <v>0</v>
      </c>
      <c r="K6" s="10">
        <f t="shared" si="1"/>
        <v>0</v>
      </c>
    </row>
    <row r="7" spans="1:11" ht="14.25" customHeight="1">
      <c r="A7" s="59" t="s">
        <v>55</v>
      </c>
      <c r="B7" s="60">
        <v>0</v>
      </c>
      <c r="C7" s="61">
        <v>0</v>
      </c>
      <c r="E7" s="10">
        <v>0</v>
      </c>
      <c r="F7" s="10">
        <v>0</v>
      </c>
      <c r="G7" s="10" t="s">
        <v>57</v>
      </c>
      <c r="H7" s="10">
        <v>0</v>
      </c>
      <c r="I7" s="10">
        <v>0</v>
      </c>
      <c r="J7" s="10">
        <f t="shared" si="0"/>
        <v>0</v>
      </c>
      <c r="K7" s="10">
        <f t="shared" si="1"/>
        <v>0</v>
      </c>
    </row>
    <row r="8" spans="1:11" ht="14.25" customHeight="1">
      <c r="A8" s="59" t="s">
        <v>56</v>
      </c>
      <c r="B8" s="60">
        <v>20</v>
      </c>
      <c r="C8" s="61">
        <v>20</v>
      </c>
      <c r="D8" s="11" t="s">
        <v>55</v>
      </c>
      <c r="E8" s="10">
        <v>0</v>
      </c>
      <c r="F8" s="10">
        <v>0</v>
      </c>
      <c r="G8" s="10" t="s">
        <v>55</v>
      </c>
      <c r="H8" s="10">
        <v>0</v>
      </c>
      <c r="I8" s="10">
        <v>0</v>
      </c>
      <c r="J8" s="10">
        <f t="shared" si="0"/>
        <v>0</v>
      </c>
      <c r="K8" s="10">
        <f t="shared" si="1"/>
        <v>0</v>
      </c>
    </row>
    <row r="9" spans="1:11" ht="14.25" customHeight="1">
      <c r="A9" s="59" t="s">
        <v>38</v>
      </c>
      <c r="B9" s="60">
        <v>1</v>
      </c>
      <c r="C9" s="61">
        <v>1</v>
      </c>
      <c r="D9" s="11" t="s">
        <v>56</v>
      </c>
      <c r="E9" s="10">
        <v>20</v>
      </c>
      <c r="F9" s="10">
        <v>20</v>
      </c>
      <c r="G9" s="10" t="s">
        <v>56</v>
      </c>
      <c r="H9" s="10">
        <v>20</v>
      </c>
      <c r="I9" s="10">
        <v>20</v>
      </c>
      <c r="J9" s="10">
        <f t="shared" si="0"/>
        <v>0</v>
      </c>
      <c r="K9" s="10">
        <f t="shared" si="1"/>
        <v>0</v>
      </c>
    </row>
    <row r="10" spans="1:11" ht="14.25" customHeight="1">
      <c r="A10" s="59" t="s">
        <v>58</v>
      </c>
      <c r="B10" s="60">
        <v>0</v>
      </c>
      <c r="C10" s="61">
        <v>0</v>
      </c>
      <c r="D10" s="11" t="s">
        <v>38</v>
      </c>
      <c r="E10" s="10">
        <v>0</v>
      </c>
      <c r="F10" s="10">
        <v>0</v>
      </c>
      <c r="G10" s="12" t="s">
        <v>38</v>
      </c>
      <c r="H10" s="12">
        <v>0</v>
      </c>
      <c r="I10" s="12">
        <v>0</v>
      </c>
      <c r="J10" s="10">
        <f t="shared" si="0"/>
        <v>0</v>
      </c>
      <c r="K10" s="10">
        <f t="shared" si="1"/>
        <v>0</v>
      </c>
    </row>
    <row r="11" spans="1:11" ht="14.25" customHeight="1">
      <c r="A11" s="59" t="s">
        <v>59</v>
      </c>
      <c r="B11" s="60">
        <v>0</v>
      </c>
      <c r="C11" s="61">
        <v>0</v>
      </c>
      <c r="E11" s="10">
        <v>0</v>
      </c>
      <c r="F11" s="10">
        <v>0</v>
      </c>
      <c r="G11" s="10" t="s">
        <v>60</v>
      </c>
      <c r="H11" s="10">
        <v>0</v>
      </c>
      <c r="I11" s="10">
        <v>0</v>
      </c>
      <c r="J11" s="10">
        <f t="shared" si="0"/>
        <v>0</v>
      </c>
      <c r="K11" s="10">
        <f t="shared" si="1"/>
        <v>0</v>
      </c>
    </row>
    <row r="12" spans="1:11" ht="14.25" customHeight="1">
      <c r="A12" s="59" t="s">
        <v>32</v>
      </c>
      <c r="B12" s="60">
        <v>2</v>
      </c>
      <c r="C12" s="61">
        <v>2</v>
      </c>
      <c r="D12" s="11" t="s">
        <v>58</v>
      </c>
      <c r="E12" s="10">
        <v>0</v>
      </c>
      <c r="F12" s="10">
        <v>0</v>
      </c>
      <c r="G12" s="10" t="s">
        <v>58</v>
      </c>
      <c r="H12" s="10">
        <v>0</v>
      </c>
      <c r="I12" s="10">
        <v>0</v>
      </c>
      <c r="J12" s="10">
        <f t="shared" si="0"/>
        <v>0</v>
      </c>
      <c r="K12" s="10">
        <f t="shared" si="1"/>
        <v>0</v>
      </c>
    </row>
    <row r="13" spans="1:11" ht="14.25" customHeight="1">
      <c r="A13" s="59" t="s">
        <v>61</v>
      </c>
      <c r="B13" s="60">
        <v>1</v>
      </c>
      <c r="C13" s="61">
        <v>1</v>
      </c>
      <c r="E13" s="10">
        <v>0</v>
      </c>
      <c r="F13" s="10">
        <v>0</v>
      </c>
      <c r="G13" s="10" t="s">
        <v>65</v>
      </c>
      <c r="H13" s="10">
        <v>0</v>
      </c>
      <c r="I13" s="10">
        <v>0</v>
      </c>
      <c r="J13" s="10">
        <f t="shared" si="0"/>
        <v>0</v>
      </c>
      <c r="K13" s="10">
        <f t="shared" si="1"/>
        <v>0</v>
      </c>
    </row>
    <row r="14" spans="1:11" ht="14.25" customHeight="1">
      <c r="A14" s="59" t="s">
        <v>64</v>
      </c>
      <c r="B14" s="60">
        <v>3</v>
      </c>
      <c r="C14" s="61">
        <v>3</v>
      </c>
      <c r="D14" s="11" t="s">
        <v>59</v>
      </c>
      <c r="E14" s="10">
        <v>0</v>
      </c>
      <c r="F14" s="10">
        <v>0</v>
      </c>
      <c r="G14" s="10" t="s">
        <v>59</v>
      </c>
      <c r="H14" s="10">
        <v>0</v>
      </c>
      <c r="I14" s="10">
        <v>0</v>
      </c>
      <c r="J14" s="10">
        <f t="shared" si="0"/>
        <v>0</v>
      </c>
      <c r="K14" s="10">
        <f t="shared" si="1"/>
        <v>0</v>
      </c>
    </row>
    <row r="15" spans="1:11" ht="14.25" customHeight="1">
      <c r="A15" s="59" t="s">
        <v>67</v>
      </c>
      <c r="B15" s="60">
        <v>5</v>
      </c>
      <c r="C15" s="61">
        <v>5</v>
      </c>
      <c r="D15" s="11" t="s">
        <v>32</v>
      </c>
      <c r="E15" s="10">
        <v>0</v>
      </c>
      <c r="F15" s="10">
        <v>0</v>
      </c>
      <c r="G15" s="12" t="s">
        <v>32</v>
      </c>
      <c r="H15" s="12">
        <v>0</v>
      </c>
      <c r="I15" s="12">
        <v>0</v>
      </c>
      <c r="J15" s="10">
        <f t="shared" si="0"/>
        <v>0</v>
      </c>
      <c r="K15" s="10">
        <f t="shared" si="1"/>
        <v>0</v>
      </c>
    </row>
    <row r="16" spans="1:11" ht="14.25" customHeight="1">
      <c r="A16" s="59" t="s">
        <v>68</v>
      </c>
      <c r="B16" s="60">
        <v>31</v>
      </c>
      <c r="C16" s="61">
        <v>31</v>
      </c>
      <c r="D16" s="11" t="s">
        <v>61</v>
      </c>
      <c r="E16" s="10">
        <v>1</v>
      </c>
      <c r="F16" s="10">
        <v>1</v>
      </c>
      <c r="G16" s="10" t="s">
        <v>61</v>
      </c>
      <c r="H16" s="10">
        <v>1</v>
      </c>
      <c r="I16" s="10">
        <v>1</v>
      </c>
      <c r="J16" s="10">
        <f t="shared" si="0"/>
        <v>0</v>
      </c>
      <c r="K16" s="10">
        <f t="shared" si="1"/>
        <v>0</v>
      </c>
    </row>
    <row r="17" spans="1:11" ht="14.25" customHeight="1">
      <c r="A17" s="59" t="s">
        <v>70</v>
      </c>
      <c r="B17" s="60">
        <v>0</v>
      </c>
      <c r="C17" s="61">
        <v>0</v>
      </c>
      <c r="D17" s="11" t="s">
        <v>64</v>
      </c>
      <c r="E17" s="10">
        <v>3</v>
      </c>
      <c r="F17" s="10">
        <v>3</v>
      </c>
      <c r="G17" s="10" t="s">
        <v>64</v>
      </c>
      <c r="H17" s="10">
        <v>3</v>
      </c>
      <c r="I17" s="10">
        <v>3</v>
      </c>
      <c r="J17" s="10">
        <f t="shared" si="0"/>
        <v>0</v>
      </c>
      <c r="K17" s="10">
        <f t="shared" si="1"/>
        <v>0</v>
      </c>
    </row>
    <row r="18" spans="1:11" ht="14.25" customHeight="1">
      <c r="A18" s="59" t="s">
        <v>71</v>
      </c>
      <c r="B18" s="60">
        <v>3</v>
      </c>
      <c r="C18" s="61">
        <v>3</v>
      </c>
      <c r="D18" s="11" t="s">
        <v>67</v>
      </c>
      <c r="E18" s="10">
        <v>5</v>
      </c>
      <c r="F18" s="10">
        <v>5</v>
      </c>
      <c r="G18" s="10" t="s">
        <v>67</v>
      </c>
      <c r="H18" s="10">
        <v>5</v>
      </c>
      <c r="I18" s="10">
        <v>5</v>
      </c>
      <c r="J18" s="10">
        <f t="shared" si="0"/>
        <v>0</v>
      </c>
      <c r="K18" s="10">
        <f t="shared" si="1"/>
        <v>0</v>
      </c>
    </row>
    <row r="19" spans="1:11" ht="14.25" customHeight="1">
      <c r="A19" s="59" t="s">
        <v>72</v>
      </c>
      <c r="B19" s="60">
        <v>0</v>
      </c>
      <c r="C19" s="61">
        <v>0</v>
      </c>
      <c r="D19" s="11" t="s">
        <v>68</v>
      </c>
      <c r="E19" s="10">
        <v>31</v>
      </c>
      <c r="F19" s="10">
        <v>31</v>
      </c>
      <c r="G19" s="10" t="s">
        <v>68</v>
      </c>
      <c r="H19" s="10">
        <v>31</v>
      </c>
      <c r="I19" s="10">
        <v>31</v>
      </c>
      <c r="J19" s="10">
        <f t="shared" si="0"/>
        <v>0</v>
      </c>
      <c r="K19" s="10">
        <f t="shared" si="1"/>
        <v>0</v>
      </c>
    </row>
    <row r="20" spans="1:11" ht="14.25" customHeight="1">
      <c r="A20" s="59" t="s">
        <v>73</v>
      </c>
      <c r="B20" s="60">
        <v>62</v>
      </c>
      <c r="C20" s="61">
        <v>62</v>
      </c>
      <c r="D20" s="11" t="s">
        <v>70</v>
      </c>
      <c r="E20" s="10">
        <v>0</v>
      </c>
      <c r="F20" s="10">
        <v>0</v>
      </c>
      <c r="G20" s="10" t="s">
        <v>70</v>
      </c>
      <c r="H20" s="10">
        <v>0</v>
      </c>
      <c r="I20" s="10">
        <v>0</v>
      </c>
      <c r="J20" s="10">
        <f t="shared" si="0"/>
        <v>0</v>
      </c>
      <c r="K20" s="10">
        <f t="shared" si="1"/>
        <v>0</v>
      </c>
    </row>
    <row r="21" spans="1:11" ht="14.25" customHeight="1">
      <c r="A21" s="59" t="s">
        <v>74</v>
      </c>
      <c r="B21" s="60">
        <v>0</v>
      </c>
      <c r="C21" s="61">
        <v>0</v>
      </c>
      <c r="D21" s="11" t="s">
        <v>71</v>
      </c>
      <c r="E21" s="10">
        <v>3</v>
      </c>
      <c r="F21" s="10">
        <v>3</v>
      </c>
      <c r="G21" s="10" t="s">
        <v>71</v>
      </c>
      <c r="H21" s="10">
        <v>3</v>
      </c>
      <c r="I21" s="10">
        <v>3</v>
      </c>
      <c r="J21" s="10">
        <f t="shared" si="0"/>
        <v>0</v>
      </c>
      <c r="K21" s="10">
        <f t="shared" si="1"/>
        <v>0</v>
      </c>
    </row>
    <row r="22" spans="1:11" ht="14.25" customHeight="1">
      <c r="A22" s="59" t="s">
        <v>75</v>
      </c>
      <c r="B22" s="60">
        <v>0</v>
      </c>
      <c r="C22" s="61">
        <v>0</v>
      </c>
      <c r="D22" s="11" t="s">
        <v>72</v>
      </c>
      <c r="E22" s="10">
        <v>0</v>
      </c>
      <c r="F22" s="10">
        <v>0</v>
      </c>
      <c r="G22" s="10" t="s">
        <v>72</v>
      </c>
      <c r="H22" s="10">
        <v>0</v>
      </c>
      <c r="I22" s="10">
        <v>0</v>
      </c>
      <c r="J22" s="10">
        <f t="shared" si="0"/>
        <v>0</v>
      </c>
      <c r="K22" s="10">
        <f t="shared" si="1"/>
        <v>0</v>
      </c>
    </row>
    <row r="23" spans="1:11" ht="14.25" customHeight="1">
      <c r="A23" s="59" t="s">
        <v>76</v>
      </c>
      <c r="B23" s="60">
        <v>0</v>
      </c>
      <c r="C23" s="61">
        <v>0</v>
      </c>
      <c r="D23" s="11" t="s">
        <v>73</v>
      </c>
      <c r="E23" s="10">
        <v>62</v>
      </c>
      <c r="F23" s="10">
        <v>62</v>
      </c>
      <c r="G23" s="10" t="s">
        <v>73</v>
      </c>
      <c r="H23" s="10">
        <v>62</v>
      </c>
      <c r="I23" s="10">
        <v>62</v>
      </c>
      <c r="J23" s="10">
        <f t="shared" si="0"/>
        <v>0</v>
      </c>
      <c r="K23" s="10">
        <f t="shared" si="1"/>
        <v>0</v>
      </c>
    </row>
    <row r="24" spans="1:11" ht="14.25" customHeight="1">
      <c r="A24" s="59" t="s">
        <v>79</v>
      </c>
      <c r="B24" s="60">
        <v>52</v>
      </c>
      <c r="C24" s="61">
        <v>52</v>
      </c>
      <c r="D24" s="11" t="s">
        <v>74</v>
      </c>
      <c r="E24" s="10">
        <v>0</v>
      </c>
      <c r="F24" s="10">
        <v>0</v>
      </c>
      <c r="G24" s="10" t="s">
        <v>74</v>
      </c>
      <c r="H24" s="10">
        <v>0</v>
      </c>
      <c r="I24" s="10">
        <v>0</v>
      </c>
      <c r="J24" s="10">
        <f t="shared" si="0"/>
        <v>0</v>
      </c>
      <c r="K24" s="10">
        <f t="shared" si="1"/>
        <v>0</v>
      </c>
    </row>
    <row r="25" spans="1:11" ht="14.25" customHeight="1">
      <c r="A25" s="59" t="s">
        <v>80</v>
      </c>
      <c r="B25" s="60">
        <v>0</v>
      </c>
      <c r="C25" s="61">
        <v>0</v>
      </c>
      <c r="D25" s="11" t="s">
        <v>75</v>
      </c>
      <c r="E25" s="10">
        <v>0</v>
      </c>
      <c r="F25" s="10">
        <v>0</v>
      </c>
      <c r="G25" s="10" t="s">
        <v>75</v>
      </c>
      <c r="H25" s="10">
        <v>0</v>
      </c>
      <c r="I25" s="10">
        <v>0</v>
      </c>
      <c r="J25" s="10">
        <f t="shared" si="0"/>
        <v>0</v>
      </c>
      <c r="K25" s="10">
        <f t="shared" si="1"/>
        <v>0</v>
      </c>
    </row>
    <row r="26" spans="1:11" ht="14.25" customHeight="1">
      <c r="A26" s="59" t="s">
        <v>81</v>
      </c>
      <c r="B26" s="60">
        <v>15</v>
      </c>
      <c r="C26" s="61">
        <v>15</v>
      </c>
      <c r="E26" s="10">
        <v>0</v>
      </c>
      <c r="F26" s="10">
        <v>0</v>
      </c>
      <c r="G26" s="10" t="s">
        <v>83</v>
      </c>
      <c r="H26" s="10">
        <v>0</v>
      </c>
      <c r="I26" s="10">
        <v>0</v>
      </c>
      <c r="J26" s="10">
        <f t="shared" si="0"/>
        <v>0</v>
      </c>
      <c r="K26" s="10">
        <f t="shared" si="1"/>
        <v>0</v>
      </c>
    </row>
    <row r="27" spans="1:11" ht="14.25" customHeight="1">
      <c r="A27" s="59" t="s">
        <v>82</v>
      </c>
      <c r="B27" s="60">
        <v>2</v>
      </c>
      <c r="C27" s="61">
        <v>2</v>
      </c>
      <c r="D27" s="11" t="s">
        <v>76</v>
      </c>
      <c r="E27" s="10">
        <v>0</v>
      </c>
      <c r="F27" s="10">
        <v>0</v>
      </c>
      <c r="G27" s="10" t="s">
        <v>76</v>
      </c>
      <c r="H27" s="10">
        <v>0</v>
      </c>
      <c r="I27" s="10">
        <v>0</v>
      </c>
      <c r="J27" s="10">
        <f t="shared" si="0"/>
        <v>0</v>
      </c>
      <c r="K27" s="10">
        <f t="shared" si="1"/>
        <v>0</v>
      </c>
    </row>
    <row r="28" spans="1:11" ht="14.25" customHeight="1">
      <c r="A28" s="59" t="s">
        <v>84</v>
      </c>
      <c r="B28" s="60">
        <v>2</v>
      </c>
      <c r="C28" s="61">
        <v>2</v>
      </c>
      <c r="D28" s="11" t="s">
        <v>79</v>
      </c>
      <c r="E28" s="10">
        <v>52</v>
      </c>
      <c r="F28" s="10">
        <v>52</v>
      </c>
      <c r="G28" s="10" t="s">
        <v>79</v>
      </c>
      <c r="H28" s="10">
        <v>52</v>
      </c>
      <c r="I28" s="10">
        <v>52</v>
      </c>
      <c r="J28" s="10">
        <f t="shared" si="0"/>
        <v>0</v>
      </c>
      <c r="K28" s="10">
        <f t="shared" si="1"/>
        <v>0</v>
      </c>
    </row>
    <row r="29" spans="1:11" ht="14.25" customHeight="1">
      <c r="A29" s="59" t="s">
        <v>87</v>
      </c>
      <c r="B29" s="60">
        <v>0</v>
      </c>
      <c r="C29" s="61">
        <v>0</v>
      </c>
      <c r="D29" s="11" t="s">
        <v>80</v>
      </c>
      <c r="E29" s="10">
        <v>0</v>
      </c>
      <c r="F29" s="10">
        <v>0</v>
      </c>
      <c r="G29" s="10" t="s">
        <v>80</v>
      </c>
      <c r="H29" s="10">
        <v>0</v>
      </c>
      <c r="I29" s="10">
        <v>0</v>
      </c>
      <c r="J29" s="10">
        <f t="shared" si="0"/>
        <v>0</v>
      </c>
      <c r="K29" s="10">
        <f t="shared" si="1"/>
        <v>0</v>
      </c>
    </row>
    <row r="30" spans="1:11" ht="14.25" customHeight="1">
      <c r="A30" s="59" t="s">
        <v>88</v>
      </c>
      <c r="B30" s="60">
        <v>0</v>
      </c>
      <c r="C30" s="61">
        <v>0</v>
      </c>
      <c r="D30" s="11" t="s">
        <v>81</v>
      </c>
      <c r="E30" s="10">
        <v>15</v>
      </c>
      <c r="F30" s="10">
        <v>15</v>
      </c>
      <c r="G30" s="10" t="s">
        <v>81</v>
      </c>
      <c r="H30" s="10">
        <v>15</v>
      </c>
      <c r="I30" s="10">
        <v>15</v>
      </c>
      <c r="J30" s="10">
        <f t="shared" si="0"/>
        <v>0</v>
      </c>
      <c r="K30" s="10">
        <f t="shared" si="1"/>
        <v>0</v>
      </c>
    </row>
    <row r="31" spans="1:11" ht="14.25" customHeight="1">
      <c r="A31" s="59" t="s">
        <v>89</v>
      </c>
      <c r="B31" s="60">
        <v>0</v>
      </c>
      <c r="C31" s="61">
        <v>0</v>
      </c>
      <c r="E31" s="10">
        <v>0</v>
      </c>
      <c r="F31" s="10">
        <v>0</v>
      </c>
      <c r="G31" s="10" t="s">
        <v>91</v>
      </c>
      <c r="H31" s="10">
        <v>0</v>
      </c>
      <c r="I31" s="10">
        <v>0</v>
      </c>
      <c r="J31" s="10">
        <f t="shared" si="0"/>
        <v>0</v>
      </c>
      <c r="K31" s="10">
        <f t="shared" si="1"/>
        <v>0</v>
      </c>
    </row>
    <row r="32" spans="1:11" ht="14.25" customHeight="1">
      <c r="A32" s="59" t="s">
        <v>90</v>
      </c>
      <c r="B32" s="60">
        <v>0</v>
      </c>
      <c r="C32" s="61">
        <v>0</v>
      </c>
      <c r="E32" s="10">
        <v>0</v>
      </c>
      <c r="F32" s="10">
        <v>0</v>
      </c>
      <c r="G32" s="10" t="s">
        <v>93</v>
      </c>
      <c r="H32" s="10">
        <v>0</v>
      </c>
      <c r="I32" s="10">
        <v>0</v>
      </c>
      <c r="J32" s="10">
        <f t="shared" si="0"/>
        <v>0</v>
      </c>
      <c r="K32" s="10">
        <f t="shared" si="1"/>
        <v>0</v>
      </c>
    </row>
    <row r="33" spans="1:11" ht="14.25" customHeight="1">
      <c r="A33" s="59" t="s">
        <v>92</v>
      </c>
      <c r="B33" s="60">
        <v>0</v>
      </c>
      <c r="C33" s="61">
        <v>0</v>
      </c>
      <c r="D33" s="11" t="s">
        <v>82</v>
      </c>
      <c r="E33" s="10">
        <v>2</v>
      </c>
      <c r="F33" s="10">
        <v>2</v>
      </c>
      <c r="G33" s="10" t="s">
        <v>82</v>
      </c>
      <c r="H33" s="10">
        <v>2</v>
      </c>
      <c r="I33" s="10">
        <v>2</v>
      </c>
      <c r="J33" s="10">
        <f t="shared" si="0"/>
        <v>0</v>
      </c>
      <c r="K33" s="10">
        <f t="shared" si="1"/>
        <v>0</v>
      </c>
    </row>
    <row r="34" spans="1:11" ht="14.25" customHeight="1">
      <c r="A34" s="59" t="s">
        <v>94</v>
      </c>
      <c r="B34" s="60">
        <v>0</v>
      </c>
      <c r="C34" s="61">
        <v>0</v>
      </c>
      <c r="D34" s="11" t="s">
        <v>84</v>
      </c>
      <c r="E34" s="10">
        <v>2</v>
      </c>
      <c r="F34" s="10">
        <v>2</v>
      </c>
      <c r="G34" s="10" t="s">
        <v>84</v>
      </c>
      <c r="H34" s="10">
        <v>2</v>
      </c>
      <c r="I34" s="10">
        <v>2</v>
      </c>
      <c r="J34" s="10">
        <f t="shared" si="0"/>
        <v>0</v>
      </c>
      <c r="K34" s="10">
        <f t="shared" si="1"/>
        <v>0</v>
      </c>
    </row>
    <row r="35" spans="1:11" ht="14.25" customHeight="1">
      <c r="A35" s="59" t="s">
        <v>95</v>
      </c>
      <c r="B35" s="60">
        <v>0</v>
      </c>
      <c r="C35" s="61">
        <v>0</v>
      </c>
      <c r="D35" s="11" t="s">
        <v>87</v>
      </c>
      <c r="E35" s="10">
        <v>0</v>
      </c>
      <c r="F35" s="10">
        <v>0</v>
      </c>
      <c r="G35" s="10" t="s">
        <v>87</v>
      </c>
      <c r="H35" s="10">
        <v>0</v>
      </c>
      <c r="I35" s="10">
        <v>0</v>
      </c>
      <c r="J35" s="10">
        <f t="shared" si="0"/>
        <v>0</v>
      </c>
      <c r="K35" s="10">
        <f t="shared" si="1"/>
        <v>0</v>
      </c>
    </row>
    <row r="36" spans="1:11" ht="14.25" customHeight="1">
      <c r="A36" s="59" t="s">
        <v>96</v>
      </c>
      <c r="B36" s="60">
        <v>0</v>
      </c>
      <c r="C36" s="61">
        <v>0</v>
      </c>
      <c r="D36" s="11" t="s">
        <v>88</v>
      </c>
      <c r="E36" s="10">
        <v>0</v>
      </c>
      <c r="F36" s="10">
        <v>0</v>
      </c>
      <c r="G36" s="10" t="s">
        <v>88</v>
      </c>
      <c r="H36" s="10">
        <v>0</v>
      </c>
      <c r="I36" s="10">
        <v>0</v>
      </c>
      <c r="J36" s="10">
        <f t="shared" si="0"/>
        <v>0</v>
      </c>
      <c r="K36" s="10">
        <f t="shared" si="1"/>
        <v>0</v>
      </c>
    </row>
    <row r="37" spans="1:11" ht="14.25" customHeight="1">
      <c r="A37" s="59" t="s">
        <v>97</v>
      </c>
      <c r="B37" s="60">
        <v>0</v>
      </c>
      <c r="C37" s="61">
        <v>0</v>
      </c>
      <c r="D37" s="11" t="s">
        <v>89</v>
      </c>
      <c r="E37" s="10">
        <v>0</v>
      </c>
      <c r="F37" s="10">
        <v>0</v>
      </c>
      <c r="G37" s="10" t="s">
        <v>89</v>
      </c>
      <c r="H37" s="10">
        <v>0</v>
      </c>
      <c r="I37" s="10">
        <v>0</v>
      </c>
      <c r="J37" s="10">
        <f t="shared" si="0"/>
        <v>0</v>
      </c>
      <c r="K37" s="10">
        <f t="shared" si="1"/>
        <v>0</v>
      </c>
    </row>
    <row r="38" spans="1:11" ht="14.25" customHeight="1">
      <c r="A38" s="59" t="s">
        <v>100</v>
      </c>
      <c r="B38" s="60">
        <v>0</v>
      </c>
      <c r="C38" s="61">
        <v>0</v>
      </c>
      <c r="D38" s="11" t="s">
        <v>90</v>
      </c>
      <c r="E38" s="10">
        <v>0</v>
      </c>
      <c r="F38" s="10">
        <v>0</v>
      </c>
      <c r="G38" s="10" t="s">
        <v>90</v>
      </c>
      <c r="H38" s="10">
        <v>0</v>
      </c>
      <c r="I38" s="10">
        <v>0</v>
      </c>
      <c r="J38" s="10">
        <f t="shared" si="0"/>
        <v>0</v>
      </c>
      <c r="K38" s="10">
        <f t="shared" si="1"/>
        <v>0</v>
      </c>
    </row>
    <row r="39" spans="1:11" ht="14.25" customHeight="1">
      <c r="A39" s="59" t="s">
        <v>101</v>
      </c>
      <c r="B39" s="60">
        <v>0</v>
      </c>
      <c r="C39" s="61">
        <v>0</v>
      </c>
      <c r="D39" s="11" t="s">
        <v>92</v>
      </c>
      <c r="E39" s="10">
        <v>0</v>
      </c>
      <c r="F39" s="10">
        <v>0</v>
      </c>
      <c r="G39" s="10" t="s">
        <v>92</v>
      </c>
      <c r="H39" s="10">
        <v>0</v>
      </c>
      <c r="I39" s="10">
        <v>0</v>
      </c>
      <c r="J39" s="10">
        <f t="shared" si="0"/>
        <v>0</v>
      </c>
      <c r="K39" s="10">
        <f t="shared" si="1"/>
        <v>0</v>
      </c>
    </row>
    <row r="40" spans="1:11" ht="14.25" customHeight="1">
      <c r="A40" s="59" t="s">
        <v>102</v>
      </c>
      <c r="B40" s="60">
        <v>0</v>
      </c>
      <c r="C40" s="61">
        <v>0</v>
      </c>
      <c r="D40" s="11" t="s">
        <v>94</v>
      </c>
      <c r="E40" s="10">
        <v>0</v>
      </c>
      <c r="F40" s="10">
        <v>0</v>
      </c>
      <c r="G40" s="10" t="s">
        <v>94</v>
      </c>
      <c r="H40" s="10">
        <v>0</v>
      </c>
      <c r="I40" s="10">
        <v>0</v>
      </c>
      <c r="J40" s="10">
        <f t="shared" si="0"/>
        <v>0</v>
      </c>
      <c r="K40" s="10">
        <f t="shared" si="1"/>
        <v>0</v>
      </c>
    </row>
    <row r="41" spans="1:11" ht="14.25" customHeight="1">
      <c r="A41" s="59" t="s">
        <v>103</v>
      </c>
      <c r="B41" s="60">
        <v>0</v>
      </c>
      <c r="C41" s="61">
        <v>0</v>
      </c>
      <c r="D41" s="11" t="s">
        <v>95</v>
      </c>
      <c r="E41" s="10">
        <v>0</v>
      </c>
      <c r="F41" s="10">
        <v>0</v>
      </c>
      <c r="G41" s="10" t="s">
        <v>95</v>
      </c>
      <c r="H41" s="10">
        <v>0</v>
      </c>
      <c r="I41" s="10">
        <v>0</v>
      </c>
      <c r="J41" s="10">
        <f t="shared" si="0"/>
        <v>0</v>
      </c>
      <c r="K41" s="10">
        <f t="shared" si="1"/>
        <v>0</v>
      </c>
    </row>
    <row r="42" spans="1:11" ht="14.25" customHeight="1">
      <c r="A42" s="59" t="s">
        <v>104</v>
      </c>
      <c r="B42" s="60">
        <v>0</v>
      </c>
      <c r="C42" s="61">
        <v>0</v>
      </c>
      <c r="D42" s="11" t="s">
        <v>96</v>
      </c>
      <c r="E42" s="10">
        <v>0</v>
      </c>
      <c r="F42" s="10">
        <v>0</v>
      </c>
      <c r="G42" s="10" t="s">
        <v>96</v>
      </c>
      <c r="H42" s="10">
        <v>0</v>
      </c>
      <c r="I42" s="10">
        <v>0</v>
      </c>
      <c r="J42" s="10">
        <f t="shared" si="0"/>
        <v>0</v>
      </c>
      <c r="K42" s="10">
        <f t="shared" si="1"/>
        <v>0</v>
      </c>
    </row>
    <row r="43" spans="1:11" ht="14.25" customHeight="1">
      <c r="A43" s="59" t="s">
        <v>105</v>
      </c>
      <c r="B43" s="60">
        <v>0</v>
      </c>
      <c r="C43" s="61">
        <v>0</v>
      </c>
      <c r="D43" s="11" t="s">
        <v>97</v>
      </c>
      <c r="E43" s="10">
        <v>0</v>
      </c>
      <c r="F43" s="10">
        <v>0</v>
      </c>
      <c r="G43" s="10" t="s">
        <v>97</v>
      </c>
      <c r="H43" s="10">
        <v>0</v>
      </c>
      <c r="I43" s="10">
        <v>0</v>
      </c>
      <c r="J43" s="10">
        <f t="shared" si="0"/>
        <v>0</v>
      </c>
      <c r="K43" s="10">
        <f t="shared" si="1"/>
        <v>0</v>
      </c>
    </row>
    <row r="44" spans="1:11" ht="14.25" customHeight="1">
      <c r="A44" s="59" t="s">
        <v>106</v>
      </c>
      <c r="B44" s="60">
        <v>0</v>
      </c>
      <c r="C44" s="61">
        <v>0</v>
      </c>
      <c r="D44" s="11" t="s">
        <v>100</v>
      </c>
      <c r="E44" s="10">
        <v>0</v>
      </c>
      <c r="F44" s="10">
        <v>0</v>
      </c>
      <c r="G44" s="10" t="s">
        <v>100</v>
      </c>
      <c r="H44" s="10">
        <v>0</v>
      </c>
      <c r="I44" s="10">
        <v>0</v>
      </c>
      <c r="J44" s="10">
        <f t="shared" si="0"/>
        <v>0</v>
      </c>
      <c r="K44" s="10">
        <f t="shared" si="1"/>
        <v>0</v>
      </c>
    </row>
    <row r="45" spans="1:11" ht="14.25" customHeight="1">
      <c r="A45" s="59" t="s">
        <v>111</v>
      </c>
      <c r="B45" s="60">
        <v>0</v>
      </c>
      <c r="C45" s="61">
        <v>0</v>
      </c>
      <c r="D45" s="11" t="s">
        <v>101</v>
      </c>
      <c r="E45" s="10">
        <v>0</v>
      </c>
      <c r="F45" s="10">
        <v>0</v>
      </c>
      <c r="G45" s="10" t="s">
        <v>101</v>
      </c>
      <c r="H45" s="10">
        <v>0</v>
      </c>
      <c r="I45" s="10">
        <v>0</v>
      </c>
      <c r="J45" s="10">
        <f t="shared" si="0"/>
        <v>0</v>
      </c>
      <c r="K45" s="10">
        <f t="shared" si="1"/>
        <v>0</v>
      </c>
    </row>
    <row r="46" spans="1:11" ht="14.25" customHeight="1">
      <c r="A46" s="59" t="s">
        <v>112</v>
      </c>
      <c r="B46" s="60">
        <v>0</v>
      </c>
      <c r="C46" s="61">
        <v>0</v>
      </c>
      <c r="D46" s="11" t="s">
        <v>102</v>
      </c>
      <c r="E46" s="10">
        <v>0</v>
      </c>
      <c r="F46" s="10">
        <v>0</v>
      </c>
      <c r="G46" s="10" t="s">
        <v>102</v>
      </c>
      <c r="H46" s="10">
        <v>0</v>
      </c>
      <c r="I46" s="10">
        <v>0</v>
      </c>
      <c r="J46" s="10">
        <f t="shared" si="0"/>
        <v>0</v>
      </c>
      <c r="K46" s="10">
        <f t="shared" si="1"/>
        <v>0</v>
      </c>
    </row>
    <row r="47" spans="1:11" ht="14.25" customHeight="1">
      <c r="A47" s="59" t="s">
        <v>113</v>
      </c>
      <c r="B47" s="60">
        <v>0</v>
      </c>
      <c r="C47" s="61">
        <v>0</v>
      </c>
      <c r="D47" s="11" t="s">
        <v>103</v>
      </c>
      <c r="E47" s="10">
        <v>0</v>
      </c>
      <c r="F47" s="10">
        <v>0</v>
      </c>
      <c r="G47" s="10" t="s">
        <v>103</v>
      </c>
      <c r="H47" s="10">
        <v>0</v>
      </c>
      <c r="I47" s="10">
        <v>0</v>
      </c>
      <c r="J47" s="10">
        <f t="shared" si="0"/>
        <v>0</v>
      </c>
      <c r="K47" s="10">
        <f t="shared" si="1"/>
        <v>0</v>
      </c>
    </row>
    <row r="48" spans="1:11" ht="14.25" customHeight="1">
      <c r="A48" s="59" t="s">
        <v>114</v>
      </c>
      <c r="B48" s="60">
        <v>0</v>
      </c>
      <c r="C48" s="61">
        <v>0</v>
      </c>
      <c r="D48" s="11" t="s">
        <v>104</v>
      </c>
      <c r="E48" s="10">
        <v>0</v>
      </c>
      <c r="F48" s="10">
        <v>0</v>
      </c>
      <c r="G48" s="10" t="s">
        <v>104</v>
      </c>
      <c r="H48" s="10">
        <v>0</v>
      </c>
      <c r="I48" s="10">
        <v>0</v>
      </c>
      <c r="J48" s="10">
        <f t="shared" si="0"/>
        <v>0</v>
      </c>
      <c r="K48" s="10">
        <f t="shared" si="1"/>
        <v>0</v>
      </c>
    </row>
    <row r="49" spans="1:11" ht="14.25" customHeight="1">
      <c r="A49" s="59" t="s">
        <v>115</v>
      </c>
      <c r="B49" s="60">
        <v>0</v>
      </c>
      <c r="C49" s="61">
        <v>0</v>
      </c>
      <c r="D49" s="11" t="s">
        <v>105</v>
      </c>
      <c r="E49" s="10">
        <v>0</v>
      </c>
      <c r="F49" s="10">
        <v>0</v>
      </c>
      <c r="G49" s="10" t="s">
        <v>105</v>
      </c>
      <c r="H49" s="10">
        <v>0</v>
      </c>
      <c r="I49" s="10">
        <v>0</v>
      </c>
      <c r="J49" s="10">
        <f t="shared" si="0"/>
        <v>0</v>
      </c>
      <c r="K49" s="10">
        <f t="shared" si="1"/>
        <v>0</v>
      </c>
    </row>
    <row r="50" spans="1:11" ht="14.25" customHeight="1">
      <c r="A50" s="59" t="s">
        <v>116</v>
      </c>
      <c r="B50" s="60">
        <v>0</v>
      </c>
      <c r="C50" s="61">
        <v>0</v>
      </c>
      <c r="D50" s="11" t="s">
        <v>106</v>
      </c>
      <c r="E50" s="10">
        <v>0</v>
      </c>
      <c r="F50" s="10">
        <v>0</v>
      </c>
      <c r="G50" s="10" t="s">
        <v>106</v>
      </c>
      <c r="H50" s="10">
        <v>0</v>
      </c>
      <c r="I50" s="10">
        <v>0</v>
      </c>
      <c r="J50" s="10">
        <f t="shared" si="0"/>
        <v>0</v>
      </c>
      <c r="K50" s="10">
        <f t="shared" si="1"/>
        <v>0</v>
      </c>
    </row>
    <row r="51" spans="1:11" ht="14.25" customHeight="1">
      <c r="A51" s="59" t="s">
        <v>117</v>
      </c>
      <c r="B51" s="60">
        <v>0</v>
      </c>
      <c r="C51" s="61">
        <v>0</v>
      </c>
      <c r="D51" s="11" t="s">
        <v>111</v>
      </c>
      <c r="E51" s="10">
        <v>0</v>
      </c>
      <c r="F51" s="10">
        <v>0</v>
      </c>
      <c r="G51" s="10" t="s">
        <v>111</v>
      </c>
      <c r="H51" s="10">
        <v>0</v>
      </c>
      <c r="I51" s="10">
        <v>0</v>
      </c>
      <c r="J51" s="10">
        <f t="shared" si="0"/>
        <v>0</v>
      </c>
      <c r="K51" s="10">
        <f t="shared" si="1"/>
        <v>0</v>
      </c>
    </row>
    <row r="52" spans="1:11" ht="14.25" customHeight="1">
      <c r="A52" s="51" t="s">
        <v>128</v>
      </c>
      <c r="B52" s="62">
        <v>199</v>
      </c>
      <c r="C52" s="63">
        <v>199</v>
      </c>
      <c r="D52" s="11" t="s">
        <v>112</v>
      </c>
      <c r="E52" s="10">
        <v>0</v>
      </c>
      <c r="F52" s="10">
        <v>0</v>
      </c>
      <c r="G52" s="10" t="s">
        <v>112</v>
      </c>
      <c r="H52" s="10">
        <v>0</v>
      </c>
      <c r="I52" s="10">
        <v>0</v>
      </c>
      <c r="J52" s="10">
        <f t="shared" si="0"/>
        <v>0</v>
      </c>
      <c r="K52" s="10">
        <f t="shared" si="1"/>
        <v>0</v>
      </c>
    </row>
    <row r="53" spans="1:11" ht="14.25" customHeight="1">
      <c r="D53" s="11" t="s">
        <v>113</v>
      </c>
      <c r="E53" s="10">
        <v>0</v>
      </c>
      <c r="F53" s="10">
        <v>0</v>
      </c>
      <c r="G53" s="10" t="s">
        <v>113</v>
      </c>
      <c r="H53" s="10">
        <v>0</v>
      </c>
      <c r="I53" s="10">
        <v>0</v>
      </c>
      <c r="J53" s="10">
        <f t="shared" si="0"/>
        <v>0</v>
      </c>
      <c r="K53" s="10">
        <f t="shared" si="1"/>
        <v>0</v>
      </c>
    </row>
    <row r="54" spans="1:11" ht="14.25" customHeight="1">
      <c r="D54" s="11" t="s">
        <v>114</v>
      </c>
      <c r="E54" s="10">
        <v>0</v>
      </c>
      <c r="F54" s="10">
        <v>0</v>
      </c>
      <c r="G54" s="10" t="s">
        <v>114</v>
      </c>
      <c r="H54" s="10">
        <v>0</v>
      </c>
      <c r="I54" s="10">
        <v>0</v>
      </c>
      <c r="J54" s="10">
        <f t="shared" si="0"/>
        <v>0</v>
      </c>
      <c r="K54" s="10">
        <f t="shared" si="1"/>
        <v>0</v>
      </c>
    </row>
    <row r="55" spans="1:11" ht="14.25" customHeight="1">
      <c r="D55" s="11" t="s">
        <v>115</v>
      </c>
      <c r="E55" s="10">
        <v>0</v>
      </c>
      <c r="F55" s="10">
        <v>0</v>
      </c>
      <c r="G55" s="10" t="s">
        <v>115</v>
      </c>
      <c r="H55" s="10">
        <v>0</v>
      </c>
      <c r="I55" s="10">
        <v>0</v>
      </c>
      <c r="J55" s="10">
        <f t="shared" si="0"/>
        <v>0</v>
      </c>
      <c r="K55" s="10">
        <f t="shared" si="1"/>
        <v>0</v>
      </c>
    </row>
    <row r="56" spans="1:11" ht="14.25" customHeight="1">
      <c r="D56" s="11" t="s">
        <v>116</v>
      </c>
      <c r="E56" s="10">
        <v>0</v>
      </c>
      <c r="F56" s="10">
        <v>0</v>
      </c>
      <c r="G56" s="10" t="s">
        <v>116</v>
      </c>
      <c r="H56" s="10">
        <v>0</v>
      </c>
      <c r="I56" s="10">
        <v>0</v>
      </c>
      <c r="J56" s="10">
        <f t="shared" si="0"/>
        <v>0</v>
      </c>
      <c r="K56" s="10">
        <f t="shared" si="1"/>
        <v>0</v>
      </c>
    </row>
    <row r="57" spans="1:11" ht="14.25" customHeight="1">
      <c r="D57" s="11" t="s">
        <v>117</v>
      </c>
      <c r="E57" s="10">
        <v>0</v>
      </c>
      <c r="F57" s="10">
        <v>0</v>
      </c>
      <c r="G57" s="10" t="s">
        <v>117</v>
      </c>
      <c r="H57" s="10">
        <v>0</v>
      </c>
      <c r="I57" s="10">
        <v>0</v>
      </c>
      <c r="J57" s="10">
        <f t="shared" si="0"/>
        <v>0</v>
      </c>
      <c r="K57" s="10">
        <f t="shared" si="1"/>
        <v>0</v>
      </c>
    </row>
    <row r="58" spans="1:11" ht="14.25" customHeight="1">
      <c r="E58" s="10">
        <v>199</v>
      </c>
      <c r="F58" s="10">
        <v>196</v>
      </c>
      <c r="G58" s="10" t="s">
        <v>128</v>
      </c>
      <c r="H58" s="10">
        <v>196</v>
      </c>
      <c r="I58" s="10">
        <v>196</v>
      </c>
      <c r="J58" s="10">
        <f t="shared" si="0"/>
        <v>-3</v>
      </c>
      <c r="K58" s="10">
        <f t="shared" si="1"/>
        <v>0</v>
      </c>
    </row>
    <row r="59" spans="1:11" ht="14.25" customHeight="1"/>
    <row r="60" spans="1:11" ht="14.25" customHeight="1"/>
    <row r="61" spans="1:11" ht="14.25" customHeight="1"/>
    <row r="62" spans="1:11" ht="14.25" customHeight="1"/>
    <row r="63" spans="1:11" ht="14.25" customHeight="1"/>
    <row r="64" spans="1:11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H999"/>
  <sheetViews>
    <sheetView tabSelected="1" workbookViewId="0">
      <pane xSplit="1" topLeftCell="B1" activePane="topRight" state="frozen"/>
      <selection pane="topRight" activeCell="D3" sqref="D3"/>
    </sheetView>
  </sheetViews>
  <sheetFormatPr baseColWidth="10" defaultColWidth="12.625" defaultRowHeight="14.25"/>
  <cols>
    <col min="1" max="1" width="8.125" customWidth="1"/>
    <col min="2" max="2" width="14.125" customWidth="1"/>
    <col min="3" max="3" width="17.125" customWidth="1"/>
    <col min="4" max="4" width="25.5" customWidth="1"/>
    <col min="5" max="5" width="18.5" customWidth="1"/>
    <col min="6" max="6" width="24.75" customWidth="1"/>
    <col min="7" max="7" width="12" customWidth="1"/>
    <col min="8" max="8" width="10.875" customWidth="1"/>
    <col min="9" max="9" width="5.125" customWidth="1"/>
    <col min="10" max="10" width="5" customWidth="1"/>
    <col min="11" max="11" width="5.375" customWidth="1"/>
    <col min="12" max="12" width="5.875" customWidth="1"/>
    <col min="13" max="13" width="4.875" customWidth="1"/>
    <col min="14" max="14" width="4.75" customWidth="1"/>
    <col min="15" max="15" width="5" customWidth="1"/>
    <col min="16" max="16" width="5.625" customWidth="1"/>
    <col min="17" max="17" width="7.875" customWidth="1"/>
    <col min="18" max="20" width="9.75" customWidth="1"/>
    <col min="21" max="21" width="10.75" customWidth="1"/>
    <col min="22" max="29" width="6" customWidth="1"/>
    <col min="30" max="33" width="10.75" customWidth="1"/>
    <col min="34" max="34" width="10.375" customWidth="1"/>
  </cols>
  <sheetData>
    <row r="1" spans="1:34" ht="48">
      <c r="A1" s="64" t="s">
        <v>0</v>
      </c>
      <c r="B1" s="64" t="s">
        <v>1</v>
      </c>
      <c r="C1" s="1" t="s">
        <v>303</v>
      </c>
      <c r="D1" s="64" t="s">
        <v>2</v>
      </c>
      <c r="E1" s="65" t="s">
        <v>3</v>
      </c>
      <c r="F1" s="65" t="s">
        <v>4</v>
      </c>
      <c r="G1" s="64" t="s">
        <v>3</v>
      </c>
      <c r="H1" s="65" t="s">
        <v>5</v>
      </c>
      <c r="I1" s="66" t="s">
        <v>6</v>
      </c>
      <c r="J1" s="67" t="s">
        <v>7</v>
      </c>
      <c r="K1" s="67" t="s">
        <v>8</v>
      </c>
      <c r="L1" s="67" t="s">
        <v>9</v>
      </c>
      <c r="M1" s="67" t="s">
        <v>10</v>
      </c>
      <c r="N1" s="67" t="s">
        <v>11</v>
      </c>
      <c r="O1" s="67" t="s">
        <v>12</v>
      </c>
      <c r="P1" s="67" t="s">
        <v>13</v>
      </c>
      <c r="Q1" s="67" t="s">
        <v>14</v>
      </c>
      <c r="R1" s="67" t="s">
        <v>15</v>
      </c>
      <c r="S1" s="67" t="s">
        <v>16</v>
      </c>
      <c r="T1" s="67" t="s">
        <v>17</v>
      </c>
      <c r="U1" s="68" t="s">
        <v>18</v>
      </c>
      <c r="V1" s="69" t="s">
        <v>19</v>
      </c>
      <c r="W1" s="69" t="s">
        <v>20</v>
      </c>
      <c r="X1" s="69" t="s">
        <v>21</v>
      </c>
      <c r="Y1" s="69" t="s">
        <v>22</v>
      </c>
      <c r="Z1" s="69" t="s">
        <v>23</v>
      </c>
      <c r="AA1" s="69" t="s">
        <v>24</v>
      </c>
      <c r="AB1" s="69" t="s">
        <v>25</v>
      </c>
      <c r="AC1" s="69" t="s">
        <v>26</v>
      </c>
      <c r="AD1" s="69" t="s">
        <v>27</v>
      </c>
      <c r="AE1" s="69" t="s">
        <v>28</v>
      </c>
      <c r="AF1" s="69" t="s">
        <v>29</v>
      </c>
      <c r="AG1" s="69" t="s">
        <v>30</v>
      </c>
      <c r="AH1" s="69" t="s">
        <v>31</v>
      </c>
    </row>
    <row r="2" spans="1:34" ht="72">
      <c r="A2" s="2">
        <v>97</v>
      </c>
      <c r="B2" s="2" t="s">
        <v>32</v>
      </c>
      <c r="C2" s="41" t="s">
        <v>284</v>
      </c>
      <c r="D2" s="3" t="s">
        <v>33</v>
      </c>
      <c r="E2" s="2" t="s">
        <v>34</v>
      </c>
      <c r="F2" s="3" t="s">
        <v>35</v>
      </c>
      <c r="G2" s="2" t="s">
        <v>36</v>
      </c>
      <c r="H2" s="4" t="s">
        <v>296</v>
      </c>
      <c r="I2" s="5">
        <v>0</v>
      </c>
      <c r="J2" s="5">
        <v>1</v>
      </c>
      <c r="K2" s="5">
        <v>0</v>
      </c>
      <c r="L2" s="5">
        <v>1</v>
      </c>
      <c r="M2" s="5">
        <v>0</v>
      </c>
      <c r="N2" s="5">
        <v>1</v>
      </c>
      <c r="O2" s="5">
        <v>0</v>
      </c>
      <c r="P2" s="5">
        <v>1</v>
      </c>
      <c r="Q2" s="6">
        <v>0</v>
      </c>
      <c r="R2" s="5">
        <v>1</v>
      </c>
      <c r="S2" s="5">
        <v>0</v>
      </c>
      <c r="T2" s="5">
        <v>1</v>
      </c>
      <c r="U2" s="7">
        <f t="shared" ref="U2:U31" si="0">SUM(I2:T2)</f>
        <v>6</v>
      </c>
      <c r="V2" s="5">
        <v>0</v>
      </c>
      <c r="W2" s="5">
        <v>1</v>
      </c>
      <c r="X2" s="5">
        <v>0</v>
      </c>
      <c r="Y2" s="5">
        <v>1</v>
      </c>
      <c r="Z2" s="5">
        <v>0</v>
      </c>
      <c r="AA2" s="5">
        <v>1</v>
      </c>
      <c r="AB2" s="5">
        <v>0</v>
      </c>
      <c r="AC2" s="5">
        <v>1</v>
      </c>
      <c r="AD2" s="9">
        <v>0</v>
      </c>
      <c r="AE2" s="5">
        <v>0</v>
      </c>
      <c r="AF2" s="38">
        <v>0</v>
      </c>
      <c r="AG2" s="38">
        <v>0</v>
      </c>
      <c r="AH2" s="7">
        <f t="shared" ref="AH2:AH115" si="1">SUM(V2:AG2)</f>
        <v>4</v>
      </c>
    </row>
    <row r="3" spans="1:34" ht="72">
      <c r="A3" s="2">
        <v>31</v>
      </c>
      <c r="B3" s="2" t="s">
        <v>38</v>
      </c>
      <c r="C3" s="41" t="s">
        <v>284</v>
      </c>
      <c r="D3" s="3" t="s">
        <v>39</v>
      </c>
      <c r="E3" s="2" t="s">
        <v>34</v>
      </c>
      <c r="F3" s="3" t="s">
        <v>40</v>
      </c>
      <c r="G3" s="2" t="s">
        <v>34</v>
      </c>
      <c r="H3" s="4" t="s">
        <v>296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6">
        <v>1</v>
      </c>
      <c r="R3" s="5">
        <v>1</v>
      </c>
      <c r="S3" s="5">
        <v>1</v>
      </c>
      <c r="T3" s="5">
        <v>1</v>
      </c>
      <c r="U3" s="7">
        <f t="shared" si="0"/>
        <v>12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9">
        <v>1</v>
      </c>
      <c r="AE3" s="38">
        <v>0</v>
      </c>
      <c r="AF3" s="38">
        <v>0</v>
      </c>
      <c r="AG3" s="38">
        <v>0</v>
      </c>
      <c r="AH3" s="7">
        <f t="shared" si="1"/>
        <v>9</v>
      </c>
    </row>
    <row r="4" spans="1:34" ht="72">
      <c r="A4" s="2">
        <v>97</v>
      </c>
      <c r="B4" s="2" t="s">
        <v>32</v>
      </c>
      <c r="C4" s="41" t="s">
        <v>284</v>
      </c>
      <c r="D4" s="3" t="s">
        <v>33</v>
      </c>
      <c r="E4" s="2" t="s">
        <v>34</v>
      </c>
      <c r="F4" s="3" t="s">
        <v>41</v>
      </c>
      <c r="G4" s="2" t="s">
        <v>36</v>
      </c>
      <c r="H4" s="4" t="s">
        <v>296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1</v>
      </c>
      <c r="O4" s="5">
        <v>0</v>
      </c>
      <c r="P4" s="5">
        <v>0</v>
      </c>
      <c r="Q4" s="6">
        <v>0</v>
      </c>
      <c r="R4" s="5">
        <v>0</v>
      </c>
      <c r="S4" s="5">
        <v>0</v>
      </c>
      <c r="T4" s="5">
        <v>1</v>
      </c>
      <c r="U4" s="7">
        <f t="shared" si="0"/>
        <v>2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1</v>
      </c>
      <c r="AB4" s="5">
        <v>0</v>
      </c>
      <c r="AC4" s="5">
        <v>0</v>
      </c>
      <c r="AD4" s="9">
        <v>0</v>
      </c>
      <c r="AE4" s="38">
        <v>0</v>
      </c>
      <c r="AF4" s="38">
        <v>0</v>
      </c>
      <c r="AG4" s="38">
        <v>0</v>
      </c>
      <c r="AH4" s="7">
        <f t="shared" si="1"/>
        <v>1</v>
      </c>
    </row>
    <row r="5" spans="1:34" ht="72">
      <c r="A5" s="2">
        <v>31</v>
      </c>
      <c r="B5" s="2" t="s">
        <v>38</v>
      </c>
      <c r="C5" s="41" t="s">
        <v>284</v>
      </c>
      <c r="D5" s="3" t="s">
        <v>39</v>
      </c>
      <c r="E5" s="2" t="s">
        <v>34</v>
      </c>
      <c r="F5" s="3" t="s">
        <v>42</v>
      </c>
      <c r="G5" s="2" t="s">
        <v>36</v>
      </c>
      <c r="H5" s="4" t="s">
        <v>296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1</v>
      </c>
      <c r="O5" s="5">
        <v>0</v>
      </c>
      <c r="P5" s="5">
        <v>0</v>
      </c>
      <c r="Q5" s="6">
        <v>0</v>
      </c>
      <c r="R5" s="5">
        <v>0</v>
      </c>
      <c r="S5" s="5">
        <v>0</v>
      </c>
      <c r="T5" s="5">
        <v>1</v>
      </c>
      <c r="U5" s="7">
        <f t="shared" si="0"/>
        <v>2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1</v>
      </c>
      <c r="AB5" s="5">
        <v>0</v>
      </c>
      <c r="AC5" s="5">
        <v>0</v>
      </c>
      <c r="AD5" s="9">
        <v>0</v>
      </c>
      <c r="AE5" s="38">
        <v>0</v>
      </c>
      <c r="AF5" s="38">
        <v>0</v>
      </c>
      <c r="AG5" s="38">
        <v>0</v>
      </c>
      <c r="AH5" s="7">
        <f t="shared" si="1"/>
        <v>1</v>
      </c>
    </row>
    <row r="6" spans="1:34" ht="72">
      <c r="A6" s="2">
        <v>97</v>
      </c>
      <c r="B6" s="2" t="s">
        <v>32</v>
      </c>
      <c r="C6" s="41" t="s">
        <v>284</v>
      </c>
      <c r="D6" s="3" t="s">
        <v>33</v>
      </c>
      <c r="E6" s="2" t="s">
        <v>34</v>
      </c>
      <c r="F6" s="3" t="s">
        <v>53</v>
      </c>
      <c r="G6" s="2" t="s">
        <v>36</v>
      </c>
      <c r="H6" s="4" t="s">
        <v>296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5">
        <v>1</v>
      </c>
      <c r="O6" s="5">
        <v>0</v>
      </c>
      <c r="P6" s="5">
        <v>1</v>
      </c>
      <c r="Q6" s="6">
        <v>0</v>
      </c>
      <c r="R6" s="5">
        <v>1</v>
      </c>
      <c r="S6" s="5">
        <v>0</v>
      </c>
      <c r="T6" s="5">
        <v>1</v>
      </c>
      <c r="U6" s="7">
        <f t="shared" si="0"/>
        <v>6</v>
      </c>
      <c r="V6" s="5">
        <v>0</v>
      </c>
      <c r="W6" s="5">
        <v>1</v>
      </c>
      <c r="X6" s="5">
        <v>0</v>
      </c>
      <c r="Y6" s="5">
        <v>1</v>
      </c>
      <c r="Z6" s="5">
        <v>0</v>
      </c>
      <c r="AA6" s="5">
        <v>1</v>
      </c>
      <c r="AB6" s="5">
        <v>0</v>
      </c>
      <c r="AC6" s="5">
        <v>1</v>
      </c>
      <c r="AD6" s="9">
        <v>0</v>
      </c>
      <c r="AE6" s="38">
        <v>0</v>
      </c>
      <c r="AF6" s="38">
        <v>0</v>
      </c>
      <c r="AG6" s="38">
        <v>0</v>
      </c>
      <c r="AH6" s="7">
        <f t="shared" si="1"/>
        <v>4</v>
      </c>
    </row>
    <row r="7" spans="1:34" ht="72">
      <c r="A7" s="2">
        <v>31</v>
      </c>
      <c r="B7" s="2" t="s">
        <v>58</v>
      </c>
      <c r="C7" s="41" t="s">
        <v>285</v>
      </c>
      <c r="D7" s="3" t="s">
        <v>62</v>
      </c>
      <c r="E7" s="2" t="s">
        <v>63</v>
      </c>
      <c r="F7" s="3" t="s">
        <v>66</v>
      </c>
      <c r="G7" s="2" t="s">
        <v>69</v>
      </c>
      <c r="H7" s="4" t="s">
        <v>296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1</v>
      </c>
      <c r="O7" s="5">
        <v>0</v>
      </c>
      <c r="P7" s="5">
        <v>0</v>
      </c>
      <c r="Q7" s="6">
        <v>0</v>
      </c>
      <c r="R7" s="5">
        <v>0</v>
      </c>
      <c r="S7" s="5">
        <v>0</v>
      </c>
      <c r="T7" s="5">
        <v>1</v>
      </c>
      <c r="U7" s="7">
        <f t="shared" si="0"/>
        <v>2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1</v>
      </c>
      <c r="AB7" s="5">
        <v>0</v>
      </c>
      <c r="AC7" s="5">
        <v>0</v>
      </c>
      <c r="AD7" s="9">
        <v>0</v>
      </c>
      <c r="AE7" s="38">
        <v>0</v>
      </c>
      <c r="AF7" s="38">
        <v>0</v>
      </c>
      <c r="AG7" s="38">
        <v>0</v>
      </c>
      <c r="AH7" s="7">
        <f t="shared" si="1"/>
        <v>1</v>
      </c>
    </row>
    <row r="8" spans="1:34" ht="48">
      <c r="A8" s="2">
        <v>34</v>
      </c>
      <c r="B8" s="2" t="s">
        <v>55</v>
      </c>
      <c r="C8" s="41" t="s">
        <v>286</v>
      </c>
      <c r="D8" s="3" t="s">
        <v>77</v>
      </c>
      <c r="E8" s="2" t="s">
        <v>36</v>
      </c>
      <c r="F8" s="3" t="s">
        <v>78</v>
      </c>
      <c r="G8" s="2" t="s">
        <v>34</v>
      </c>
      <c r="H8" s="13" t="s">
        <v>297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1</v>
      </c>
      <c r="O8" s="5">
        <v>0</v>
      </c>
      <c r="P8" s="5">
        <v>0</v>
      </c>
      <c r="Q8" s="6">
        <v>0</v>
      </c>
      <c r="R8" s="5">
        <v>0</v>
      </c>
      <c r="S8" s="5">
        <v>0</v>
      </c>
      <c r="T8" s="5">
        <v>1</v>
      </c>
      <c r="U8" s="7">
        <f t="shared" si="0"/>
        <v>2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1</v>
      </c>
      <c r="AB8" s="5">
        <v>0</v>
      </c>
      <c r="AC8" s="5">
        <v>0</v>
      </c>
      <c r="AD8" s="9">
        <v>0</v>
      </c>
      <c r="AE8" s="38">
        <v>0</v>
      </c>
      <c r="AF8" s="38">
        <v>0</v>
      </c>
      <c r="AG8" s="38">
        <v>0</v>
      </c>
      <c r="AH8" s="7">
        <f t="shared" si="1"/>
        <v>1</v>
      </c>
    </row>
    <row r="9" spans="1:34" ht="24">
      <c r="A9" s="2">
        <v>78</v>
      </c>
      <c r="B9" s="2" t="s">
        <v>71</v>
      </c>
      <c r="C9" s="41" t="s">
        <v>287</v>
      </c>
      <c r="D9" s="3" t="s">
        <v>85</v>
      </c>
      <c r="E9" s="2" t="s">
        <v>63</v>
      </c>
      <c r="F9" s="3" t="s">
        <v>86</v>
      </c>
      <c r="G9" s="2" t="s">
        <v>34</v>
      </c>
      <c r="H9" s="13" t="s">
        <v>297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0</v>
      </c>
      <c r="O9" s="5">
        <v>1</v>
      </c>
      <c r="P9" s="5">
        <v>0</v>
      </c>
      <c r="Q9" s="6">
        <v>0</v>
      </c>
      <c r="R9" s="5">
        <v>1</v>
      </c>
      <c r="S9" s="5">
        <v>0</v>
      </c>
      <c r="T9" s="5">
        <v>0</v>
      </c>
      <c r="U9" s="7">
        <f t="shared" si="0"/>
        <v>3</v>
      </c>
      <c r="V9" s="5">
        <v>0</v>
      </c>
      <c r="W9" s="5">
        <v>0</v>
      </c>
      <c r="X9" s="5">
        <v>0</v>
      </c>
      <c r="Y9" s="5">
        <v>1</v>
      </c>
      <c r="Z9" s="5">
        <v>0</v>
      </c>
      <c r="AA9" s="5">
        <v>0</v>
      </c>
      <c r="AB9" s="5">
        <v>1</v>
      </c>
      <c r="AC9" s="5">
        <v>0</v>
      </c>
      <c r="AD9" s="9">
        <v>0</v>
      </c>
      <c r="AE9" s="38">
        <v>0</v>
      </c>
      <c r="AF9" s="38">
        <v>0</v>
      </c>
      <c r="AG9" s="38">
        <v>0</v>
      </c>
      <c r="AH9" s="7">
        <f t="shared" si="1"/>
        <v>2</v>
      </c>
    </row>
    <row r="10" spans="1:34" ht="36">
      <c r="A10" s="2">
        <v>78</v>
      </c>
      <c r="B10" s="2" t="s">
        <v>71</v>
      </c>
      <c r="C10" s="41" t="s">
        <v>287</v>
      </c>
      <c r="D10" s="3" t="s">
        <v>85</v>
      </c>
      <c r="E10" s="2" t="s">
        <v>63</v>
      </c>
      <c r="F10" s="3" t="s">
        <v>98</v>
      </c>
      <c r="G10" s="2" t="s">
        <v>99</v>
      </c>
      <c r="H10" s="13" t="s">
        <v>297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1</v>
      </c>
      <c r="O10" s="5">
        <v>0</v>
      </c>
      <c r="P10" s="5">
        <v>0</v>
      </c>
      <c r="Q10" s="6">
        <v>0</v>
      </c>
      <c r="R10" s="5">
        <v>0</v>
      </c>
      <c r="S10" s="5">
        <v>0</v>
      </c>
      <c r="T10" s="5">
        <v>1</v>
      </c>
      <c r="U10" s="7">
        <f t="shared" si="0"/>
        <v>2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1</v>
      </c>
      <c r="AB10" s="5">
        <v>0</v>
      </c>
      <c r="AC10" s="5">
        <v>0</v>
      </c>
      <c r="AD10" s="9">
        <v>0</v>
      </c>
      <c r="AE10" s="38">
        <v>0</v>
      </c>
      <c r="AF10" s="38">
        <v>0</v>
      </c>
      <c r="AG10" s="38">
        <v>0</v>
      </c>
      <c r="AH10" s="7">
        <f t="shared" si="1"/>
        <v>1</v>
      </c>
    </row>
    <row r="11" spans="1:34" ht="36">
      <c r="A11" s="2">
        <v>78</v>
      </c>
      <c r="B11" s="2" t="s">
        <v>81</v>
      </c>
      <c r="C11" s="41" t="s">
        <v>287</v>
      </c>
      <c r="D11" s="3" t="s">
        <v>107</v>
      </c>
      <c r="E11" s="2" t="s">
        <v>108</v>
      </c>
      <c r="F11" s="3" t="s">
        <v>109</v>
      </c>
      <c r="G11" s="2" t="s">
        <v>110</v>
      </c>
      <c r="H11" s="13" t="s">
        <v>297</v>
      </c>
      <c r="I11" s="5">
        <v>15</v>
      </c>
      <c r="J11" s="5">
        <v>15</v>
      </c>
      <c r="K11" s="5">
        <v>15</v>
      </c>
      <c r="L11" s="5">
        <v>15</v>
      </c>
      <c r="M11" s="5">
        <v>15</v>
      </c>
      <c r="N11" s="5">
        <v>15</v>
      </c>
      <c r="O11" s="5">
        <v>15</v>
      </c>
      <c r="P11" s="5">
        <v>15</v>
      </c>
      <c r="Q11" s="6">
        <v>15</v>
      </c>
      <c r="R11" s="5">
        <v>15</v>
      </c>
      <c r="S11" s="5">
        <v>15</v>
      </c>
      <c r="T11" s="5">
        <v>15</v>
      </c>
      <c r="U11" s="7">
        <f t="shared" si="0"/>
        <v>180</v>
      </c>
      <c r="V11" s="5">
        <v>15</v>
      </c>
      <c r="W11" s="5">
        <v>15</v>
      </c>
      <c r="X11" s="5">
        <v>15</v>
      </c>
      <c r="Y11" s="5">
        <v>15</v>
      </c>
      <c r="Z11" s="5">
        <v>15</v>
      </c>
      <c r="AA11" s="5">
        <v>15</v>
      </c>
      <c r="AB11" s="5">
        <v>15</v>
      </c>
      <c r="AC11" s="5">
        <v>15</v>
      </c>
      <c r="AD11" s="9">
        <v>15</v>
      </c>
      <c r="AE11" s="38">
        <v>0</v>
      </c>
      <c r="AF11" s="38">
        <v>0</v>
      </c>
      <c r="AG11" s="38">
        <v>0</v>
      </c>
      <c r="AH11" s="7">
        <f t="shared" si="1"/>
        <v>135</v>
      </c>
    </row>
    <row r="12" spans="1:34" ht="60">
      <c r="A12" s="2">
        <v>78</v>
      </c>
      <c r="B12" s="2" t="s">
        <v>74</v>
      </c>
      <c r="C12" s="41" t="s">
        <v>287</v>
      </c>
      <c r="D12" s="3" t="s">
        <v>120</v>
      </c>
      <c r="E12" s="2" t="s">
        <v>121</v>
      </c>
      <c r="F12" s="3" t="s">
        <v>122</v>
      </c>
      <c r="G12" s="2" t="s">
        <v>121</v>
      </c>
      <c r="H12" s="13" t="s">
        <v>297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5">
        <v>0</v>
      </c>
      <c r="S12" s="5">
        <v>0</v>
      </c>
      <c r="T12" s="5">
        <v>1</v>
      </c>
      <c r="U12" s="7">
        <f t="shared" si="0"/>
        <v>1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9">
        <v>0</v>
      </c>
      <c r="AE12" s="38">
        <v>0</v>
      </c>
      <c r="AF12" s="38">
        <v>0</v>
      </c>
      <c r="AG12" s="38">
        <v>0</v>
      </c>
      <c r="AH12" s="7">
        <f t="shared" si="1"/>
        <v>0</v>
      </c>
    </row>
    <row r="13" spans="1:34" ht="48">
      <c r="A13" s="2">
        <v>78</v>
      </c>
      <c r="B13" s="2" t="s">
        <v>72</v>
      </c>
      <c r="C13" s="41" t="s">
        <v>287</v>
      </c>
      <c r="D13" s="3" t="s">
        <v>123</v>
      </c>
      <c r="E13" s="2" t="s">
        <v>124</v>
      </c>
      <c r="F13" s="3" t="s">
        <v>125</v>
      </c>
      <c r="G13" s="2" t="s">
        <v>126</v>
      </c>
      <c r="H13" s="13" t="s">
        <v>297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6">
        <v>0</v>
      </c>
      <c r="R13" s="5">
        <v>0</v>
      </c>
      <c r="S13" s="5">
        <v>0</v>
      </c>
      <c r="T13" s="5">
        <v>1</v>
      </c>
      <c r="U13" s="7">
        <f t="shared" si="0"/>
        <v>1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9">
        <v>0</v>
      </c>
      <c r="AE13" s="38">
        <v>0</v>
      </c>
      <c r="AF13" s="38">
        <v>0</v>
      </c>
      <c r="AG13" s="38">
        <v>0</v>
      </c>
      <c r="AH13" s="7">
        <f t="shared" si="1"/>
        <v>0</v>
      </c>
    </row>
    <row r="14" spans="1:34" ht="72">
      <c r="A14" s="2">
        <v>31</v>
      </c>
      <c r="B14" s="2" t="s">
        <v>58</v>
      </c>
      <c r="C14" s="41" t="s">
        <v>288</v>
      </c>
      <c r="D14" s="3" t="s">
        <v>62</v>
      </c>
      <c r="E14" s="2" t="s">
        <v>63</v>
      </c>
      <c r="F14" s="3" t="s">
        <v>127</v>
      </c>
      <c r="G14" s="2" t="s">
        <v>99</v>
      </c>
      <c r="H14" s="13" t="s">
        <v>297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5">
        <v>0</v>
      </c>
      <c r="S14" s="5">
        <v>0</v>
      </c>
      <c r="T14" s="5">
        <v>1</v>
      </c>
      <c r="U14" s="7">
        <f t="shared" si="0"/>
        <v>1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9">
        <v>0</v>
      </c>
      <c r="AE14" s="38">
        <v>0</v>
      </c>
      <c r="AF14" s="38">
        <v>0</v>
      </c>
      <c r="AG14" s="38">
        <v>0</v>
      </c>
      <c r="AH14" s="7">
        <f t="shared" si="1"/>
        <v>0</v>
      </c>
    </row>
    <row r="15" spans="1:34" ht="60">
      <c r="A15" s="2">
        <v>78</v>
      </c>
      <c r="B15" s="2" t="s">
        <v>74</v>
      </c>
      <c r="C15" s="41" t="s">
        <v>287</v>
      </c>
      <c r="D15" s="3" t="s">
        <v>120</v>
      </c>
      <c r="E15" s="2" t="s">
        <v>121</v>
      </c>
      <c r="F15" s="3" t="s">
        <v>129</v>
      </c>
      <c r="G15" s="2" t="s">
        <v>99</v>
      </c>
      <c r="H15" s="13" t="s">
        <v>297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  <c r="O15" s="5">
        <v>1</v>
      </c>
      <c r="P15" s="5">
        <v>0</v>
      </c>
      <c r="Q15" s="6">
        <v>0</v>
      </c>
      <c r="R15" s="5">
        <v>1</v>
      </c>
      <c r="S15" s="5">
        <v>0</v>
      </c>
      <c r="T15" s="5">
        <v>0</v>
      </c>
      <c r="U15" s="7">
        <f t="shared" si="0"/>
        <v>3</v>
      </c>
      <c r="V15" s="5">
        <v>0</v>
      </c>
      <c r="W15" s="5">
        <v>0</v>
      </c>
      <c r="X15" s="5">
        <v>0</v>
      </c>
      <c r="Y15" s="5">
        <v>1</v>
      </c>
      <c r="Z15" s="5">
        <v>0</v>
      </c>
      <c r="AA15" s="5">
        <v>0</v>
      </c>
      <c r="AB15" s="5">
        <v>1</v>
      </c>
      <c r="AC15" s="5">
        <v>0</v>
      </c>
      <c r="AD15" s="9">
        <v>0</v>
      </c>
      <c r="AE15" s="38">
        <v>0</v>
      </c>
      <c r="AF15" s="38">
        <v>0</v>
      </c>
      <c r="AG15" s="38">
        <v>0</v>
      </c>
      <c r="AH15" s="7">
        <f t="shared" si="1"/>
        <v>2</v>
      </c>
    </row>
    <row r="16" spans="1:34" ht="36">
      <c r="A16" s="2">
        <v>78</v>
      </c>
      <c r="B16" s="2" t="s">
        <v>68</v>
      </c>
      <c r="C16" s="41" t="s">
        <v>287</v>
      </c>
      <c r="D16" s="3" t="s">
        <v>130</v>
      </c>
      <c r="E16" s="2" t="s">
        <v>63</v>
      </c>
      <c r="F16" s="3" t="s">
        <v>131</v>
      </c>
      <c r="G16" s="2" t="s">
        <v>132</v>
      </c>
      <c r="H16" s="13" t="s">
        <v>297</v>
      </c>
      <c r="I16" s="5">
        <v>31</v>
      </c>
      <c r="J16" s="5">
        <v>28</v>
      </c>
      <c r="K16" s="5">
        <v>31</v>
      </c>
      <c r="L16" s="5">
        <v>30</v>
      </c>
      <c r="M16" s="5">
        <v>31</v>
      </c>
      <c r="N16" s="5">
        <v>30</v>
      </c>
      <c r="O16" s="5">
        <v>31</v>
      </c>
      <c r="P16" s="5">
        <v>31</v>
      </c>
      <c r="Q16" s="6">
        <v>30</v>
      </c>
      <c r="R16" s="5">
        <v>31</v>
      </c>
      <c r="S16" s="5">
        <v>30</v>
      </c>
      <c r="T16" s="5">
        <v>31</v>
      </c>
      <c r="U16" s="7">
        <f t="shared" si="0"/>
        <v>365</v>
      </c>
      <c r="V16" s="5">
        <v>31</v>
      </c>
      <c r="W16" s="5">
        <v>28</v>
      </c>
      <c r="X16" s="5">
        <v>31</v>
      </c>
      <c r="Y16" s="5">
        <v>30</v>
      </c>
      <c r="Z16" s="5">
        <v>31</v>
      </c>
      <c r="AA16" s="5">
        <v>30</v>
      </c>
      <c r="AB16" s="5">
        <v>31</v>
      </c>
      <c r="AC16" s="5">
        <v>31</v>
      </c>
      <c r="AD16" s="9">
        <v>30</v>
      </c>
      <c r="AE16" s="38">
        <v>0</v>
      </c>
      <c r="AF16" s="38">
        <v>0</v>
      </c>
      <c r="AG16" s="38">
        <v>0</v>
      </c>
      <c r="AH16" s="7">
        <f t="shared" si="1"/>
        <v>273</v>
      </c>
    </row>
    <row r="17" spans="1:34" ht="36">
      <c r="A17" s="2">
        <v>3</v>
      </c>
      <c r="B17" s="2" t="s">
        <v>75</v>
      </c>
      <c r="C17" s="41" t="s">
        <v>289</v>
      </c>
      <c r="D17" s="3" t="s">
        <v>133</v>
      </c>
      <c r="E17" s="2" t="s">
        <v>121</v>
      </c>
      <c r="F17" s="3" t="s">
        <v>134</v>
      </c>
      <c r="G17" s="2" t="s">
        <v>121</v>
      </c>
      <c r="H17" s="13" t="s">
        <v>297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6">
        <v>0</v>
      </c>
      <c r="R17" s="5">
        <v>0</v>
      </c>
      <c r="S17" s="5">
        <v>0</v>
      </c>
      <c r="T17" s="5">
        <v>1</v>
      </c>
      <c r="U17" s="7">
        <f t="shared" si="0"/>
        <v>1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9">
        <v>0</v>
      </c>
      <c r="AE17" s="38">
        <v>0</v>
      </c>
      <c r="AF17" s="38">
        <v>0</v>
      </c>
      <c r="AG17" s="38">
        <v>0</v>
      </c>
      <c r="AH17" s="7">
        <f t="shared" si="1"/>
        <v>0</v>
      </c>
    </row>
    <row r="18" spans="1:34" ht="48">
      <c r="A18" s="2">
        <v>78</v>
      </c>
      <c r="B18" s="2" t="s">
        <v>71</v>
      </c>
      <c r="C18" s="41" t="s">
        <v>287</v>
      </c>
      <c r="D18" s="3" t="s">
        <v>85</v>
      </c>
      <c r="E18" s="2" t="s">
        <v>63</v>
      </c>
      <c r="F18" s="3" t="s">
        <v>135</v>
      </c>
      <c r="G18" s="2" t="s">
        <v>99</v>
      </c>
      <c r="H18" s="13" t="s">
        <v>297</v>
      </c>
      <c r="I18" s="5">
        <v>0</v>
      </c>
      <c r="J18" s="5">
        <v>1</v>
      </c>
      <c r="K18" s="5">
        <v>0</v>
      </c>
      <c r="L18" s="5">
        <v>1</v>
      </c>
      <c r="M18" s="5">
        <v>0</v>
      </c>
      <c r="N18" s="5">
        <v>1</v>
      </c>
      <c r="O18" s="5">
        <v>0</v>
      </c>
      <c r="P18" s="5">
        <v>1</v>
      </c>
      <c r="Q18" s="6">
        <v>0</v>
      </c>
      <c r="R18" s="5">
        <v>1</v>
      </c>
      <c r="S18" s="5">
        <v>0</v>
      </c>
      <c r="T18" s="5">
        <v>1</v>
      </c>
      <c r="U18" s="7">
        <f t="shared" si="0"/>
        <v>6</v>
      </c>
      <c r="V18" s="5">
        <v>0</v>
      </c>
      <c r="W18" s="5">
        <v>1</v>
      </c>
      <c r="X18" s="5">
        <v>0</v>
      </c>
      <c r="Y18" s="5">
        <v>1</v>
      </c>
      <c r="Z18" s="5">
        <v>0</v>
      </c>
      <c r="AA18" s="5">
        <v>1</v>
      </c>
      <c r="AB18" s="5">
        <v>0</v>
      </c>
      <c r="AC18" s="5">
        <v>1</v>
      </c>
      <c r="AD18" s="9">
        <v>0</v>
      </c>
      <c r="AE18" s="38">
        <v>0</v>
      </c>
      <c r="AF18" s="38">
        <v>0</v>
      </c>
      <c r="AG18" s="38">
        <v>0</v>
      </c>
      <c r="AH18" s="7">
        <f t="shared" si="1"/>
        <v>4</v>
      </c>
    </row>
    <row r="19" spans="1:34" ht="36">
      <c r="A19" s="2">
        <v>99</v>
      </c>
      <c r="B19" s="2" t="s">
        <v>73</v>
      </c>
      <c r="C19" s="42" t="s">
        <v>290</v>
      </c>
      <c r="D19" s="3" t="s">
        <v>136</v>
      </c>
      <c r="E19" s="2" t="s">
        <v>63</v>
      </c>
      <c r="F19" s="3" t="s">
        <v>137</v>
      </c>
      <c r="G19" s="2" t="s">
        <v>99</v>
      </c>
      <c r="H19" s="13" t="s">
        <v>297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1</v>
      </c>
      <c r="P19" s="5">
        <v>0</v>
      </c>
      <c r="Q19" s="6">
        <v>0</v>
      </c>
      <c r="R19" s="5">
        <v>1</v>
      </c>
      <c r="S19" s="5">
        <v>0</v>
      </c>
      <c r="T19" s="5">
        <v>0</v>
      </c>
      <c r="U19" s="7">
        <f t="shared" si="0"/>
        <v>3</v>
      </c>
      <c r="V19" s="5">
        <v>0</v>
      </c>
      <c r="W19" s="5">
        <v>0</v>
      </c>
      <c r="X19" s="5">
        <v>0</v>
      </c>
      <c r="Y19" s="5">
        <v>1</v>
      </c>
      <c r="Z19" s="5">
        <v>0</v>
      </c>
      <c r="AA19" s="5">
        <v>0</v>
      </c>
      <c r="AB19" s="5">
        <v>1</v>
      </c>
      <c r="AC19" s="5">
        <v>0</v>
      </c>
      <c r="AD19" s="9">
        <v>0</v>
      </c>
      <c r="AE19" s="38">
        <v>0</v>
      </c>
      <c r="AF19" s="38">
        <v>0</v>
      </c>
      <c r="AG19" s="38">
        <v>0</v>
      </c>
      <c r="AH19" s="7">
        <f t="shared" si="1"/>
        <v>2</v>
      </c>
    </row>
    <row r="20" spans="1:34" ht="24">
      <c r="A20" s="2">
        <v>78</v>
      </c>
      <c r="B20" s="2" t="s">
        <v>71</v>
      </c>
      <c r="C20" s="41" t="s">
        <v>287</v>
      </c>
      <c r="D20" s="3" t="s">
        <v>85</v>
      </c>
      <c r="E20" s="2" t="s">
        <v>63</v>
      </c>
      <c r="F20" s="3" t="s">
        <v>138</v>
      </c>
      <c r="G20" s="2" t="s">
        <v>99</v>
      </c>
      <c r="H20" s="13" t="s">
        <v>297</v>
      </c>
      <c r="I20" s="5">
        <v>0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  <c r="O20" s="5">
        <v>1</v>
      </c>
      <c r="P20" s="5">
        <v>0</v>
      </c>
      <c r="Q20" s="6">
        <v>0</v>
      </c>
      <c r="R20" s="5">
        <v>1</v>
      </c>
      <c r="S20" s="5">
        <v>0</v>
      </c>
      <c r="T20" s="5">
        <v>0</v>
      </c>
      <c r="U20" s="7">
        <f t="shared" si="0"/>
        <v>3</v>
      </c>
      <c r="V20" s="5">
        <v>0</v>
      </c>
      <c r="W20" s="5">
        <v>0</v>
      </c>
      <c r="X20" s="5">
        <v>0</v>
      </c>
      <c r="Y20" s="5">
        <v>1</v>
      </c>
      <c r="Z20" s="5">
        <v>0</v>
      </c>
      <c r="AA20" s="5">
        <v>0</v>
      </c>
      <c r="AB20" s="5">
        <v>1</v>
      </c>
      <c r="AC20" s="5">
        <v>0</v>
      </c>
      <c r="AD20" s="9">
        <v>0</v>
      </c>
      <c r="AE20" s="38">
        <v>0</v>
      </c>
      <c r="AF20" s="38">
        <v>0</v>
      </c>
      <c r="AG20" s="38">
        <v>0</v>
      </c>
      <c r="AH20" s="7">
        <f t="shared" si="1"/>
        <v>2</v>
      </c>
    </row>
    <row r="21" spans="1:34" ht="24">
      <c r="A21" s="2">
        <v>78</v>
      </c>
      <c r="B21" s="2" t="s">
        <v>71</v>
      </c>
      <c r="C21" s="41" t="s">
        <v>287</v>
      </c>
      <c r="D21" s="3" t="s">
        <v>85</v>
      </c>
      <c r="E21" s="2" t="s">
        <v>63</v>
      </c>
      <c r="F21" s="3" t="s">
        <v>139</v>
      </c>
      <c r="G21" s="2" t="s">
        <v>99</v>
      </c>
      <c r="H21" s="13" t="s">
        <v>297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6">
        <v>1</v>
      </c>
      <c r="R21" s="5">
        <v>1</v>
      </c>
      <c r="S21" s="5">
        <v>1</v>
      </c>
      <c r="T21" s="5">
        <v>1</v>
      </c>
      <c r="U21" s="7">
        <f t="shared" si="0"/>
        <v>12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9">
        <v>1</v>
      </c>
      <c r="AE21" s="38">
        <v>0</v>
      </c>
      <c r="AF21" s="38">
        <v>0</v>
      </c>
      <c r="AG21" s="38">
        <v>0</v>
      </c>
      <c r="AH21" s="7">
        <f t="shared" si="1"/>
        <v>9</v>
      </c>
    </row>
    <row r="22" spans="1:34" ht="36">
      <c r="A22" s="2">
        <v>78</v>
      </c>
      <c r="B22" s="2" t="s">
        <v>70</v>
      </c>
      <c r="C22" s="41" t="s">
        <v>287</v>
      </c>
      <c r="D22" s="3" t="s">
        <v>140</v>
      </c>
      <c r="E22" s="2" t="s">
        <v>63</v>
      </c>
      <c r="F22" s="3" t="s">
        <v>141</v>
      </c>
      <c r="G22" s="2" t="s">
        <v>99</v>
      </c>
      <c r="H22" s="13" t="s">
        <v>297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  <c r="O22" s="5">
        <v>1</v>
      </c>
      <c r="P22" s="5">
        <v>0</v>
      </c>
      <c r="Q22" s="6">
        <v>0</v>
      </c>
      <c r="R22" s="5">
        <v>1</v>
      </c>
      <c r="S22" s="5">
        <v>0</v>
      </c>
      <c r="T22" s="5">
        <v>0</v>
      </c>
      <c r="U22" s="7">
        <f t="shared" si="0"/>
        <v>3</v>
      </c>
      <c r="V22" s="5">
        <v>0</v>
      </c>
      <c r="W22" s="5">
        <v>0</v>
      </c>
      <c r="X22" s="5">
        <v>0</v>
      </c>
      <c r="Y22" s="5">
        <v>1</v>
      </c>
      <c r="Z22" s="5">
        <v>0</v>
      </c>
      <c r="AA22" s="5">
        <v>0</v>
      </c>
      <c r="AB22" s="5">
        <v>1</v>
      </c>
      <c r="AC22" s="5">
        <v>0</v>
      </c>
      <c r="AD22" s="9">
        <v>0</v>
      </c>
      <c r="AE22" s="38">
        <v>0</v>
      </c>
      <c r="AF22" s="38">
        <v>0</v>
      </c>
      <c r="AG22" s="38">
        <v>0</v>
      </c>
      <c r="AH22" s="7">
        <f t="shared" si="1"/>
        <v>2</v>
      </c>
    </row>
    <row r="23" spans="1:34" ht="36">
      <c r="A23" s="2">
        <v>99</v>
      </c>
      <c r="B23" s="2" t="s">
        <v>73</v>
      </c>
      <c r="C23" s="42" t="s">
        <v>290</v>
      </c>
      <c r="D23" s="3" t="s">
        <v>136</v>
      </c>
      <c r="E23" s="2" t="s">
        <v>63</v>
      </c>
      <c r="F23" s="3" t="s">
        <v>142</v>
      </c>
      <c r="G23" s="2" t="s">
        <v>99</v>
      </c>
      <c r="H23" s="13" t="s">
        <v>297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6">
        <v>1</v>
      </c>
      <c r="R23" s="5">
        <v>1</v>
      </c>
      <c r="S23" s="5">
        <v>1</v>
      </c>
      <c r="T23" s="5">
        <v>1</v>
      </c>
      <c r="U23" s="7">
        <f t="shared" si="0"/>
        <v>12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9">
        <v>1</v>
      </c>
      <c r="AE23" s="38">
        <v>0</v>
      </c>
      <c r="AF23" s="38">
        <v>0</v>
      </c>
      <c r="AG23" s="38">
        <v>0</v>
      </c>
      <c r="AH23" s="7">
        <f t="shared" si="1"/>
        <v>9</v>
      </c>
    </row>
    <row r="24" spans="1:34" ht="36">
      <c r="A24" s="2">
        <v>99</v>
      </c>
      <c r="B24" s="2" t="s">
        <v>73</v>
      </c>
      <c r="C24" s="42" t="s">
        <v>290</v>
      </c>
      <c r="D24" s="3" t="s">
        <v>136</v>
      </c>
      <c r="E24" s="2" t="s">
        <v>63</v>
      </c>
      <c r="F24" s="3" t="s">
        <v>143</v>
      </c>
      <c r="G24" s="2" t="s">
        <v>99</v>
      </c>
      <c r="H24" s="13" t="s">
        <v>297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6">
        <v>1</v>
      </c>
      <c r="R24" s="5">
        <v>1</v>
      </c>
      <c r="S24" s="5">
        <v>1</v>
      </c>
      <c r="T24" s="5">
        <v>1</v>
      </c>
      <c r="U24" s="7">
        <f t="shared" si="0"/>
        <v>12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9">
        <v>1</v>
      </c>
      <c r="AE24" s="38">
        <v>0</v>
      </c>
      <c r="AF24" s="38">
        <v>0</v>
      </c>
      <c r="AG24" s="38">
        <v>0</v>
      </c>
      <c r="AH24" s="7">
        <f t="shared" si="1"/>
        <v>9</v>
      </c>
    </row>
    <row r="25" spans="1:34" ht="84">
      <c r="A25" s="2">
        <v>103</v>
      </c>
      <c r="B25" s="2" t="s">
        <v>80</v>
      </c>
      <c r="C25" s="41" t="s">
        <v>285</v>
      </c>
      <c r="D25" s="3" t="s">
        <v>144</v>
      </c>
      <c r="E25" s="2" t="s">
        <v>34</v>
      </c>
      <c r="F25" s="3" t="s">
        <v>145</v>
      </c>
      <c r="G25" s="2" t="s">
        <v>34</v>
      </c>
      <c r="H25" s="13" t="s">
        <v>297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1</v>
      </c>
      <c r="O25" s="5">
        <v>0</v>
      </c>
      <c r="P25" s="5">
        <v>0</v>
      </c>
      <c r="Q25" s="6">
        <v>0</v>
      </c>
      <c r="R25" s="5">
        <v>0</v>
      </c>
      <c r="S25" s="5">
        <v>0</v>
      </c>
      <c r="T25" s="5">
        <v>1</v>
      </c>
      <c r="U25" s="7">
        <f t="shared" si="0"/>
        <v>2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1</v>
      </c>
      <c r="AB25" s="5">
        <v>0</v>
      </c>
      <c r="AC25" s="5">
        <v>0</v>
      </c>
      <c r="AD25" s="9">
        <v>0</v>
      </c>
      <c r="AE25" s="38">
        <v>0</v>
      </c>
      <c r="AF25" s="38">
        <v>0</v>
      </c>
      <c r="AG25" s="38">
        <v>0</v>
      </c>
      <c r="AH25" s="7">
        <f t="shared" si="1"/>
        <v>1</v>
      </c>
    </row>
    <row r="26" spans="1:34" ht="48">
      <c r="A26" s="2">
        <v>98</v>
      </c>
      <c r="B26" s="2" t="s">
        <v>61</v>
      </c>
      <c r="C26" s="41" t="s">
        <v>291</v>
      </c>
      <c r="D26" s="3" t="s">
        <v>146</v>
      </c>
      <c r="E26" s="2" t="s">
        <v>63</v>
      </c>
      <c r="F26" s="3" t="s">
        <v>147</v>
      </c>
      <c r="G26" s="2" t="s">
        <v>34</v>
      </c>
      <c r="H26" s="13" t="s">
        <v>297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6">
        <v>1</v>
      </c>
      <c r="R26" s="5">
        <v>1</v>
      </c>
      <c r="S26" s="5">
        <v>1</v>
      </c>
      <c r="T26" s="5">
        <v>1</v>
      </c>
      <c r="U26" s="7">
        <f t="shared" si="0"/>
        <v>12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9">
        <v>1</v>
      </c>
      <c r="AE26" s="38">
        <v>0</v>
      </c>
      <c r="AF26" s="38">
        <v>0</v>
      </c>
      <c r="AG26" s="38">
        <v>0</v>
      </c>
      <c r="AH26" s="7">
        <f t="shared" si="1"/>
        <v>9</v>
      </c>
    </row>
    <row r="27" spans="1:34" ht="48">
      <c r="A27" s="2">
        <v>98</v>
      </c>
      <c r="B27" s="2" t="s">
        <v>61</v>
      </c>
      <c r="C27" s="41" t="s">
        <v>291</v>
      </c>
      <c r="D27" s="3" t="s">
        <v>146</v>
      </c>
      <c r="E27" s="2" t="s">
        <v>63</v>
      </c>
      <c r="F27" s="3" t="s">
        <v>148</v>
      </c>
      <c r="G27" s="2" t="s">
        <v>34</v>
      </c>
      <c r="H27" s="13" t="s">
        <v>297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1</v>
      </c>
      <c r="O27" s="5">
        <v>0</v>
      </c>
      <c r="P27" s="5">
        <v>0</v>
      </c>
      <c r="Q27" s="6">
        <v>0</v>
      </c>
      <c r="R27" s="5">
        <v>0</v>
      </c>
      <c r="S27" s="5">
        <v>1</v>
      </c>
      <c r="T27" s="5">
        <v>0</v>
      </c>
      <c r="U27" s="7">
        <f t="shared" si="0"/>
        <v>2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1</v>
      </c>
      <c r="AB27" s="5">
        <v>0</v>
      </c>
      <c r="AC27" s="5">
        <v>0</v>
      </c>
      <c r="AD27" s="9">
        <v>0</v>
      </c>
      <c r="AE27" s="38">
        <v>0</v>
      </c>
      <c r="AF27" s="38">
        <v>0</v>
      </c>
      <c r="AG27" s="38">
        <v>0</v>
      </c>
      <c r="AH27" s="7">
        <f t="shared" si="1"/>
        <v>1</v>
      </c>
    </row>
    <row r="28" spans="1:34" ht="36">
      <c r="A28" s="2">
        <v>78</v>
      </c>
      <c r="B28" s="2" t="s">
        <v>71</v>
      </c>
      <c r="C28" s="41" t="s">
        <v>287</v>
      </c>
      <c r="D28" s="3" t="s">
        <v>85</v>
      </c>
      <c r="E28" s="2" t="s">
        <v>63</v>
      </c>
      <c r="F28" s="3" t="s">
        <v>151</v>
      </c>
      <c r="G28" s="2" t="s">
        <v>99</v>
      </c>
      <c r="H28" s="13" t="s">
        <v>297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6">
        <v>1</v>
      </c>
      <c r="R28" s="5">
        <v>1</v>
      </c>
      <c r="S28" s="5">
        <v>1</v>
      </c>
      <c r="T28" s="5">
        <v>1</v>
      </c>
      <c r="U28" s="7">
        <f t="shared" si="0"/>
        <v>12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5">
        <v>1</v>
      </c>
      <c r="AD28" s="9">
        <v>1</v>
      </c>
      <c r="AE28" s="38">
        <v>0</v>
      </c>
      <c r="AF28" s="38">
        <v>0</v>
      </c>
      <c r="AG28" s="38">
        <v>0</v>
      </c>
      <c r="AH28" s="7">
        <f t="shared" si="1"/>
        <v>9</v>
      </c>
    </row>
    <row r="29" spans="1:34" ht="24">
      <c r="A29" s="2">
        <v>78</v>
      </c>
      <c r="B29" s="2" t="s">
        <v>71</v>
      </c>
      <c r="C29" s="41" t="s">
        <v>287</v>
      </c>
      <c r="D29" s="3" t="s">
        <v>85</v>
      </c>
      <c r="E29" s="2" t="s">
        <v>63</v>
      </c>
      <c r="F29" s="3" t="s">
        <v>154</v>
      </c>
      <c r="G29" s="2" t="s">
        <v>99</v>
      </c>
      <c r="H29" s="13" t="s">
        <v>297</v>
      </c>
      <c r="I29" s="5">
        <v>0</v>
      </c>
      <c r="J29" s="5">
        <v>0</v>
      </c>
      <c r="K29" s="5">
        <v>0</v>
      </c>
      <c r="L29" s="5">
        <v>1</v>
      </c>
      <c r="M29" s="5">
        <v>0</v>
      </c>
      <c r="N29" s="5">
        <v>0</v>
      </c>
      <c r="O29" s="5">
        <v>1</v>
      </c>
      <c r="P29" s="5">
        <v>0</v>
      </c>
      <c r="Q29" s="6">
        <v>0</v>
      </c>
      <c r="R29" s="5">
        <v>1</v>
      </c>
      <c r="S29" s="5">
        <v>0</v>
      </c>
      <c r="T29" s="5">
        <v>0</v>
      </c>
      <c r="U29" s="7">
        <f t="shared" si="0"/>
        <v>3</v>
      </c>
      <c r="V29" s="5">
        <v>0</v>
      </c>
      <c r="W29" s="5">
        <v>0</v>
      </c>
      <c r="X29" s="5">
        <v>0</v>
      </c>
      <c r="Y29" s="5">
        <v>1</v>
      </c>
      <c r="Z29" s="5">
        <v>0</v>
      </c>
      <c r="AA29" s="5">
        <v>0</v>
      </c>
      <c r="AB29" s="5">
        <v>1</v>
      </c>
      <c r="AC29" s="5">
        <v>0</v>
      </c>
      <c r="AD29" s="9">
        <v>0</v>
      </c>
      <c r="AE29" s="38">
        <v>0</v>
      </c>
      <c r="AF29" s="38">
        <v>0</v>
      </c>
      <c r="AG29" s="38">
        <v>0</v>
      </c>
      <c r="AH29" s="7">
        <f t="shared" si="1"/>
        <v>2</v>
      </c>
    </row>
    <row r="30" spans="1:34" ht="48">
      <c r="A30" s="2">
        <v>102</v>
      </c>
      <c r="B30" s="2" t="s">
        <v>113</v>
      </c>
      <c r="C30" s="43" t="s">
        <v>292</v>
      </c>
      <c r="D30" s="3" t="s">
        <v>155</v>
      </c>
      <c r="E30" s="2" t="s">
        <v>99</v>
      </c>
      <c r="F30" s="3" t="s">
        <v>156</v>
      </c>
      <c r="G30" s="2" t="s">
        <v>157</v>
      </c>
      <c r="H30" s="4" t="s">
        <v>298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1</v>
      </c>
      <c r="O30" s="5">
        <v>0</v>
      </c>
      <c r="P30" s="5">
        <v>0</v>
      </c>
      <c r="Q30" s="6">
        <v>0</v>
      </c>
      <c r="R30" s="5">
        <v>0</v>
      </c>
      <c r="S30" s="5">
        <v>0</v>
      </c>
      <c r="T30" s="5">
        <v>0</v>
      </c>
      <c r="U30" s="7">
        <f t="shared" si="0"/>
        <v>1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1</v>
      </c>
      <c r="AB30" s="5">
        <v>0</v>
      </c>
      <c r="AC30" s="5">
        <v>0</v>
      </c>
      <c r="AD30" s="9">
        <v>0</v>
      </c>
      <c r="AE30" s="38">
        <v>0</v>
      </c>
      <c r="AF30" s="38">
        <v>0</v>
      </c>
      <c r="AG30" s="38">
        <v>0</v>
      </c>
      <c r="AH30" s="7">
        <f t="shared" si="1"/>
        <v>1</v>
      </c>
    </row>
    <row r="31" spans="1:34" ht="72">
      <c r="A31" s="2">
        <v>102</v>
      </c>
      <c r="B31" s="2" t="s">
        <v>114</v>
      </c>
      <c r="C31" s="43" t="s">
        <v>292</v>
      </c>
      <c r="D31" s="3" t="s">
        <v>158</v>
      </c>
      <c r="E31" s="2" t="s">
        <v>99</v>
      </c>
      <c r="F31" s="3" t="s">
        <v>159</v>
      </c>
      <c r="G31" s="2" t="s">
        <v>157</v>
      </c>
      <c r="H31" s="4" t="s">
        <v>298</v>
      </c>
      <c r="I31" s="5">
        <v>0</v>
      </c>
      <c r="J31" s="5">
        <v>0</v>
      </c>
      <c r="K31" s="5">
        <v>0</v>
      </c>
      <c r="L31" s="5">
        <v>0</v>
      </c>
      <c r="M31" s="5">
        <v>1</v>
      </c>
      <c r="N31" s="5">
        <v>1</v>
      </c>
      <c r="O31" s="5">
        <v>0</v>
      </c>
      <c r="P31" s="5">
        <v>0</v>
      </c>
      <c r="Q31" s="6">
        <v>0</v>
      </c>
      <c r="R31" s="5">
        <v>0</v>
      </c>
      <c r="S31" s="5">
        <v>0</v>
      </c>
      <c r="T31" s="5">
        <v>0</v>
      </c>
      <c r="U31" s="7">
        <f t="shared" si="0"/>
        <v>2</v>
      </c>
      <c r="V31" s="5">
        <v>0</v>
      </c>
      <c r="W31" s="5">
        <v>0</v>
      </c>
      <c r="X31" s="5">
        <v>0</v>
      </c>
      <c r="Y31" s="5">
        <v>0</v>
      </c>
      <c r="Z31" s="5">
        <v>1</v>
      </c>
      <c r="AA31" s="5">
        <v>1</v>
      </c>
      <c r="AB31" s="5">
        <v>0</v>
      </c>
      <c r="AC31" s="5">
        <v>0</v>
      </c>
      <c r="AD31" s="9">
        <v>0</v>
      </c>
      <c r="AE31" s="38">
        <v>0</v>
      </c>
      <c r="AF31" s="38">
        <v>0</v>
      </c>
      <c r="AG31" s="38">
        <v>0</v>
      </c>
      <c r="AH31" s="7">
        <f t="shared" si="1"/>
        <v>2</v>
      </c>
    </row>
    <row r="32" spans="1:34" ht="72">
      <c r="A32" s="2">
        <v>103</v>
      </c>
      <c r="B32" s="2" t="s">
        <v>114</v>
      </c>
      <c r="C32" s="43" t="s">
        <v>292</v>
      </c>
      <c r="D32" s="3" t="s">
        <v>158</v>
      </c>
      <c r="E32" s="2" t="s">
        <v>99</v>
      </c>
      <c r="F32" s="3" t="s">
        <v>160</v>
      </c>
      <c r="G32" s="2" t="s">
        <v>36</v>
      </c>
      <c r="H32" s="4" t="s">
        <v>298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1</v>
      </c>
      <c r="P32" s="5">
        <v>0</v>
      </c>
      <c r="Q32" s="6">
        <v>0</v>
      </c>
      <c r="R32" s="5">
        <v>0</v>
      </c>
      <c r="S32" s="5">
        <v>0</v>
      </c>
      <c r="T32" s="5">
        <v>0</v>
      </c>
      <c r="U32" s="7">
        <v>1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1</v>
      </c>
      <c r="AC32" s="5">
        <v>0</v>
      </c>
      <c r="AD32" s="9">
        <v>0</v>
      </c>
      <c r="AE32" s="38">
        <v>0</v>
      </c>
      <c r="AF32" s="38">
        <v>0</v>
      </c>
      <c r="AG32" s="38">
        <v>0</v>
      </c>
      <c r="AH32" s="7">
        <f t="shared" si="1"/>
        <v>1</v>
      </c>
    </row>
    <row r="33" spans="1:34" ht="72">
      <c r="A33" s="2">
        <v>103</v>
      </c>
      <c r="B33" s="2" t="s">
        <v>114</v>
      </c>
      <c r="C33" s="43" t="s">
        <v>292</v>
      </c>
      <c r="D33" s="3" t="s">
        <v>158</v>
      </c>
      <c r="E33" s="2" t="s">
        <v>99</v>
      </c>
      <c r="F33" s="3" t="s">
        <v>161</v>
      </c>
      <c r="G33" s="2" t="s">
        <v>157</v>
      </c>
      <c r="H33" s="4" t="s">
        <v>298</v>
      </c>
      <c r="I33" s="5">
        <v>0</v>
      </c>
      <c r="J33" s="5">
        <v>0</v>
      </c>
      <c r="K33" s="5">
        <v>0</v>
      </c>
      <c r="L33" s="5">
        <v>0</v>
      </c>
      <c r="M33" s="5">
        <v>1</v>
      </c>
      <c r="N33" s="5">
        <v>4</v>
      </c>
      <c r="O33" s="5">
        <v>0</v>
      </c>
      <c r="P33" s="5">
        <v>0</v>
      </c>
      <c r="Q33" s="6">
        <v>0</v>
      </c>
      <c r="R33" s="5">
        <v>0</v>
      </c>
      <c r="S33" s="5">
        <v>0</v>
      </c>
      <c r="T33" s="5">
        <v>0</v>
      </c>
      <c r="U33" s="7">
        <f t="shared" ref="U33:U36" si="2">SUM(I33:T33)</f>
        <v>5</v>
      </c>
      <c r="V33" s="5">
        <v>0</v>
      </c>
      <c r="W33" s="5">
        <v>0</v>
      </c>
      <c r="X33" s="5">
        <v>0</v>
      </c>
      <c r="Y33" s="5">
        <v>0</v>
      </c>
      <c r="Z33" s="5">
        <v>1</v>
      </c>
      <c r="AA33" s="5">
        <v>4</v>
      </c>
      <c r="AB33" s="5">
        <v>0</v>
      </c>
      <c r="AC33" s="5">
        <v>0</v>
      </c>
      <c r="AD33" s="9">
        <v>0</v>
      </c>
      <c r="AE33" s="38">
        <v>0</v>
      </c>
      <c r="AF33" s="38">
        <v>0</v>
      </c>
      <c r="AG33" s="38">
        <v>0</v>
      </c>
      <c r="AH33" s="7">
        <f t="shared" si="1"/>
        <v>5</v>
      </c>
    </row>
    <row r="34" spans="1:34" ht="84">
      <c r="A34" s="2">
        <v>102</v>
      </c>
      <c r="B34" s="2" t="s">
        <v>90</v>
      </c>
      <c r="C34" s="43" t="s">
        <v>293</v>
      </c>
      <c r="D34" s="3" t="s">
        <v>162</v>
      </c>
      <c r="E34" s="2" t="s">
        <v>36</v>
      </c>
      <c r="F34" s="3" t="s">
        <v>163</v>
      </c>
      <c r="G34" s="2" t="s">
        <v>164</v>
      </c>
      <c r="H34" s="4" t="s">
        <v>302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1</v>
      </c>
      <c r="P34" s="5">
        <v>0</v>
      </c>
      <c r="Q34" s="6">
        <v>0</v>
      </c>
      <c r="R34" s="5">
        <v>0</v>
      </c>
      <c r="S34" s="5">
        <v>0</v>
      </c>
      <c r="T34" s="5">
        <v>0</v>
      </c>
      <c r="U34" s="7">
        <f t="shared" si="2"/>
        <v>1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1</v>
      </c>
      <c r="AC34" s="5">
        <v>0</v>
      </c>
      <c r="AD34" s="9">
        <v>0</v>
      </c>
      <c r="AE34" s="38">
        <v>0</v>
      </c>
      <c r="AF34" s="38">
        <v>0</v>
      </c>
      <c r="AG34" s="38">
        <v>0</v>
      </c>
      <c r="AH34" s="7">
        <f t="shared" si="1"/>
        <v>1</v>
      </c>
    </row>
    <row r="35" spans="1:34" ht="84">
      <c r="A35" s="2">
        <v>102</v>
      </c>
      <c r="B35" s="2" t="s">
        <v>90</v>
      </c>
      <c r="C35" s="43" t="s">
        <v>293</v>
      </c>
      <c r="D35" s="3" t="s">
        <v>162</v>
      </c>
      <c r="E35" s="2" t="s">
        <v>36</v>
      </c>
      <c r="F35" s="16" t="s">
        <v>165</v>
      </c>
      <c r="G35" s="2" t="s">
        <v>164</v>
      </c>
      <c r="H35" s="4" t="s">
        <v>302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6">
        <v>1</v>
      </c>
      <c r="R35" s="5">
        <v>0</v>
      </c>
      <c r="S35" s="5">
        <v>0</v>
      </c>
      <c r="T35" s="5">
        <v>0</v>
      </c>
      <c r="U35" s="7">
        <f t="shared" si="2"/>
        <v>1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9">
        <v>1</v>
      </c>
      <c r="AE35" s="38">
        <v>0</v>
      </c>
      <c r="AF35" s="38">
        <v>0</v>
      </c>
      <c r="AG35" s="38">
        <v>0</v>
      </c>
      <c r="AH35" s="7">
        <f t="shared" si="1"/>
        <v>1</v>
      </c>
    </row>
    <row r="36" spans="1:34" ht="84">
      <c r="A36" s="2">
        <v>103</v>
      </c>
      <c r="B36" s="2" t="s">
        <v>90</v>
      </c>
      <c r="C36" s="43" t="s">
        <v>293</v>
      </c>
      <c r="D36" s="3" t="s">
        <v>162</v>
      </c>
      <c r="E36" s="2" t="s">
        <v>36</v>
      </c>
      <c r="F36" s="16" t="s">
        <v>166</v>
      </c>
      <c r="G36" s="2" t="s">
        <v>99</v>
      </c>
      <c r="H36" s="4" t="s">
        <v>302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6">
        <v>1</v>
      </c>
      <c r="R36" s="5">
        <v>0</v>
      </c>
      <c r="S36" s="5">
        <v>0</v>
      </c>
      <c r="T36" s="5">
        <v>0</v>
      </c>
      <c r="U36" s="7">
        <f t="shared" si="2"/>
        <v>1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9">
        <v>1</v>
      </c>
      <c r="AE36" s="38">
        <v>0</v>
      </c>
      <c r="AF36" s="38">
        <v>0</v>
      </c>
      <c r="AG36" s="38">
        <v>0</v>
      </c>
      <c r="AH36" s="7">
        <f t="shared" si="1"/>
        <v>1</v>
      </c>
    </row>
    <row r="37" spans="1:34" ht="96">
      <c r="A37" s="2">
        <v>103</v>
      </c>
      <c r="B37" s="2" t="s">
        <v>89</v>
      </c>
      <c r="C37" s="43" t="s">
        <v>293</v>
      </c>
      <c r="D37" s="3" t="s">
        <v>167</v>
      </c>
      <c r="E37" s="2" t="s">
        <v>99</v>
      </c>
      <c r="F37" s="16" t="s">
        <v>168</v>
      </c>
      <c r="G37" s="2" t="s">
        <v>164</v>
      </c>
      <c r="H37" s="4" t="s">
        <v>302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17">
        <v>1</v>
      </c>
      <c r="R37" s="5">
        <v>0</v>
      </c>
      <c r="S37" s="5">
        <v>0</v>
      </c>
      <c r="T37" s="5">
        <v>0</v>
      </c>
      <c r="U37" s="7">
        <v>1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9">
        <v>1</v>
      </c>
      <c r="AE37" s="38">
        <v>0</v>
      </c>
      <c r="AF37" s="38">
        <v>0</v>
      </c>
      <c r="AG37" s="38">
        <v>0</v>
      </c>
      <c r="AH37" s="7">
        <f t="shared" si="1"/>
        <v>1</v>
      </c>
    </row>
    <row r="38" spans="1:34" ht="96">
      <c r="A38" s="2">
        <v>102</v>
      </c>
      <c r="B38" s="2" t="s">
        <v>90</v>
      </c>
      <c r="C38" s="43" t="s">
        <v>293</v>
      </c>
      <c r="D38" s="3" t="s">
        <v>170</v>
      </c>
      <c r="E38" s="2" t="s">
        <v>99</v>
      </c>
      <c r="F38" s="16" t="s">
        <v>171</v>
      </c>
      <c r="G38" s="2" t="s">
        <v>164</v>
      </c>
      <c r="H38" s="4" t="s">
        <v>302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17">
        <v>1</v>
      </c>
      <c r="R38" s="5">
        <v>0</v>
      </c>
      <c r="S38" s="5">
        <v>0</v>
      </c>
      <c r="T38" s="5">
        <v>0</v>
      </c>
      <c r="U38" s="7">
        <v>1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9">
        <v>1</v>
      </c>
      <c r="AE38" s="38">
        <v>0</v>
      </c>
      <c r="AF38" s="38">
        <v>0</v>
      </c>
      <c r="AG38" s="38">
        <v>0</v>
      </c>
      <c r="AH38" s="7">
        <f t="shared" si="1"/>
        <v>1</v>
      </c>
    </row>
    <row r="39" spans="1:34" ht="108">
      <c r="A39" s="2">
        <v>102</v>
      </c>
      <c r="B39" s="2" t="s">
        <v>92</v>
      </c>
      <c r="C39" s="43" t="s">
        <v>293</v>
      </c>
      <c r="D39" s="3" t="s">
        <v>172</v>
      </c>
      <c r="E39" s="2" t="s">
        <v>99</v>
      </c>
      <c r="F39" s="16" t="s">
        <v>173</v>
      </c>
      <c r="G39" s="2" t="s">
        <v>164</v>
      </c>
      <c r="H39" s="4" t="s">
        <v>302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6">
        <v>1</v>
      </c>
      <c r="R39" s="5">
        <v>0</v>
      </c>
      <c r="S39" s="5">
        <v>0</v>
      </c>
      <c r="T39" s="5">
        <v>0</v>
      </c>
      <c r="U39" s="7">
        <f t="shared" ref="U39:U43" si="3">SUM(I39:T39)</f>
        <v>1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9">
        <v>1</v>
      </c>
      <c r="AE39" s="38">
        <v>0</v>
      </c>
      <c r="AF39" s="38">
        <v>0</v>
      </c>
      <c r="AG39" s="38">
        <v>0</v>
      </c>
      <c r="AH39" s="7">
        <f t="shared" si="1"/>
        <v>1</v>
      </c>
    </row>
    <row r="40" spans="1:34" ht="96">
      <c r="A40" s="2">
        <v>103</v>
      </c>
      <c r="B40" s="2" t="s">
        <v>89</v>
      </c>
      <c r="C40" s="43" t="s">
        <v>293</v>
      </c>
      <c r="D40" s="3" t="s">
        <v>167</v>
      </c>
      <c r="E40" s="2" t="s">
        <v>99</v>
      </c>
      <c r="F40" s="16" t="s">
        <v>174</v>
      </c>
      <c r="G40" s="2" t="s">
        <v>164</v>
      </c>
      <c r="H40" s="4" t="s">
        <v>302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6">
        <v>1</v>
      </c>
      <c r="R40" s="5">
        <v>0</v>
      </c>
      <c r="S40" s="5">
        <v>0</v>
      </c>
      <c r="T40" s="5">
        <v>0</v>
      </c>
      <c r="U40" s="7">
        <f t="shared" si="3"/>
        <v>1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9">
        <v>1</v>
      </c>
      <c r="AE40" s="38">
        <v>0</v>
      </c>
      <c r="AF40" s="38">
        <v>0</v>
      </c>
      <c r="AG40" s="38">
        <v>0</v>
      </c>
      <c r="AH40" s="7">
        <f t="shared" si="1"/>
        <v>1</v>
      </c>
    </row>
    <row r="41" spans="1:34" ht="72">
      <c r="A41" s="2">
        <v>103</v>
      </c>
      <c r="B41" s="2" t="s">
        <v>95</v>
      </c>
      <c r="C41" s="43" t="s">
        <v>293</v>
      </c>
      <c r="D41" s="3" t="s">
        <v>175</v>
      </c>
      <c r="E41" s="2" t="s">
        <v>99</v>
      </c>
      <c r="F41" s="3" t="s">
        <v>176</v>
      </c>
      <c r="G41" s="2" t="s">
        <v>164</v>
      </c>
      <c r="H41" s="4" t="s">
        <v>302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6">
        <v>0</v>
      </c>
      <c r="R41" s="5">
        <v>1</v>
      </c>
      <c r="S41" s="5">
        <v>0</v>
      </c>
      <c r="T41" s="5">
        <v>0</v>
      </c>
      <c r="U41" s="7">
        <f t="shared" si="3"/>
        <v>1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9">
        <v>0</v>
      </c>
      <c r="AE41" s="38">
        <v>0</v>
      </c>
      <c r="AF41" s="38">
        <v>0</v>
      </c>
      <c r="AG41" s="38">
        <v>0</v>
      </c>
      <c r="AH41" s="7">
        <f t="shared" si="1"/>
        <v>0</v>
      </c>
    </row>
    <row r="42" spans="1:34" ht="72">
      <c r="A42" s="2">
        <v>102</v>
      </c>
      <c r="B42" s="2" t="s">
        <v>95</v>
      </c>
      <c r="C42" s="43" t="s">
        <v>293</v>
      </c>
      <c r="D42" s="3" t="s">
        <v>175</v>
      </c>
      <c r="E42" s="2" t="s">
        <v>99</v>
      </c>
      <c r="F42" s="3" t="s">
        <v>177</v>
      </c>
      <c r="G42" s="2" t="s">
        <v>164</v>
      </c>
      <c r="H42" s="4" t="s">
        <v>302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6">
        <v>1</v>
      </c>
      <c r="R42" s="5">
        <v>0</v>
      </c>
      <c r="S42" s="5">
        <v>0</v>
      </c>
      <c r="T42" s="5">
        <v>0</v>
      </c>
      <c r="U42" s="7">
        <f t="shared" si="3"/>
        <v>1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9">
        <v>1</v>
      </c>
      <c r="AE42" s="38">
        <v>0</v>
      </c>
      <c r="AF42" s="38">
        <v>0</v>
      </c>
      <c r="AG42" s="38">
        <v>0</v>
      </c>
      <c r="AH42" s="7">
        <f t="shared" si="1"/>
        <v>1</v>
      </c>
    </row>
    <row r="43" spans="1:34" ht="72">
      <c r="A43" s="2">
        <v>102</v>
      </c>
      <c r="B43" s="2" t="s">
        <v>96</v>
      </c>
      <c r="C43" s="43" t="s">
        <v>293</v>
      </c>
      <c r="D43" s="3" t="s">
        <v>178</v>
      </c>
      <c r="E43" s="2" t="s">
        <v>99</v>
      </c>
      <c r="F43" s="3" t="s">
        <v>179</v>
      </c>
      <c r="G43" s="2" t="s">
        <v>164</v>
      </c>
      <c r="H43" s="4" t="s">
        <v>302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6">
        <v>0</v>
      </c>
      <c r="R43" s="5">
        <v>1</v>
      </c>
      <c r="S43" s="5">
        <v>0</v>
      </c>
      <c r="T43" s="5">
        <v>0</v>
      </c>
      <c r="U43" s="7">
        <f t="shared" si="3"/>
        <v>1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9">
        <v>0</v>
      </c>
      <c r="AE43" s="38">
        <v>0</v>
      </c>
      <c r="AF43" s="38">
        <v>0</v>
      </c>
      <c r="AG43" s="38">
        <v>0</v>
      </c>
      <c r="AH43" s="7">
        <f t="shared" si="1"/>
        <v>0</v>
      </c>
    </row>
    <row r="44" spans="1:34" ht="72">
      <c r="A44" s="2">
        <v>103</v>
      </c>
      <c r="B44" s="2" t="s">
        <v>96</v>
      </c>
      <c r="C44" s="43" t="s">
        <v>293</v>
      </c>
      <c r="D44" s="3" t="s">
        <v>178</v>
      </c>
      <c r="E44" s="2" t="s">
        <v>99</v>
      </c>
      <c r="F44" s="3" t="s">
        <v>180</v>
      </c>
      <c r="G44" s="2" t="s">
        <v>164</v>
      </c>
      <c r="H44" s="4" t="s">
        <v>302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5">
        <v>1</v>
      </c>
      <c r="S44" s="5">
        <v>0</v>
      </c>
      <c r="T44" s="5">
        <v>0</v>
      </c>
      <c r="U44" s="7">
        <v>1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9">
        <v>0</v>
      </c>
      <c r="AE44" s="38">
        <v>0</v>
      </c>
      <c r="AF44" s="38">
        <v>0</v>
      </c>
      <c r="AG44" s="38">
        <v>0</v>
      </c>
      <c r="AH44" s="7">
        <f t="shared" si="1"/>
        <v>0</v>
      </c>
    </row>
    <row r="45" spans="1:34" ht="96">
      <c r="A45" s="2">
        <v>103</v>
      </c>
      <c r="B45" s="2" t="s">
        <v>97</v>
      </c>
      <c r="C45" s="43" t="s">
        <v>293</v>
      </c>
      <c r="D45" s="3" t="s">
        <v>181</v>
      </c>
      <c r="E45" s="2" t="s">
        <v>99</v>
      </c>
      <c r="F45" s="3" t="s">
        <v>182</v>
      </c>
      <c r="G45" s="2" t="s">
        <v>164</v>
      </c>
      <c r="H45" s="4" t="s">
        <v>302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6">
        <v>0</v>
      </c>
      <c r="R45" s="5">
        <v>1</v>
      </c>
      <c r="S45" s="5">
        <v>0</v>
      </c>
      <c r="T45" s="5">
        <v>0</v>
      </c>
      <c r="U45" s="7">
        <f>SUM(I45:T45)</f>
        <v>1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9">
        <v>0</v>
      </c>
      <c r="AE45" s="38">
        <v>0</v>
      </c>
      <c r="AF45" s="38">
        <v>0</v>
      </c>
      <c r="AG45" s="38">
        <v>0</v>
      </c>
      <c r="AH45" s="7">
        <f t="shared" si="1"/>
        <v>0</v>
      </c>
    </row>
    <row r="46" spans="1:34" ht="60">
      <c r="A46" s="2">
        <v>102</v>
      </c>
      <c r="B46" s="2" t="s">
        <v>100</v>
      </c>
      <c r="C46" s="43" t="s">
        <v>293</v>
      </c>
      <c r="D46" s="3" t="s">
        <v>183</v>
      </c>
      <c r="E46" s="2" t="s">
        <v>99</v>
      </c>
      <c r="F46" s="3" t="s">
        <v>184</v>
      </c>
      <c r="G46" s="2" t="s">
        <v>164</v>
      </c>
      <c r="H46" s="4" t="s">
        <v>302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5">
        <v>1</v>
      </c>
      <c r="S46" s="5">
        <v>0</v>
      </c>
      <c r="T46" s="5">
        <v>0</v>
      </c>
      <c r="U46" s="7">
        <v>1</v>
      </c>
      <c r="V46" s="5">
        <v>0</v>
      </c>
      <c r="W46" s="5">
        <v>0</v>
      </c>
      <c r="X46" s="5">
        <v>0</v>
      </c>
      <c r="Y46" s="5">
        <v>0</v>
      </c>
      <c r="Z46" s="15">
        <v>0</v>
      </c>
      <c r="AA46" s="5">
        <v>0</v>
      </c>
      <c r="AB46" s="5">
        <v>0</v>
      </c>
      <c r="AC46" s="5">
        <v>0</v>
      </c>
      <c r="AD46" s="9">
        <v>0</v>
      </c>
      <c r="AE46" s="38">
        <v>0</v>
      </c>
      <c r="AF46" s="38">
        <v>0</v>
      </c>
      <c r="AG46" s="38">
        <v>0</v>
      </c>
      <c r="AH46" s="7">
        <f t="shared" si="1"/>
        <v>0</v>
      </c>
    </row>
    <row r="47" spans="1:34" ht="60">
      <c r="A47" s="2">
        <v>102</v>
      </c>
      <c r="B47" s="2" t="s">
        <v>100</v>
      </c>
      <c r="C47" s="43" t="s">
        <v>293</v>
      </c>
      <c r="D47" s="3" t="s">
        <v>183</v>
      </c>
      <c r="E47" s="2" t="s">
        <v>99</v>
      </c>
      <c r="F47" s="3" t="s">
        <v>185</v>
      </c>
      <c r="G47" s="2" t="s">
        <v>164</v>
      </c>
      <c r="H47" s="4" t="s">
        <v>302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6">
        <v>0</v>
      </c>
      <c r="R47" s="5">
        <v>1</v>
      </c>
      <c r="S47" s="5">
        <v>0</v>
      </c>
      <c r="T47" s="5">
        <v>0</v>
      </c>
      <c r="U47" s="7">
        <f t="shared" ref="U47:U50" si="4">SUM(I47:T47)</f>
        <v>1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9">
        <v>0</v>
      </c>
      <c r="AE47" s="38">
        <v>0</v>
      </c>
      <c r="AF47" s="38">
        <v>0</v>
      </c>
      <c r="AG47" s="38">
        <v>0</v>
      </c>
      <c r="AH47" s="7">
        <f t="shared" si="1"/>
        <v>0</v>
      </c>
    </row>
    <row r="48" spans="1:34" ht="60">
      <c r="A48" s="2">
        <v>103</v>
      </c>
      <c r="B48" s="2" t="s">
        <v>101</v>
      </c>
      <c r="C48" s="43" t="s">
        <v>293</v>
      </c>
      <c r="D48" s="3" t="s">
        <v>186</v>
      </c>
      <c r="E48" s="2" t="s">
        <v>99</v>
      </c>
      <c r="F48" s="3" t="s">
        <v>187</v>
      </c>
      <c r="G48" s="2" t="s">
        <v>164</v>
      </c>
      <c r="H48" s="4" t="s">
        <v>302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5">
        <v>1</v>
      </c>
      <c r="S48" s="5">
        <v>0</v>
      </c>
      <c r="T48" s="5">
        <v>0</v>
      </c>
      <c r="U48" s="7">
        <f t="shared" si="4"/>
        <v>1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9">
        <v>0</v>
      </c>
      <c r="AE48" s="38">
        <v>0</v>
      </c>
      <c r="AF48" s="38">
        <v>0</v>
      </c>
      <c r="AG48" s="38">
        <v>0</v>
      </c>
      <c r="AH48" s="7">
        <f t="shared" si="1"/>
        <v>0</v>
      </c>
    </row>
    <row r="49" spans="1:34" ht="60">
      <c r="A49" s="2">
        <v>102</v>
      </c>
      <c r="B49" s="2" t="s">
        <v>101</v>
      </c>
      <c r="C49" s="43" t="s">
        <v>293</v>
      </c>
      <c r="D49" s="3" t="s">
        <v>186</v>
      </c>
      <c r="E49" s="2" t="s">
        <v>99</v>
      </c>
      <c r="F49" s="3" t="s">
        <v>188</v>
      </c>
      <c r="G49" s="2" t="s">
        <v>99</v>
      </c>
      <c r="H49" s="4" t="s">
        <v>302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1</v>
      </c>
      <c r="O49" s="5">
        <v>0</v>
      </c>
      <c r="P49" s="5">
        <v>0</v>
      </c>
      <c r="Q49" s="6">
        <v>0</v>
      </c>
      <c r="R49" s="5">
        <v>0</v>
      </c>
      <c r="S49" s="5">
        <v>0</v>
      </c>
      <c r="T49" s="5">
        <v>0</v>
      </c>
      <c r="U49" s="7">
        <f t="shared" si="4"/>
        <v>1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1</v>
      </c>
      <c r="AB49" s="5">
        <v>0</v>
      </c>
      <c r="AC49" s="5">
        <v>0</v>
      </c>
      <c r="AD49" s="9">
        <v>0</v>
      </c>
      <c r="AE49" s="38">
        <v>0</v>
      </c>
      <c r="AF49" s="38">
        <v>0</v>
      </c>
      <c r="AG49" s="38">
        <v>0</v>
      </c>
      <c r="AH49" s="7">
        <f t="shared" si="1"/>
        <v>1</v>
      </c>
    </row>
    <row r="50" spans="1:34" ht="60">
      <c r="A50" s="2">
        <v>102</v>
      </c>
      <c r="B50" s="2" t="s">
        <v>101</v>
      </c>
      <c r="C50" s="43" t="s">
        <v>293</v>
      </c>
      <c r="D50" s="3" t="s">
        <v>186</v>
      </c>
      <c r="E50" s="2" t="s">
        <v>99</v>
      </c>
      <c r="F50" s="3" t="s">
        <v>189</v>
      </c>
      <c r="G50" s="2" t="s">
        <v>164</v>
      </c>
      <c r="H50" s="4" t="s">
        <v>302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5">
        <v>1</v>
      </c>
      <c r="S50" s="5">
        <v>0</v>
      </c>
      <c r="T50" s="5">
        <v>0</v>
      </c>
      <c r="U50" s="7">
        <f t="shared" si="4"/>
        <v>1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9">
        <v>0</v>
      </c>
      <c r="AE50" s="38">
        <v>0</v>
      </c>
      <c r="AF50" s="38">
        <v>0</v>
      </c>
      <c r="AG50" s="38">
        <v>0</v>
      </c>
      <c r="AH50" s="7">
        <f t="shared" si="1"/>
        <v>0</v>
      </c>
    </row>
    <row r="51" spans="1:34" ht="48">
      <c r="A51" s="2">
        <v>103</v>
      </c>
      <c r="B51" s="2" t="s">
        <v>102</v>
      </c>
      <c r="C51" s="43" t="s">
        <v>293</v>
      </c>
      <c r="D51" s="3" t="s">
        <v>190</v>
      </c>
      <c r="E51" s="2" t="s">
        <v>99</v>
      </c>
      <c r="F51" s="3" t="s">
        <v>191</v>
      </c>
      <c r="G51" s="2" t="s">
        <v>164</v>
      </c>
      <c r="H51" s="4" t="s">
        <v>302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6">
        <v>0</v>
      </c>
      <c r="R51" s="15">
        <v>1</v>
      </c>
      <c r="S51" s="5">
        <v>0</v>
      </c>
      <c r="T51" s="5">
        <v>0</v>
      </c>
      <c r="U51" s="7">
        <v>1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9">
        <v>0</v>
      </c>
      <c r="AE51" s="38">
        <v>0</v>
      </c>
      <c r="AF51" s="38">
        <v>0</v>
      </c>
      <c r="AG51" s="38">
        <v>0</v>
      </c>
      <c r="AH51" s="7">
        <f t="shared" si="1"/>
        <v>0</v>
      </c>
    </row>
    <row r="52" spans="1:34" ht="48">
      <c r="A52" s="2">
        <v>103</v>
      </c>
      <c r="B52" s="2" t="s">
        <v>102</v>
      </c>
      <c r="C52" s="43" t="s">
        <v>293</v>
      </c>
      <c r="D52" s="3" t="s">
        <v>190</v>
      </c>
      <c r="E52" s="2" t="s">
        <v>99</v>
      </c>
      <c r="F52" s="3" t="s">
        <v>192</v>
      </c>
      <c r="G52" s="2" t="s">
        <v>164</v>
      </c>
      <c r="H52" s="4" t="s">
        <v>302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5">
        <v>1</v>
      </c>
      <c r="S52" s="5">
        <v>0</v>
      </c>
      <c r="T52" s="5">
        <v>0</v>
      </c>
      <c r="U52" s="7">
        <f t="shared" ref="U52:U115" si="5">SUM(I52:T52)</f>
        <v>1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9">
        <v>0</v>
      </c>
      <c r="AE52" s="38">
        <v>0</v>
      </c>
      <c r="AF52" s="38">
        <v>0</v>
      </c>
      <c r="AG52" s="38">
        <v>0</v>
      </c>
      <c r="AH52" s="7">
        <f t="shared" si="1"/>
        <v>0</v>
      </c>
    </row>
    <row r="53" spans="1:34" ht="72">
      <c r="A53" s="2">
        <v>102</v>
      </c>
      <c r="B53" s="2" t="s">
        <v>103</v>
      </c>
      <c r="C53" s="43" t="s">
        <v>293</v>
      </c>
      <c r="D53" s="3" t="s">
        <v>193</v>
      </c>
      <c r="E53" s="2" t="s">
        <v>99</v>
      </c>
      <c r="F53" s="3" t="s">
        <v>194</v>
      </c>
      <c r="G53" s="2" t="s">
        <v>164</v>
      </c>
      <c r="H53" s="4" t="s">
        <v>302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6">
        <v>0</v>
      </c>
      <c r="R53" s="5">
        <v>1</v>
      </c>
      <c r="S53" s="5">
        <v>0</v>
      </c>
      <c r="T53" s="5">
        <v>0</v>
      </c>
      <c r="U53" s="7">
        <f t="shared" si="5"/>
        <v>1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9">
        <v>0</v>
      </c>
      <c r="AE53" s="38">
        <v>0</v>
      </c>
      <c r="AF53" s="38">
        <v>0</v>
      </c>
      <c r="AG53" s="38">
        <v>0</v>
      </c>
      <c r="AH53" s="7">
        <f t="shared" si="1"/>
        <v>0</v>
      </c>
    </row>
    <row r="54" spans="1:34" ht="96">
      <c r="A54" s="2">
        <v>102</v>
      </c>
      <c r="B54" s="2" t="s">
        <v>88</v>
      </c>
      <c r="C54" s="43" t="s">
        <v>293</v>
      </c>
      <c r="D54" s="3" t="s">
        <v>195</v>
      </c>
      <c r="E54" s="2" t="s">
        <v>99</v>
      </c>
      <c r="F54" s="3" t="s">
        <v>196</v>
      </c>
      <c r="G54" s="2" t="s">
        <v>164</v>
      </c>
      <c r="H54" s="4" t="s">
        <v>302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5">
        <v>1</v>
      </c>
      <c r="S54" s="5">
        <v>0</v>
      </c>
      <c r="T54" s="5">
        <v>0</v>
      </c>
      <c r="U54" s="7">
        <f t="shared" si="5"/>
        <v>1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9">
        <v>0</v>
      </c>
      <c r="AE54" s="38">
        <v>0</v>
      </c>
      <c r="AF54" s="38">
        <v>0</v>
      </c>
      <c r="AG54" s="38">
        <v>0</v>
      </c>
      <c r="AH54" s="7">
        <f t="shared" si="1"/>
        <v>0</v>
      </c>
    </row>
    <row r="55" spans="1:34" ht="96">
      <c r="A55" s="2">
        <v>102</v>
      </c>
      <c r="B55" s="2" t="s">
        <v>88</v>
      </c>
      <c r="C55" s="43" t="s">
        <v>293</v>
      </c>
      <c r="D55" s="3" t="s">
        <v>195</v>
      </c>
      <c r="E55" s="2" t="s">
        <v>99</v>
      </c>
      <c r="F55" s="3" t="s">
        <v>197</v>
      </c>
      <c r="G55" s="2" t="s">
        <v>164</v>
      </c>
      <c r="H55" s="4" t="s">
        <v>302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6">
        <v>0</v>
      </c>
      <c r="R55" s="5">
        <v>1</v>
      </c>
      <c r="S55" s="5">
        <v>0</v>
      </c>
      <c r="T55" s="5">
        <v>0</v>
      </c>
      <c r="U55" s="7">
        <f t="shared" si="5"/>
        <v>1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9">
        <v>0</v>
      </c>
      <c r="AE55" s="38">
        <v>0</v>
      </c>
      <c r="AF55" s="38">
        <v>0</v>
      </c>
      <c r="AG55" s="38">
        <v>0</v>
      </c>
      <c r="AH55" s="7">
        <f t="shared" si="1"/>
        <v>0</v>
      </c>
    </row>
    <row r="56" spans="1:34" ht="96">
      <c r="A56" s="2">
        <v>103</v>
      </c>
      <c r="B56" s="2" t="s">
        <v>88</v>
      </c>
      <c r="C56" s="43" t="s">
        <v>293</v>
      </c>
      <c r="D56" s="3" t="s">
        <v>195</v>
      </c>
      <c r="E56" s="2" t="s">
        <v>99</v>
      </c>
      <c r="F56" s="3" t="s">
        <v>198</v>
      </c>
      <c r="G56" s="2" t="s">
        <v>164</v>
      </c>
      <c r="H56" s="4" t="s">
        <v>302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5">
        <v>1</v>
      </c>
      <c r="S56" s="5">
        <v>0</v>
      </c>
      <c r="T56" s="5">
        <v>0</v>
      </c>
      <c r="U56" s="7">
        <f t="shared" si="5"/>
        <v>1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9">
        <v>0</v>
      </c>
      <c r="AE56" s="38">
        <v>0</v>
      </c>
      <c r="AF56" s="38">
        <v>0</v>
      </c>
      <c r="AG56" s="38">
        <v>0</v>
      </c>
      <c r="AH56" s="7">
        <f t="shared" si="1"/>
        <v>0</v>
      </c>
    </row>
    <row r="57" spans="1:34" ht="60">
      <c r="A57" s="2">
        <v>103</v>
      </c>
      <c r="B57" s="2" t="s">
        <v>104</v>
      </c>
      <c r="C57" s="43" t="s">
        <v>293</v>
      </c>
      <c r="D57" s="3" t="s">
        <v>199</v>
      </c>
      <c r="E57" s="2" t="s">
        <v>99</v>
      </c>
      <c r="F57" s="3" t="s">
        <v>200</v>
      </c>
      <c r="G57" s="2" t="s">
        <v>164</v>
      </c>
      <c r="H57" s="4" t="s">
        <v>302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6">
        <v>0</v>
      </c>
      <c r="R57" s="5">
        <v>1</v>
      </c>
      <c r="S57" s="5">
        <v>0</v>
      </c>
      <c r="T57" s="5">
        <v>0</v>
      </c>
      <c r="U57" s="7">
        <f t="shared" si="5"/>
        <v>1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9">
        <v>0</v>
      </c>
      <c r="AE57" s="38">
        <v>0</v>
      </c>
      <c r="AF57" s="38">
        <v>0</v>
      </c>
      <c r="AG57" s="38">
        <v>0</v>
      </c>
      <c r="AH57" s="7">
        <f t="shared" si="1"/>
        <v>0</v>
      </c>
    </row>
    <row r="58" spans="1:34" ht="60">
      <c r="A58" s="2">
        <v>103</v>
      </c>
      <c r="B58" s="2" t="s">
        <v>104</v>
      </c>
      <c r="C58" s="43" t="s">
        <v>293</v>
      </c>
      <c r="D58" s="3" t="s">
        <v>199</v>
      </c>
      <c r="E58" s="2" t="s">
        <v>99</v>
      </c>
      <c r="F58" s="3" t="s">
        <v>201</v>
      </c>
      <c r="G58" s="2" t="s">
        <v>164</v>
      </c>
      <c r="H58" s="4" t="s">
        <v>302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5">
        <v>1</v>
      </c>
      <c r="S58" s="5">
        <v>0</v>
      </c>
      <c r="T58" s="5">
        <v>0</v>
      </c>
      <c r="U58" s="7">
        <f t="shared" si="5"/>
        <v>1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9">
        <v>0</v>
      </c>
      <c r="AE58" s="38">
        <v>0</v>
      </c>
      <c r="AF58" s="38">
        <v>0</v>
      </c>
      <c r="AG58" s="38">
        <v>0</v>
      </c>
      <c r="AH58" s="7">
        <f t="shared" si="1"/>
        <v>0</v>
      </c>
    </row>
    <row r="59" spans="1:34" ht="60">
      <c r="A59" s="2">
        <v>102</v>
      </c>
      <c r="B59" s="2" t="s">
        <v>104</v>
      </c>
      <c r="C59" s="43" t="s">
        <v>293</v>
      </c>
      <c r="D59" s="3" t="s">
        <v>199</v>
      </c>
      <c r="E59" s="2" t="s">
        <v>99</v>
      </c>
      <c r="F59" s="3" t="s">
        <v>202</v>
      </c>
      <c r="G59" s="2" t="s">
        <v>164</v>
      </c>
      <c r="H59" s="4" t="s">
        <v>302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6">
        <v>0</v>
      </c>
      <c r="R59" s="5">
        <v>1</v>
      </c>
      <c r="S59" s="5">
        <v>0</v>
      </c>
      <c r="T59" s="5">
        <v>0</v>
      </c>
      <c r="U59" s="7">
        <f t="shared" si="5"/>
        <v>1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9">
        <v>0</v>
      </c>
      <c r="AE59" s="38">
        <v>0</v>
      </c>
      <c r="AF59" s="38">
        <v>0</v>
      </c>
      <c r="AG59" s="38">
        <v>0</v>
      </c>
      <c r="AH59" s="7">
        <f t="shared" si="1"/>
        <v>0</v>
      </c>
    </row>
    <row r="60" spans="1:34" ht="108">
      <c r="A60" s="2">
        <v>102</v>
      </c>
      <c r="B60" s="2" t="s">
        <v>105</v>
      </c>
      <c r="C60" s="43" t="s">
        <v>293</v>
      </c>
      <c r="D60" s="3" t="s">
        <v>203</v>
      </c>
      <c r="E60" s="2" t="s">
        <v>99</v>
      </c>
      <c r="F60" s="3" t="s">
        <v>204</v>
      </c>
      <c r="G60" s="2" t="s">
        <v>164</v>
      </c>
      <c r="H60" s="4" t="s">
        <v>302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5">
        <v>1</v>
      </c>
      <c r="S60" s="5">
        <v>0</v>
      </c>
      <c r="T60" s="5">
        <v>0</v>
      </c>
      <c r="U60" s="7">
        <f t="shared" si="5"/>
        <v>1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9">
        <v>0</v>
      </c>
      <c r="AE60" s="38">
        <v>0</v>
      </c>
      <c r="AF60" s="38">
        <v>0</v>
      </c>
      <c r="AG60" s="38">
        <v>0</v>
      </c>
      <c r="AH60" s="7">
        <f t="shared" si="1"/>
        <v>0</v>
      </c>
    </row>
    <row r="61" spans="1:34" ht="72">
      <c r="A61" s="2">
        <v>102</v>
      </c>
      <c r="B61" s="2" t="s">
        <v>106</v>
      </c>
      <c r="C61" s="43" t="s">
        <v>293</v>
      </c>
      <c r="D61" s="3" t="s">
        <v>205</v>
      </c>
      <c r="E61" s="2" t="s">
        <v>99</v>
      </c>
      <c r="F61" s="3" t="s">
        <v>206</v>
      </c>
      <c r="G61" s="2" t="s">
        <v>164</v>
      </c>
      <c r="H61" s="4" t="s">
        <v>302</v>
      </c>
      <c r="I61" s="5">
        <v>0</v>
      </c>
      <c r="J61" s="5">
        <v>0</v>
      </c>
      <c r="K61" s="5">
        <v>0</v>
      </c>
      <c r="L61" s="5">
        <v>0</v>
      </c>
      <c r="M61" s="5">
        <v>1</v>
      </c>
      <c r="N61" s="5">
        <v>0</v>
      </c>
      <c r="O61" s="5">
        <v>0</v>
      </c>
      <c r="P61" s="5">
        <v>0</v>
      </c>
      <c r="Q61" s="6">
        <v>0</v>
      </c>
      <c r="R61" s="5">
        <v>0</v>
      </c>
      <c r="S61" s="5">
        <v>0</v>
      </c>
      <c r="T61" s="5">
        <v>0</v>
      </c>
      <c r="U61" s="7">
        <f t="shared" si="5"/>
        <v>1</v>
      </c>
      <c r="V61" s="5">
        <v>0</v>
      </c>
      <c r="W61" s="5">
        <v>0</v>
      </c>
      <c r="X61" s="5">
        <v>0</v>
      </c>
      <c r="Y61" s="5">
        <v>0</v>
      </c>
      <c r="Z61" s="5">
        <v>1</v>
      </c>
      <c r="AA61" s="5">
        <v>0</v>
      </c>
      <c r="AB61" s="5">
        <v>0</v>
      </c>
      <c r="AC61" s="5">
        <v>0</v>
      </c>
      <c r="AD61" s="9">
        <v>0</v>
      </c>
      <c r="AE61" s="38">
        <v>0</v>
      </c>
      <c r="AF61" s="38">
        <v>0</v>
      </c>
      <c r="AG61" s="38">
        <v>0</v>
      </c>
      <c r="AH61" s="7">
        <f t="shared" si="1"/>
        <v>1</v>
      </c>
    </row>
    <row r="62" spans="1:34" ht="72">
      <c r="A62" s="2">
        <v>103</v>
      </c>
      <c r="B62" s="2" t="s">
        <v>106</v>
      </c>
      <c r="C62" s="43" t="s">
        <v>293</v>
      </c>
      <c r="D62" s="3" t="s">
        <v>205</v>
      </c>
      <c r="E62" s="2" t="s">
        <v>99</v>
      </c>
      <c r="F62" s="3" t="s">
        <v>207</v>
      </c>
      <c r="G62" s="2" t="s">
        <v>164</v>
      </c>
      <c r="H62" s="4" t="s">
        <v>302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5">
        <v>1</v>
      </c>
      <c r="S62" s="5">
        <v>0</v>
      </c>
      <c r="T62" s="5">
        <v>0</v>
      </c>
      <c r="U62" s="7">
        <f t="shared" si="5"/>
        <v>1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9">
        <v>0</v>
      </c>
      <c r="AE62" s="38">
        <v>0</v>
      </c>
      <c r="AF62" s="38">
        <v>0</v>
      </c>
      <c r="AG62" s="38">
        <v>0</v>
      </c>
      <c r="AH62" s="7">
        <f t="shared" si="1"/>
        <v>0</v>
      </c>
    </row>
    <row r="63" spans="1:34" ht="72">
      <c r="A63" s="2">
        <v>103</v>
      </c>
      <c r="B63" s="2" t="s">
        <v>87</v>
      </c>
      <c r="C63" s="43" t="s">
        <v>293</v>
      </c>
      <c r="D63" s="3" t="s">
        <v>208</v>
      </c>
      <c r="E63" s="2" t="s">
        <v>99</v>
      </c>
      <c r="F63" s="3" t="s">
        <v>209</v>
      </c>
      <c r="G63" s="2" t="s">
        <v>164</v>
      </c>
      <c r="H63" s="4" t="s">
        <v>302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6">
        <v>0</v>
      </c>
      <c r="R63" s="5">
        <v>1</v>
      </c>
      <c r="S63" s="5">
        <v>0</v>
      </c>
      <c r="T63" s="5">
        <v>0</v>
      </c>
      <c r="U63" s="7">
        <f t="shared" si="5"/>
        <v>1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9">
        <v>0</v>
      </c>
      <c r="AE63" s="38">
        <v>0</v>
      </c>
      <c r="AF63" s="38">
        <v>0</v>
      </c>
      <c r="AG63" s="38">
        <v>0</v>
      </c>
      <c r="AH63" s="7">
        <f t="shared" si="1"/>
        <v>0</v>
      </c>
    </row>
    <row r="64" spans="1:34" ht="108">
      <c r="A64" s="2">
        <v>103</v>
      </c>
      <c r="B64" s="2" t="s">
        <v>111</v>
      </c>
      <c r="C64" s="43" t="s">
        <v>293</v>
      </c>
      <c r="D64" s="3" t="s">
        <v>210</v>
      </c>
      <c r="E64" s="2" t="s">
        <v>99</v>
      </c>
      <c r="F64" s="3" t="s">
        <v>211</v>
      </c>
      <c r="G64" s="2" t="s">
        <v>164</v>
      </c>
      <c r="H64" s="4" t="s">
        <v>302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5">
        <v>1</v>
      </c>
      <c r="S64" s="5">
        <v>0</v>
      </c>
      <c r="T64" s="5">
        <v>0</v>
      </c>
      <c r="U64" s="7">
        <f t="shared" si="5"/>
        <v>1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9">
        <v>0</v>
      </c>
      <c r="AE64" s="38">
        <v>0</v>
      </c>
      <c r="AF64" s="38">
        <v>0</v>
      </c>
      <c r="AG64" s="38">
        <v>0</v>
      </c>
      <c r="AH64" s="7">
        <f t="shared" si="1"/>
        <v>0</v>
      </c>
    </row>
    <row r="65" spans="1:34" ht="108">
      <c r="A65" s="2">
        <v>102</v>
      </c>
      <c r="B65" s="2" t="s">
        <v>111</v>
      </c>
      <c r="C65" s="43" t="s">
        <v>293</v>
      </c>
      <c r="D65" s="3" t="s">
        <v>210</v>
      </c>
      <c r="E65" s="2" t="s">
        <v>99</v>
      </c>
      <c r="F65" s="3" t="s">
        <v>212</v>
      </c>
      <c r="G65" s="2" t="s">
        <v>164</v>
      </c>
      <c r="H65" s="4" t="s">
        <v>302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6">
        <v>0</v>
      </c>
      <c r="R65" s="5">
        <v>1</v>
      </c>
      <c r="S65" s="5">
        <v>0</v>
      </c>
      <c r="T65" s="5">
        <v>0</v>
      </c>
      <c r="U65" s="7">
        <f t="shared" si="5"/>
        <v>1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9">
        <v>0</v>
      </c>
      <c r="AE65" s="38">
        <v>0</v>
      </c>
      <c r="AF65" s="38">
        <v>0</v>
      </c>
      <c r="AG65" s="38">
        <v>0</v>
      </c>
      <c r="AH65" s="7">
        <f t="shared" si="1"/>
        <v>0</v>
      </c>
    </row>
    <row r="66" spans="1:34" ht="108">
      <c r="A66" s="2">
        <v>102</v>
      </c>
      <c r="B66" s="4" t="s">
        <v>111</v>
      </c>
      <c r="C66" s="43" t="s">
        <v>293</v>
      </c>
      <c r="D66" s="3" t="s">
        <v>210</v>
      </c>
      <c r="E66" s="2" t="s">
        <v>99</v>
      </c>
      <c r="F66" s="3" t="s">
        <v>213</v>
      </c>
      <c r="G66" s="2" t="s">
        <v>164</v>
      </c>
      <c r="H66" s="4" t="s">
        <v>302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5">
        <v>1</v>
      </c>
      <c r="S66" s="5">
        <v>0</v>
      </c>
      <c r="T66" s="5">
        <v>0</v>
      </c>
      <c r="U66" s="7">
        <f t="shared" si="5"/>
        <v>1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9">
        <v>0</v>
      </c>
      <c r="AE66" s="38">
        <v>0</v>
      </c>
      <c r="AF66" s="38">
        <v>0</v>
      </c>
      <c r="AG66" s="38">
        <v>0</v>
      </c>
      <c r="AH66" s="7">
        <f t="shared" si="1"/>
        <v>0</v>
      </c>
    </row>
    <row r="67" spans="1:34" ht="60">
      <c r="A67" s="2">
        <v>102</v>
      </c>
      <c r="B67" s="2" t="s">
        <v>112</v>
      </c>
      <c r="C67" s="43" t="s">
        <v>293</v>
      </c>
      <c r="D67" s="3" t="s">
        <v>214</v>
      </c>
      <c r="E67" s="2" t="s">
        <v>99</v>
      </c>
      <c r="F67" s="3" t="s">
        <v>215</v>
      </c>
      <c r="G67" s="2" t="s">
        <v>164</v>
      </c>
      <c r="H67" s="4" t="s">
        <v>302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6">
        <v>0</v>
      </c>
      <c r="R67" s="5">
        <v>1</v>
      </c>
      <c r="S67" s="5">
        <v>0</v>
      </c>
      <c r="T67" s="5">
        <v>0</v>
      </c>
      <c r="U67" s="7">
        <f t="shared" si="5"/>
        <v>1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9">
        <v>0</v>
      </c>
      <c r="AE67" s="38">
        <v>0</v>
      </c>
      <c r="AF67" s="38">
        <v>0</v>
      </c>
      <c r="AG67" s="38">
        <v>0</v>
      </c>
      <c r="AH67" s="7">
        <f t="shared" si="1"/>
        <v>0</v>
      </c>
    </row>
    <row r="68" spans="1:34" ht="48">
      <c r="A68" s="2">
        <v>34</v>
      </c>
      <c r="B68" s="2" t="s">
        <v>55</v>
      </c>
      <c r="C68" s="41" t="s">
        <v>286</v>
      </c>
      <c r="D68" s="3" t="s">
        <v>77</v>
      </c>
      <c r="E68" s="2" t="s">
        <v>36</v>
      </c>
      <c r="F68" s="3" t="s">
        <v>216</v>
      </c>
      <c r="G68" s="2" t="s">
        <v>34</v>
      </c>
      <c r="H68" s="4" t="s">
        <v>299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5">
        <v>0</v>
      </c>
      <c r="S68" s="5">
        <v>0</v>
      </c>
      <c r="T68" s="5">
        <v>1</v>
      </c>
      <c r="U68" s="7">
        <f t="shared" si="5"/>
        <v>1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9">
        <v>0</v>
      </c>
      <c r="AE68" s="38">
        <v>0</v>
      </c>
      <c r="AF68" s="38">
        <v>0</v>
      </c>
      <c r="AG68" s="38">
        <v>0</v>
      </c>
      <c r="AH68" s="7">
        <f t="shared" si="1"/>
        <v>0</v>
      </c>
    </row>
    <row r="69" spans="1:34" ht="48">
      <c r="A69" s="2">
        <v>98</v>
      </c>
      <c r="B69" s="2" t="s">
        <v>61</v>
      </c>
      <c r="C69" s="41" t="s">
        <v>291</v>
      </c>
      <c r="D69" s="3" t="s">
        <v>146</v>
      </c>
      <c r="E69" s="2" t="s">
        <v>63</v>
      </c>
      <c r="F69" s="3" t="s">
        <v>217</v>
      </c>
      <c r="G69" s="2" t="s">
        <v>34</v>
      </c>
      <c r="H69" s="4" t="s">
        <v>299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9">
        <v>0</v>
      </c>
      <c r="R69" s="18">
        <v>0</v>
      </c>
      <c r="S69" s="18">
        <v>0</v>
      </c>
      <c r="T69" s="18">
        <v>1</v>
      </c>
      <c r="U69" s="20">
        <f t="shared" si="5"/>
        <v>1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9">
        <v>0</v>
      </c>
      <c r="AE69" s="38">
        <v>0</v>
      </c>
      <c r="AF69" s="38">
        <v>0</v>
      </c>
      <c r="AG69" s="38">
        <v>0</v>
      </c>
      <c r="AH69" s="7">
        <f t="shared" si="1"/>
        <v>0</v>
      </c>
    </row>
    <row r="70" spans="1:34" ht="36">
      <c r="A70" s="2">
        <v>39</v>
      </c>
      <c r="B70" s="2" t="s">
        <v>73</v>
      </c>
      <c r="C70" s="42" t="s">
        <v>290</v>
      </c>
      <c r="D70" s="3" t="s">
        <v>136</v>
      </c>
      <c r="E70" s="2" t="s">
        <v>63</v>
      </c>
      <c r="F70" s="3" t="s">
        <v>218</v>
      </c>
      <c r="G70" s="2" t="s">
        <v>34</v>
      </c>
      <c r="H70" s="4" t="s">
        <v>299</v>
      </c>
      <c r="I70" s="5">
        <v>2</v>
      </c>
      <c r="J70" s="5">
        <v>2</v>
      </c>
      <c r="K70" s="5">
        <v>2</v>
      </c>
      <c r="L70" s="5">
        <v>2</v>
      </c>
      <c r="M70" s="5">
        <v>1</v>
      </c>
      <c r="N70" s="5">
        <v>1</v>
      </c>
      <c r="O70" s="5">
        <v>1</v>
      </c>
      <c r="P70" s="5">
        <v>1</v>
      </c>
      <c r="Q70" s="6">
        <v>1</v>
      </c>
      <c r="R70" s="5">
        <v>1</v>
      </c>
      <c r="S70" s="5">
        <v>2</v>
      </c>
      <c r="T70" s="5">
        <v>2</v>
      </c>
      <c r="U70" s="7">
        <f t="shared" si="5"/>
        <v>18</v>
      </c>
      <c r="V70" s="5">
        <v>2</v>
      </c>
      <c r="W70" s="5">
        <v>2</v>
      </c>
      <c r="X70" s="5">
        <v>2</v>
      </c>
      <c r="Y70" s="5">
        <v>2</v>
      </c>
      <c r="Z70" s="5">
        <v>1</v>
      </c>
      <c r="AA70" s="5">
        <v>1</v>
      </c>
      <c r="AB70" s="5">
        <v>1</v>
      </c>
      <c r="AC70" s="5">
        <v>1</v>
      </c>
      <c r="AD70" s="9">
        <v>1</v>
      </c>
      <c r="AE70" s="38">
        <v>0</v>
      </c>
      <c r="AF70" s="38">
        <v>0</v>
      </c>
      <c r="AG70" s="38">
        <v>0</v>
      </c>
      <c r="AH70" s="7">
        <f t="shared" si="1"/>
        <v>13</v>
      </c>
    </row>
    <row r="71" spans="1:34" ht="36">
      <c r="A71" s="2">
        <v>96</v>
      </c>
      <c r="B71" s="2" t="s">
        <v>59</v>
      </c>
      <c r="C71" s="41" t="s">
        <v>294</v>
      </c>
      <c r="D71" s="3" t="s">
        <v>219</v>
      </c>
      <c r="E71" s="2" t="s">
        <v>121</v>
      </c>
      <c r="F71" s="3" t="s">
        <v>220</v>
      </c>
      <c r="G71" s="2" t="s">
        <v>121</v>
      </c>
      <c r="H71" s="4" t="s">
        <v>299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6">
        <v>0</v>
      </c>
      <c r="R71" s="5">
        <v>0</v>
      </c>
      <c r="S71" s="5">
        <v>0</v>
      </c>
      <c r="T71" s="5">
        <v>1</v>
      </c>
      <c r="U71" s="7">
        <f t="shared" si="5"/>
        <v>1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9">
        <v>0</v>
      </c>
      <c r="AE71" s="38">
        <v>0</v>
      </c>
      <c r="AF71" s="38">
        <v>0</v>
      </c>
      <c r="AG71" s="38">
        <v>0</v>
      </c>
      <c r="AH71" s="7">
        <f t="shared" si="1"/>
        <v>0</v>
      </c>
    </row>
    <row r="72" spans="1:34" ht="72">
      <c r="A72" s="2">
        <v>31</v>
      </c>
      <c r="B72" s="2" t="s">
        <v>58</v>
      </c>
      <c r="C72" s="41" t="s">
        <v>288</v>
      </c>
      <c r="D72" s="3" t="s">
        <v>62</v>
      </c>
      <c r="E72" s="2" t="s">
        <v>63</v>
      </c>
      <c r="F72" s="3" t="s">
        <v>221</v>
      </c>
      <c r="G72" s="2" t="s">
        <v>34</v>
      </c>
      <c r="H72" s="4" t="s">
        <v>299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5">
        <v>0</v>
      </c>
      <c r="S72" s="5">
        <v>1</v>
      </c>
      <c r="T72" s="5">
        <v>0</v>
      </c>
      <c r="U72" s="7">
        <f t="shared" si="5"/>
        <v>1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9">
        <v>0</v>
      </c>
      <c r="AE72" s="38">
        <v>0</v>
      </c>
      <c r="AF72" s="38">
        <v>0</v>
      </c>
      <c r="AG72" s="38">
        <v>0</v>
      </c>
      <c r="AH72" s="7">
        <f t="shared" si="1"/>
        <v>0</v>
      </c>
    </row>
    <row r="73" spans="1:34" ht="72">
      <c r="A73" s="2">
        <v>31</v>
      </c>
      <c r="B73" s="2" t="s">
        <v>58</v>
      </c>
      <c r="C73" s="41" t="s">
        <v>288</v>
      </c>
      <c r="D73" s="3" t="s">
        <v>62</v>
      </c>
      <c r="E73" s="2" t="s">
        <v>63</v>
      </c>
      <c r="F73" s="3" t="s">
        <v>222</v>
      </c>
      <c r="G73" s="2" t="s">
        <v>99</v>
      </c>
      <c r="H73" s="4" t="s">
        <v>299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6">
        <v>0</v>
      </c>
      <c r="R73" s="5">
        <v>0</v>
      </c>
      <c r="S73" s="5">
        <v>1</v>
      </c>
      <c r="T73" s="5">
        <v>0</v>
      </c>
      <c r="U73" s="7">
        <f t="shared" si="5"/>
        <v>1</v>
      </c>
      <c r="V73" s="5">
        <v>0</v>
      </c>
      <c r="W73" s="5">
        <v>0</v>
      </c>
      <c r="X73" s="5">
        <v>0</v>
      </c>
      <c r="Y73" s="18">
        <v>0</v>
      </c>
      <c r="Z73" s="5">
        <v>0</v>
      </c>
      <c r="AA73" s="5">
        <v>0</v>
      </c>
      <c r="AB73" s="5">
        <v>0</v>
      </c>
      <c r="AC73" s="5">
        <v>0</v>
      </c>
      <c r="AD73" s="9">
        <v>0</v>
      </c>
      <c r="AE73" s="38">
        <v>0</v>
      </c>
      <c r="AF73" s="38">
        <v>0</v>
      </c>
      <c r="AG73" s="38">
        <v>0</v>
      </c>
      <c r="AH73" s="7">
        <f t="shared" si="1"/>
        <v>0</v>
      </c>
    </row>
    <row r="74" spans="1:34" ht="72">
      <c r="A74" s="2">
        <v>31</v>
      </c>
      <c r="B74" s="2" t="s">
        <v>56</v>
      </c>
      <c r="C74" s="44" t="s">
        <v>295</v>
      </c>
      <c r="D74" s="3" t="s">
        <v>223</v>
      </c>
      <c r="E74" s="2" t="s">
        <v>224</v>
      </c>
      <c r="F74" s="3" t="s">
        <v>225</v>
      </c>
      <c r="G74" s="2" t="s">
        <v>132</v>
      </c>
      <c r="H74" s="4" t="s">
        <v>299</v>
      </c>
      <c r="I74" s="5">
        <v>3</v>
      </c>
      <c r="J74" s="5">
        <v>3</v>
      </c>
      <c r="K74" s="5">
        <v>3</v>
      </c>
      <c r="L74" s="5">
        <v>3</v>
      </c>
      <c r="M74" s="5">
        <v>3</v>
      </c>
      <c r="N74" s="5">
        <v>3</v>
      </c>
      <c r="O74" s="5">
        <v>3</v>
      </c>
      <c r="P74" s="5">
        <v>3</v>
      </c>
      <c r="Q74" s="6">
        <v>3</v>
      </c>
      <c r="R74" s="5">
        <v>3</v>
      </c>
      <c r="S74" s="5">
        <v>3</v>
      </c>
      <c r="T74" s="5">
        <v>3</v>
      </c>
      <c r="U74" s="7">
        <f t="shared" si="5"/>
        <v>36</v>
      </c>
      <c r="V74" s="5">
        <v>3</v>
      </c>
      <c r="W74" s="5">
        <v>3</v>
      </c>
      <c r="X74" s="5">
        <v>3</v>
      </c>
      <c r="Y74" s="5">
        <v>3</v>
      </c>
      <c r="Z74" s="5">
        <v>3</v>
      </c>
      <c r="AA74" s="5">
        <v>3</v>
      </c>
      <c r="AB74" s="5">
        <v>3</v>
      </c>
      <c r="AC74" s="5">
        <v>3</v>
      </c>
      <c r="AD74" s="9">
        <v>3</v>
      </c>
      <c r="AE74" s="38">
        <v>0</v>
      </c>
      <c r="AF74" s="38">
        <v>0</v>
      </c>
      <c r="AG74" s="38">
        <v>0</v>
      </c>
      <c r="AH74" s="7">
        <f t="shared" si="1"/>
        <v>27</v>
      </c>
    </row>
    <row r="75" spans="1:34" ht="36">
      <c r="A75" s="2">
        <v>63</v>
      </c>
      <c r="B75" s="2" t="s">
        <v>64</v>
      </c>
      <c r="C75" s="42" t="s">
        <v>290</v>
      </c>
      <c r="D75" s="3" t="s">
        <v>226</v>
      </c>
      <c r="E75" s="2" t="s">
        <v>63</v>
      </c>
      <c r="F75" s="3" t="s">
        <v>227</v>
      </c>
      <c r="G75" s="2" t="s">
        <v>99</v>
      </c>
      <c r="H75" s="4" t="s">
        <v>299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1</v>
      </c>
      <c r="Q75" s="19">
        <v>1</v>
      </c>
      <c r="R75" s="18">
        <v>1</v>
      </c>
      <c r="S75" s="18">
        <v>1</v>
      </c>
      <c r="T75" s="18">
        <v>0</v>
      </c>
      <c r="U75" s="20">
        <f t="shared" si="5"/>
        <v>4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1</v>
      </c>
      <c r="AD75" s="9">
        <v>1</v>
      </c>
      <c r="AE75" s="38">
        <v>0</v>
      </c>
      <c r="AF75" s="38">
        <v>0</v>
      </c>
      <c r="AG75" s="38">
        <v>0</v>
      </c>
      <c r="AH75" s="7">
        <f t="shared" si="1"/>
        <v>2</v>
      </c>
    </row>
    <row r="76" spans="1:34" ht="36">
      <c r="A76" s="2">
        <v>63</v>
      </c>
      <c r="B76" s="2" t="s">
        <v>64</v>
      </c>
      <c r="C76" s="42" t="s">
        <v>290</v>
      </c>
      <c r="D76" s="3" t="s">
        <v>226</v>
      </c>
      <c r="E76" s="2" t="s">
        <v>63</v>
      </c>
      <c r="F76" s="3" t="s">
        <v>228</v>
      </c>
      <c r="G76" s="2" t="s">
        <v>229</v>
      </c>
      <c r="H76" s="4" t="s">
        <v>299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  <c r="P76" s="5">
        <v>1</v>
      </c>
      <c r="Q76" s="6">
        <v>1</v>
      </c>
      <c r="R76" s="5">
        <v>1</v>
      </c>
      <c r="S76" s="5">
        <v>1</v>
      </c>
      <c r="T76" s="5">
        <v>1</v>
      </c>
      <c r="U76" s="7">
        <f t="shared" si="5"/>
        <v>12</v>
      </c>
      <c r="V76" s="5">
        <v>1</v>
      </c>
      <c r="W76" s="5">
        <v>1</v>
      </c>
      <c r="X76" s="5">
        <v>1</v>
      </c>
      <c r="Y76" s="5">
        <v>1</v>
      </c>
      <c r="Z76" s="5">
        <v>1</v>
      </c>
      <c r="AA76" s="5">
        <v>1</v>
      </c>
      <c r="AB76" s="5">
        <v>1</v>
      </c>
      <c r="AC76" s="5">
        <v>1</v>
      </c>
      <c r="AD76" s="9">
        <v>1</v>
      </c>
      <c r="AE76" s="38">
        <v>0</v>
      </c>
      <c r="AF76" s="38">
        <v>0</v>
      </c>
      <c r="AG76" s="38">
        <v>0</v>
      </c>
      <c r="AH76" s="7">
        <f t="shared" si="1"/>
        <v>9</v>
      </c>
    </row>
    <row r="77" spans="1:34" ht="36">
      <c r="A77" s="2">
        <v>39</v>
      </c>
      <c r="B77" s="2" t="s">
        <v>73</v>
      </c>
      <c r="C77" s="42" t="s">
        <v>290</v>
      </c>
      <c r="D77" s="3" t="s">
        <v>136</v>
      </c>
      <c r="E77" s="2" t="s">
        <v>63</v>
      </c>
      <c r="F77" s="3" t="s">
        <v>230</v>
      </c>
      <c r="G77" s="2" t="s">
        <v>231</v>
      </c>
      <c r="H77" s="4" t="s">
        <v>299</v>
      </c>
      <c r="I77" s="5">
        <v>12</v>
      </c>
      <c r="J77" s="5">
        <v>12</v>
      </c>
      <c r="K77" s="5">
        <v>12</v>
      </c>
      <c r="L77" s="5">
        <v>12</v>
      </c>
      <c r="M77" s="5">
        <v>12</v>
      </c>
      <c r="N77" s="5">
        <v>12</v>
      </c>
      <c r="O77" s="5">
        <v>12</v>
      </c>
      <c r="P77" s="5">
        <v>12</v>
      </c>
      <c r="Q77" s="6">
        <v>12</v>
      </c>
      <c r="R77" s="5">
        <v>12</v>
      </c>
      <c r="S77" s="5">
        <v>12</v>
      </c>
      <c r="T77" s="5">
        <v>12</v>
      </c>
      <c r="U77" s="5">
        <f t="shared" si="5"/>
        <v>144</v>
      </c>
      <c r="V77" s="5">
        <v>12</v>
      </c>
      <c r="W77" s="5">
        <v>12</v>
      </c>
      <c r="X77" s="5">
        <v>12</v>
      </c>
      <c r="Y77" s="5">
        <v>12</v>
      </c>
      <c r="Z77" s="5">
        <v>12</v>
      </c>
      <c r="AA77" s="5">
        <v>12</v>
      </c>
      <c r="AB77" s="5">
        <v>12</v>
      </c>
      <c r="AC77" s="5">
        <v>12</v>
      </c>
      <c r="AD77" s="9">
        <v>12</v>
      </c>
      <c r="AE77" s="38">
        <v>0</v>
      </c>
      <c r="AF77" s="38">
        <v>0</v>
      </c>
      <c r="AG77" s="38">
        <v>0</v>
      </c>
      <c r="AH77" s="7">
        <f t="shared" si="1"/>
        <v>108</v>
      </c>
    </row>
    <row r="78" spans="1:34" ht="36">
      <c r="A78" s="2">
        <v>39</v>
      </c>
      <c r="B78" s="2" t="s">
        <v>73</v>
      </c>
      <c r="C78" s="42" t="s">
        <v>290</v>
      </c>
      <c r="D78" s="3" t="s">
        <v>136</v>
      </c>
      <c r="E78" s="2" t="s">
        <v>63</v>
      </c>
      <c r="F78" s="3" t="s">
        <v>232</v>
      </c>
      <c r="G78" s="2" t="s">
        <v>233</v>
      </c>
      <c r="H78" s="4" t="s">
        <v>299</v>
      </c>
      <c r="I78" s="5">
        <v>15</v>
      </c>
      <c r="J78" s="5">
        <v>15</v>
      </c>
      <c r="K78" s="5">
        <v>15</v>
      </c>
      <c r="L78" s="5">
        <v>15</v>
      </c>
      <c r="M78" s="5">
        <v>10</v>
      </c>
      <c r="N78" s="5">
        <v>10</v>
      </c>
      <c r="O78" s="5">
        <v>10</v>
      </c>
      <c r="P78" s="5">
        <v>10</v>
      </c>
      <c r="Q78" s="6">
        <v>11</v>
      </c>
      <c r="R78" s="5">
        <v>14</v>
      </c>
      <c r="S78" s="5">
        <v>15</v>
      </c>
      <c r="T78" s="5">
        <v>15</v>
      </c>
      <c r="U78" s="5">
        <f t="shared" si="5"/>
        <v>155</v>
      </c>
      <c r="V78" s="5">
        <v>15</v>
      </c>
      <c r="W78" s="5">
        <v>15</v>
      </c>
      <c r="X78" s="5">
        <v>15</v>
      </c>
      <c r="Y78" s="5">
        <v>15</v>
      </c>
      <c r="Z78" s="21">
        <v>10</v>
      </c>
      <c r="AA78" s="5">
        <v>10</v>
      </c>
      <c r="AB78" s="5">
        <v>10</v>
      </c>
      <c r="AC78" s="5">
        <v>10</v>
      </c>
      <c r="AD78" s="9">
        <v>11</v>
      </c>
      <c r="AE78" s="38">
        <v>0</v>
      </c>
      <c r="AF78" s="38">
        <v>0</v>
      </c>
      <c r="AG78" s="38">
        <v>0</v>
      </c>
      <c r="AH78" s="7">
        <f t="shared" si="1"/>
        <v>111</v>
      </c>
    </row>
    <row r="79" spans="1:34" ht="36">
      <c r="A79" s="2">
        <v>63</v>
      </c>
      <c r="B79" s="2" t="s">
        <v>64</v>
      </c>
      <c r="C79" s="42" t="s">
        <v>290</v>
      </c>
      <c r="D79" s="3" t="s">
        <v>226</v>
      </c>
      <c r="E79" s="2" t="s">
        <v>63</v>
      </c>
      <c r="F79" s="3" t="s">
        <v>234</v>
      </c>
      <c r="G79" s="2" t="s">
        <v>99</v>
      </c>
      <c r="H79" s="4" t="s">
        <v>299</v>
      </c>
      <c r="I79" s="5">
        <v>1</v>
      </c>
      <c r="J79" s="5">
        <v>1</v>
      </c>
      <c r="K79" s="5">
        <v>1</v>
      </c>
      <c r="L79" s="5">
        <v>1</v>
      </c>
      <c r="M79" s="5">
        <v>1</v>
      </c>
      <c r="N79" s="5">
        <v>1</v>
      </c>
      <c r="O79" s="5">
        <v>1</v>
      </c>
      <c r="P79" s="5">
        <v>1</v>
      </c>
      <c r="Q79" s="6">
        <v>1</v>
      </c>
      <c r="R79" s="5">
        <v>1</v>
      </c>
      <c r="S79" s="5">
        <v>1</v>
      </c>
      <c r="T79" s="5">
        <v>1</v>
      </c>
      <c r="U79" s="5">
        <f t="shared" si="5"/>
        <v>12</v>
      </c>
      <c r="V79" s="5">
        <v>1</v>
      </c>
      <c r="W79" s="5">
        <v>1</v>
      </c>
      <c r="X79" s="5">
        <v>1</v>
      </c>
      <c r="Y79" s="5">
        <v>1</v>
      </c>
      <c r="Z79" s="5">
        <v>1</v>
      </c>
      <c r="AA79" s="5">
        <v>1</v>
      </c>
      <c r="AB79" s="5">
        <v>1</v>
      </c>
      <c r="AC79" s="5">
        <v>1</v>
      </c>
      <c r="AD79" s="9">
        <v>1</v>
      </c>
      <c r="AE79" s="38">
        <v>0</v>
      </c>
      <c r="AF79" s="38">
        <v>0</v>
      </c>
      <c r="AG79" s="38">
        <v>0</v>
      </c>
      <c r="AH79" s="7">
        <f t="shared" si="1"/>
        <v>9</v>
      </c>
    </row>
    <row r="80" spans="1:34" ht="36">
      <c r="A80" s="2">
        <v>39</v>
      </c>
      <c r="B80" s="2" t="s">
        <v>73</v>
      </c>
      <c r="C80" s="45" t="s">
        <v>290</v>
      </c>
      <c r="D80" s="3" t="s">
        <v>136</v>
      </c>
      <c r="E80" s="2" t="s">
        <v>63</v>
      </c>
      <c r="F80" s="3" t="s">
        <v>235</v>
      </c>
      <c r="G80" s="2" t="s">
        <v>233</v>
      </c>
      <c r="H80" s="4" t="s">
        <v>299</v>
      </c>
      <c r="I80" s="5">
        <v>2</v>
      </c>
      <c r="J80" s="5">
        <v>2</v>
      </c>
      <c r="K80" s="5">
        <v>2</v>
      </c>
      <c r="L80" s="5">
        <v>2</v>
      </c>
      <c r="M80" s="5">
        <v>0</v>
      </c>
      <c r="N80" s="5">
        <v>0</v>
      </c>
      <c r="O80" s="5">
        <v>0</v>
      </c>
      <c r="P80" s="5">
        <v>0</v>
      </c>
      <c r="Q80" s="6">
        <v>2</v>
      </c>
      <c r="R80" s="5">
        <v>2</v>
      </c>
      <c r="S80" s="5">
        <v>2</v>
      </c>
      <c r="T80" s="5">
        <v>2</v>
      </c>
      <c r="U80" s="5">
        <f t="shared" si="5"/>
        <v>16</v>
      </c>
      <c r="V80" s="21">
        <v>2</v>
      </c>
      <c r="W80" s="5">
        <v>2</v>
      </c>
      <c r="X80" s="5">
        <v>2</v>
      </c>
      <c r="Y80" s="5">
        <v>2</v>
      </c>
      <c r="Z80" s="5">
        <v>0</v>
      </c>
      <c r="AA80" s="5">
        <v>0</v>
      </c>
      <c r="AB80" s="5">
        <v>0</v>
      </c>
      <c r="AC80" s="5">
        <v>0</v>
      </c>
      <c r="AD80" s="9">
        <v>2</v>
      </c>
      <c r="AE80" s="38">
        <v>0</v>
      </c>
      <c r="AF80" s="38">
        <v>0</v>
      </c>
      <c r="AG80" s="38">
        <v>0</v>
      </c>
      <c r="AH80" s="7">
        <f t="shared" si="1"/>
        <v>10</v>
      </c>
    </row>
    <row r="81" spans="1:34" ht="48">
      <c r="A81" s="2">
        <v>98</v>
      </c>
      <c r="B81" s="2" t="s">
        <v>61</v>
      </c>
      <c r="C81" s="41" t="s">
        <v>291</v>
      </c>
      <c r="D81" s="3" t="s">
        <v>146</v>
      </c>
      <c r="E81" s="2" t="s">
        <v>63</v>
      </c>
      <c r="F81" s="3" t="s">
        <v>236</v>
      </c>
      <c r="G81" s="2" t="s">
        <v>34</v>
      </c>
      <c r="H81" s="4" t="s">
        <v>299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6">
        <v>0</v>
      </c>
      <c r="R81" s="5">
        <v>0</v>
      </c>
      <c r="S81" s="5">
        <v>1</v>
      </c>
      <c r="T81" s="5">
        <v>0</v>
      </c>
      <c r="U81" s="7">
        <f t="shared" si="5"/>
        <v>1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9">
        <v>0</v>
      </c>
      <c r="AE81" s="38">
        <v>0</v>
      </c>
      <c r="AF81" s="38">
        <v>0</v>
      </c>
      <c r="AG81" s="38">
        <v>0</v>
      </c>
      <c r="AH81" s="7">
        <f t="shared" si="1"/>
        <v>0</v>
      </c>
    </row>
    <row r="82" spans="1:34" ht="72">
      <c r="A82" s="2">
        <v>31</v>
      </c>
      <c r="B82" s="2" t="s">
        <v>56</v>
      </c>
      <c r="C82" s="44" t="s">
        <v>295</v>
      </c>
      <c r="D82" s="23" t="s">
        <v>223</v>
      </c>
      <c r="E82" s="2" t="s">
        <v>224</v>
      </c>
      <c r="F82" s="3" t="s">
        <v>237</v>
      </c>
      <c r="G82" s="2" t="s">
        <v>36</v>
      </c>
      <c r="H82" s="4" t="s">
        <v>299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5">
        <v>1</v>
      </c>
      <c r="P82" s="5">
        <v>1</v>
      </c>
      <c r="Q82" s="6">
        <v>1</v>
      </c>
      <c r="R82" s="5">
        <v>1</v>
      </c>
      <c r="S82" s="5">
        <v>1</v>
      </c>
      <c r="T82" s="5">
        <v>1</v>
      </c>
      <c r="U82" s="7">
        <f t="shared" si="5"/>
        <v>12</v>
      </c>
      <c r="V82" s="5">
        <v>1</v>
      </c>
      <c r="W82" s="5">
        <v>1</v>
      </c>
      <c r="X82" s="5">
        <v>1</v>
      </c>
      <c r="Y82" s="5">
        <v>1</v>
      </c>
      <c r="Z82" s="5">
        <v>1</v>
      </c>
      <c r="AA82" s="5">
        <v>1</v>
      </c>
      <c r="AB82" s="5">
        <v>1</v>
      </c>
      <c r="AC82" s="5">
        <v>1</v>
      </c>
      <c r="AD82" s="9">
        <v>1</v>
      </c>
      <c r="AE82" s="38">
        <v>0</v>
      </c>
      <c r="AF82" s="38">
        <v>0</v>
      </c>
      <c r="AG82" s="38">
        <v>0</v>
      </c>
      <c r="AH82" s="7">
        <f t="shared" si="1"/>
        <v>9</v>
      </c>
    </row>
    <row r="83" spans="1:34" ht="48">
      <c r="A83" s="2">
        <v>34</v>
      </c>
      <c r="B83" s="2" t="s">
        <v>55</v>
      </c>
      <c r="C83" s="41" t="s">
        <v>286</v>
      </c>
      <c r="D83" s="3" t="s">
        <v>77</v>
      </c>
      <c r="E83" s="2" t="s">
        <v>36</v>
      </c>
      <c r="F83" s="3" t="s">
        <v>238</v>
      </c>
      <c r="G83" s="2" t="s">
        <v>34</v>
      </c>
      <c r="H83" s="4" t="s">
        <v>300</v>
      </c>
      <c r="I83" s="5">
        <v>0</v>
      </c>
      <c r="J83" s="5">
        <v>0</v>
      </c>
      <c r="K83" s="5">
        <v>1</v>
      </c>
      <c r="L83" s="5">
        <v>0</v>
      </c>
      <c r="M83" s="5">
        <v>0</v>
      </c>
      <c r="N83" s="5">
        <v>1</v>
      </c>
      <c r="O83" s="5">
        <v>0</v>
      </c>
      <c r="P83" s="5">
        <v>0</v>
      </c>
      <c r="Q83" s="6">
        <v>1</v>
      </c>
      <c r="R83" s="5">
        <v>0</v>
      </c>
      <c r="S83" s="5">
        <v>0</v>
      </c>
      <c r="T83" s="5">
        <v>1</v>
      </c>
      <c r="U83" s="7">
        <f t="shared" si="5"/>
        <v>4</v>
      </c>
      <c r="V83" s="5">
        <v>0</v>
      </c>
      <c r="W83" s="5">
        <v>0</v>
      </c>
      <c r="X83" s="5">
        <v>1</v>
      </c>
      <c r="Y83" s="5">
        <v>0</v>
      </c>
      <c r="Z83" s="5">
        <v>0</v>
      </c>
      <c r="AA83" s="5">
        <v>1</v>
      </c>
      <c r="AB83" s="5">
        <v>0</v>
      </c>
      <c r="AC83" s="5">
        <v>0</v>
      </c>
      <c r="AD83" s="6">
        <v>1</v>
      </c>
      <c r="AE83" s="38">
        <v>0</v>
      </c>
      <c r="AF83" s="38">
        <v>0</v>
      </c>
      <c r="AG83" s="38">
        <v>0</v>
      </c>
      <c r="AH83" s="7">
        <f t="shared" si="1"/>
        <v>3</v>
      </c>
    </row>
    <row r="84" spans="1:34" ht="48">
      <c r="A84" s="2">
        <v>98</v>
      </c>
      <c r="B84" s="2" t="s">
        <v>61</v>
      </c>
      <c r="C84" s="41" t="s">
        <v>291</v>
      </c>
      <c r="D84" s="3" t="s">
        <v>146</v>
      </c>
      <c r="E84" s="2" t="s">
        <v>63</v>
      </c>
      <c r="F84" s="3" t="s">
        <v>239</v>
      </c>
      <c r="G84" s="2" t="s">
        <v>34</v>
      </c>
      <c r="H84" s="4" t="s">
        <v>300</v>
      </c>
      <c r="I84" s="5">
        <v>0</v>
      </c>
      <c r="J84" s="5">
        <v>0</v>
      </c>
      <c r="K84" s="5">
        <v>0</v>
      </c>
      <c r="L84" s="5">
        <v>1</v>
      </c>
      <c r="M84" s="5">
        <v>0</v>
      </c>
      <c r="N84" s="5">
        <v>0</v>
      </c>
      <c r="O84" s="5">
        <v>0</v>
      </c>
      <c r="P84" s="5">
        <v>0</v>
      </c>
      <c r="Q84" s="6">
        <v>0</v>
      </c>
      <c r="R84" s="5">
        <v>0</v>
      </c>
      <c r="S84" s="5">
        <v>0</v>
      </c>
      <c r="T84" s="5">
        <v>1</v>
      </c>
      <c r="U84" s="7">
        <f t="shared" si="5"/>
        <v>2</v>
      </c>
      <c r="V84" s="5">
        <v>0</v>
      </c>
      <c r="W84" s="5">
        <v>0</v>
      </c>
      <c r="X84" s="5">
        <v>0</v>
      </c>
      <c r="Y84" s="5">
        <v>1</v>
      </c>
      <c r="Z84" s="5">
        <v>0</v>
      </c>
      <c r="AA84" s="5">
        <v>0</v>
      </c>
      <c r="AB84" s="5">
        <v>0</v>
      </c>
      <c r="AC84" s="5">
        <v>0</v>
      </c>
      <c r="AD84" s="6">
        <v>0</v>
      </c>
      <c r="AE84" s="38">
        <v>0</v>
      </c>
      <c r="AF84" s="38">
        <v>0</v>
      </c>
      <c r="AG84" s="38">
        <v>0</v>
      </c>
      <c r="AH84" s="7">
        <f t="shared" si="1"/>
        <v>1</v>
      </c>
    </row>
    <row r="85" spans="1:34" ht="60">
      <c r="A85" s="2">
        <v>64</v>
      </c>
      <c r="B85" s="2" t="s">
        <v>67</v>
      </c>
      <c r="C85" s="41" t="s">
        <v>291</v>
      </c>
      <c r="D85" s="3" t="s">
        <v>240</v>
      </c>
      <c r="E85" s="2" t="s">
        <v>63</v>
      </c>
      <c r="F85" s="3" t="s">
        <v>241</v>
      </c>
      <c r="G85" s="2" t="s">
        <v>34</v>
      </c>
      <c r="H85" s="4" t="s">
        <v>300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1</v>
      </c>
      <c r="O85" s="5">
        <v>0</v>
      </c>
      <c r="P85" s="5">
        <v>1</v>
      </c>
      <c r="Q85" s="6">
        <v>0</v>
      </c>
      <c r="R85" s="5">
        <v>0</v>
      </c>
      <c r="S85" s="5">
        <v>1</v>
      </c>
      <c r="T85" s="5">
        <v>0</v>
      </c>
      <c r="U85" s="7">
        <f t="shared" si="5"/>
        <v>3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1</v>
      </c>
      <c r="AB85" s="5">
        <v>0</v>
      </c>
      <c r="AC85" s="5">
        <v>1</v>
      </c>
      <c r="AD85" s="6">
        <v>0</v>
      </c>
      <c r="AE85" s="38">
        <v>0</v>
      </c>
      <c r="AF85" s="38">
        <v>0</v>
      </c>
      <c r="AG85" s="38">
        <v>0</v>
      </c>
      <c r="AH85" s="7">
        <f t="shared" si="1"/>
        <v>2</v>
      </c>
    </row>
    <row r="86" spans="1:34" ht="72">
      <c r="A86" s="2">
        <v>99</v>
      </c>
      <c r="B86" s="2" t="s">
        <v>79</v>
      </c>
      <c r="C86" s="44" t="s">
        <v>295</v>
      </c>
      <c r="D86" s="3" t="s">
        <v>242</v>
      </c>
      <c r="E86" s="2" t="s">
        <v>224</v>
      </c>
      <c r="F86" s="3" t="s">
        <v>243</v>
      </c>
      <c r="G86" s="2" t="s">
        <v>34</v>
      </c>
      <c r="H86" s="4" t="s">
        <v>300</v>
      </c>
      <c r="I86" s="5">
        <v>0</v>
      </c>
      <c r="J86" s="5">
        <v>0</v>
      </c>
      <c r="K86" s="5">
        <v>0</v>
      </c>
      <c r="L86" s="5">
        <v>1</v>
      </c>
      <c r="M86" s="5">
        <v>0</v>
      </c>
      <c r="N86" s="5">
        <v>0</v>
      </c>
      <c r="O86" s="5">
        <v>0</v>
      </c>
      <c r="P86" s="5">
        <v>1</v>
      </c>
      <c r="Q86" s="6">
        <v>0</v>
      </c>
      <c r="R86" s="5">
        <v>0</v>
      </c>
      <c r="S86" s="5">
        <v>0</v>
      </c>
      <c r="T86" s="5">
        <v>1</v>
      </c>
      <c r="U86" s="7">
        <f t="shared" si="5"/>
        <v>3</v>
      </c>
      <c r="V86" s="5">
        <v>0</v>
      </c>
      <c r="W86" s="5">
        <v>0</v>
      </c>
      <c r="X86" s="5">
        <v>0</v>
      </c>
      <c r="Y86" s="5">
        <v>1</v>
      </c>
      <c r="Z86" s="5">
        <v>0</v>
      </c>
      <c r="AA86" s="5">
        <v>0</v>
      </c>
      <c r="AB86" s="5">
        <v>0</v>
      </c>
      <c r="AC86" s="5">
        <v>1</v>
      </c>
      <c r="AD86" s="6">
        <v>0</v>
      </c>
      <c r="AE86" s="38">
        <v>0</v>
      </c>
      <c r="AF86" s="38">
        <v>0</v>
      </c>
      <c r="AG86" s="38">
        <v>0</v>
      </c>
      <c r="AH86" s="7">
        <f t="shared" si="1"/>
        <v>2</v>
      </c>
    </row>
    <row r="87" spans="1:34" ht="36">
      <c r="A87" s="2">
        <v>99</v>
      </c>
      <c r="B87" s="2" t="s">
        <v>73</v>
      </c>
      <c r="C87" s="42" t="s">
        <v>290</v>
      </c>
      <c r="D87" s="3" t="s">
        <v>136</v>
      </c>
      <c r="E87" s="2" t="s">
        <v>63</v>
      </c>
      <c r="F87" s="3" t="s">
        <v>244</v>
      </c>
      <c r="G87" s="2" t="s">
        <v>34</v>
      </c>
      <c r="H87" s="4" t="s">
        <v>300</v>
      </c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1</v>
      </c>
      <c r="O87" s="5">
        <v>1</v>
      </c>
      <c r="P87" s="5">
        <v>1</v>
      </c>
      <c r="Q87" s="6">
        <v>1</v>
      </c>
      <c r="R87" s="5">
        <v>1</v>
      </c>
      <c r="S87" s="5">
        <v>1</v>
      </c>
      <c r="T87" s="5">
        <v>1</v>
      </c>
      <c r="U87" s="7">
        <f t="shared" si="5"/>
        <v>12</v>
      </c>
      <c r="V87" s="5">
        <v>1</v>
      </c>
      <c r="W87" s="5">
        <v>1</v>
      </c>
      <c r="X87" s="5">
        <v>1</v>
      </c>
      <c r="Y87" s="5">
        <v>1</v>
      </c>
      <c r="Z87" s="5">
        <v>1</v>
      </c>
      <c r="AA87" s="5">
        <v>1</v>
      </c>
      <c r="AB87" s="5">
        <v>1</v>
      </c>
      <c r="AC87" s="5">
        <v>1</v>
      </c>
      <c r="AD87" s="6">
        <v>1</v>
      </c>
      <c r="AE87" s="38">
        <v>0</v>
      </c>
      <c r="AF87" s="38">
        <v>0</v>
      </c>
      <c r="AG87" s="38">
        <v>0</v>
      </c>
      <c r="AH87" s="7">
        <f t="shared" si="1"/>
        <v>9</v>
      </c>
    </row>
    <row r="88" spans="1:34" ht="72">
      <c r="A88" s="2">
        <v>99</v>
      </c>
      <c r="B88" s="2" t="s">
        <v>79</v>
      </c>
      <c r="C88" s="44" t="s">
        <v>295</v>
      </c>
      <c r="D88" s="3" t="s">
        <v>242</v>
      </c>
      <c r="E88" s="2" t="s">
        <v>224</v>
      </c>
      <c r="F88" s="3" t="s">
        <v>245</v>
      </c>
      <c r="G88" s="2" t="s">
        <v>132</v>
      </c>
      <c r="H88" s="4" t="s">
        <v>300</v>
      </c>
      <c r="I88" s="5">
        <v>31</v>
      </c>
      <c r="J88" s="5">
        <v>28</v>
      </c>
      <c r="K88" s="5">
        <v>31</v>
      </c>
      <c r="L88" s="5">
        <v>30</v>
      </c>
      <c r="M88" s="5">
        <v>31</v>
      </c>
      <c r="N88" s="5">
        <v>30</v>
      </c>
      <c r="O88" s="5">
        <v>31</v>
      </c>
      <c r="P88" s="5">
        <v>31</v>
      </c>
      <c r="Q88" s="6">
        <v>30</v>
      </c>
      <c r="R88" s="5">
        <v>31</v>
      </c>
      <c r="S88" s="5">
        <v>30</v>
      </c>
      <c r="T88" s="5">
        <v>31</v>
      </c>
      <c r="U88" s="7">
        <f t="shared" si="5"/>
        <v>365</v>
      </c>
      <c r="V88" s="5">
        <v>31</v>
      </c>
      <c r="W88" s="5">
        <v>28</v>
      </c>
      <c r="X88" s="5">
        <v>31</v>
      </c>
      <c r="Y88" s="5">
        <v>30</v>
      </c>
      <c r="Z88" s="5">
        <v>31</v>
      </c>
      <c r="AA88" s="5">
        <v>30</v>
      </c>
      <c r="AB88" s="5">
        <v>31</v>
      </c>
      <c r="AC88" s="5">
        <v>31</v>
      </c>
      <c r="AD88" s="6">
        <v>30</v>
      </c>
      <c r="AE88" s="38">
        <v>0</v>
      </c>
      <c r="AF88" s="38">
        <v>0</v>
      </c>
      <c r="AG88" s="38">
        <v>0</v>
      </c>
      <c r="AH88" s="7">
        <f t="shared" si="1"/>
        <v>273</v>
      </c>
    </row>
    <row r="89" spans="1:34" ht="72">
      <c r="A89" s="2">
        <v>31</v>
      </c>
      <c r="B89" s="2" t="s">
        <v>58</v>
      </c>
      <c r="C89" s="41" t="s">
        <v>288</v>
      </c>
      <c r="D89" s="3" t="s">
        <v>62</v>
      </c>
      <c r="E89" s="2" t="s">
        <v>63</v>
      </c>
      <c r="F89" s="3" t="s">
        <v>246</v>
      </c>
      <c r="G89" s="2" t="s">
        <v>99</v>
      </c>
      <c r="H89" s="4" t="s">
        <v>300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6">
        <v>0</v>
      </c>
      <c r="R89" s="5">
        <v>0</v>
      </c>
      <c r="S89" s="5">
        <v>0</v>
      </c>
      <c r="T89" s="5">
        <v>1</v>
      </c>
      <c r="U89" s="7">
        <f t="shared" si="5"/>
        <v>1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6">
        <v>0</v>
      </c>
      <c r="AE89" s="38">
        <v>0</v>
      </c>
      <c r="AF89" s="38">
        <v>0</v>
      </c>
      <c r="AG89" s="38">
        <v>0</v>
      </c>
      <c r="AH89" s="7">
        <f t="shared" si="1"/>
        <v>0</v>
      </c>
    </row>
    <row r="90" spans="1:34" ht="72">
      <c r="A90" s="2">
        <v>99</v>
      </c>
      <c r="B90" s="2" t="s">
        <v>79</v>
      </c>
      <c r="C90" s="44" t="s">
        <v>295</v>
      </c>
      <c r="D90" s="3" t="s">
        <v>242</v>
      </c>
      <c r="E90" s="2" t="s">
        <v>224</v>
      </c>
      <c r="F90" s="3" t="s">
        <v>247</v>
      </c>
      <c r="G90" s="2" t="s">
        <v>132</v>
      </c>
      <c r="H90" s="4" t="s">
        <v>300</v>
      </c>
      <c r="I90" s="5">
        <v>22</v>
      </c>
      <c r="J90" s="5">
        <v>20</v>
      </c>
      <c r="K90" s="5">
        <v>22</v>
      </c>
      <c r="L90" s="5">
        <v>20</v>
      </c>
      <c r="M90" s="5">
        <v>20</v>
      </c>
      <c r="N90" s="5">
        <v>20</v>
      </c>
      <c r="O90" s="5">
        <v>20</v>
      </c>
      <c r="P90" s="5">
        <v>20</v>
      </c>
      <c r="Q90" s="6">
        <v>22</v>
      </c>
      <c r="R90" s="5">
        <v>21</v>
      </c>
      <c r="S90" s="5">
        <v>20</v>
      </c>
      <c r="T90" s="5">
        <v>20</v>
      </c>
      <c r="U90" s="7">
        <f t="shared" si="5"/>
        <v>247</v>
      </c>
      <c r="V90" s="5">
        <v>22</v>
      </c>
      <c r="W90" s="5">
        <v>20</v>
      </c>
      <c r="X90" s="5">
        <v>22</v>
      </c>
      <c r="Y90" s="5">
        <v>20</v>
      </c>
      <c r="Z90" s="5">
        <v>20</v>
      </c>
      <c r="AA90" s="5">
        <v>20</v>
      </c>
      <c r="AB90" s="5">
        <v>20</v>
      </c>
      <c r="AC90" s="5">
        <v>20</v>
      </c>
      <c r="AD90" s="6">
        <v>22</v>
      </c>
      <c r="AE90" s="38">
        <v>0</v>
      </c>
      <c r="AF90" s="38">
        <v>0</v>
      </c>
      <c r="AG90" s="38">
        <v>0</v>
      </c>
      <c r="AH90" s="7">
        <f t="shared" si="1"/>
        <v>186</v>
      </c>
    </row>
    <row r="91" spans="1:34" ht="72">
      <c r="A91" s="2">
        <v>99</v>
      </c>
      <c r="B91" s="2" t="s">
        <v>79</v>
      </c>
      <c r="C91" s="44" t="s">
        <v>295</v>
      </c>
      <c r="D91" s="3" t="s">
        <v>242</v>
      </c>
      <c r="E91" s="2" t="s">
        <v>224</v>
      </c>
      <c r="F91" s="3" t="s">
        <v>248</v>
      </c>
      <c r="G91" s="2" t="s">
        <v>34</v>
      </c>
      <c r="H91" s="4" t="s">
        <v>300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1</v>
      </c>
      <c r="O91" s="5">
        <v>0</v>
      </c>
      <c r="P91" s="5">
        <v>0</v>
      </c>
      <c r="Q91" s="6">
        <v>0</v>
      </c>
      <c r="R91" s="5">
        <v>0</v>
      </c>
      <c r="S91" s="5">
        <v>0</v>
      </c>
      <c r="T91" s="5">
        <v>1</v>
      </c>
      <c r="U91" s="7">
        <f t="shared" si="5"/>
        <v>2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1</v>
      </c>
      <c r="AB91" s="5">
        <v>0</v>
      </c>
      <c r="AC91" s="5">
        <v>0</v>
      </c>
      <c r="AD91" s="6">
        <v>0</v>
      </c>
      <c r="AE91" s="38">
        <v>0</v>
      </c>
      <c r="AF91" s="38">
        <v>0</v>
      </c>
      <c r="AG91" s="38">
        <v>0</v>
      </c>
      <c r="AH91" s="7">
        <f t="shared" si="1"/>
        <v>1</v>
      </c>
    </row>
    <row r="92" spans="1:34" ht="36">
      <c r="A92" s="2">
        <v>3</v>
      </c>
      <c r="B92" s="2" t="s">
        <v>76</v>
      </c>
      <c r="C92" s="41" t="s">
        <v>289</v>
      </c>
      <c r="D92" s="3" t="s">
        <v>249</v>
      </c>
      <c r="E92" s="2" t="s">
        <v>121</v>
      </c>
      <c r="F92" s="3" t="s">
        <v>250</v>
      </c>
      <c r="G92" s="2" t="s">
        <v>121</v>
      </c>
      <c r="H92" s="4" t="s">
        <v>300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6">
        <v>0</v>
      </c>
      <c r="R92" s="5">
        <v>0</v>
      </c>
      <c r="S92" s="5">
        <v>0</v>
      </c>
      <c r="T92" s="5">
        <v>1</v>
      </c>
      <c r="U92" s="7">
        <f t="shared" si="5"/>
        <v>1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6">
        <v>0</v>
      </c>
      <c r="AE92" s="38">
        <v>0</v>
      </c>
      <c r="AF92" s="38">
        <v>0</v>
      </c>
      <c r="AG92" s="38">
        <v>0</v>
      </c>
      <c r="AH92" s="7">
        <f t="shared" si="1"/>
        <v>0</v>
      </c>
    </row>
    <row r="93" spans="1:34" ht="36">
      <c r="A93" s="2">
        <v>99</v>
      </c>
      <c r="B93" s="2" t="s">
        <v>73</v>
      </c>
      <c r="C93" s="42" t="s">
        <v>290</v>
      </c>
      <c r="D93" s="3" t="s">
        <v>136</v>
      </c>
      <c r="E93" s="2" t="s">
        <v>63</v>
      </c>
      <c r="F93" s="3" t="s">
        <v>251</v>
      </c>
      <c r="G93" s="2" t="s">
        <v>34</v>
      </c>
      <c r="H93" s="4" t="s">
        <v>300</v>
      </c>
      <c r="I93" s="5">
        <v>0</v>
      </c>
      <c r="J93" s="5">
        <v>0</v>
      </c>
      <c r="K93" s="5">
        <v>1</v>
      </c>
      <c r="L93" s="5">
        <v>0</v>
      </c>
      <c r="M93" s="5">
        <v>0</v>
      </c>
      <c r="N93" s="5">
        <v>1</v>
      </c>
      <c r="O93" s="5">
        <v>0</v>
      </c>
      <c r="P93" s="5">
        <v>0</v>
      </c>
      <c r="Q93" s="6">
        <v>1</v>
      </c>
      <c r="R93" s="5">
        <v>0</v>
      </c>
      <c r="S93" s="5">
        <v>0</v>
      </c>
      <c r="T93" s="5">
        <v>1</v>
      </c>
      <c r="U93" s="7">
        <f t="shared" si="5"/>
        <v>4</v>
      </c>
      <c r="V93" s="5">
        <v>0</v>
      </c>
      <c r="W93" s="5">
        <v>0</v>
      </c>
      <c r="X93" s="5">
        <v>1</v>
      </c>
      <c r="Y93" s="5">
        <v>0</v>
      </c>
      <c r="Z93" s="5">
        <v>0</v>
      </c>
      <c r="AA93" s="5">
        <v>1</v>
      </c>
      <c r="AB93" s="5">
        <v>0</v>
      </c>
      <c r="AC93" s="5">
        <v>0</v>
      </c>
      <c r="AD93" s="6">
        <v>1</v>
      </c>
      <c r="AE93" s="38">
        <v>0</v>
      </c>
      <c r="AF93" s="38">
        <v>0</v>
      </c>
      <c r="AG93" s="38">
        <v>0</v>
      </c>
      <c r="AH93" s="7">
        <f t="shared" si="1"/>
        <v>3</v>
      </c>
    </row>
    <row r="94" spans="1:34" ht="36">
      <c r="A94" s="2">
        <v>99</v>
      </c>
      <c r="B94" s="2" t="s">
        <v>73</v>
      </c>
      <c r="C94" s="42" t="s">
        <v>290</v>
      </c>
      <c r="D94" s="3" t="s">
        <v>136</v>
      </c>
      <c r="E94" s="2" t="s">
        <v>63</v>
      </c>
      <c r="F94" s="3" t="s">
        <v>252</v>
      </c>
      <c r="G94" s="2" t="s">
        <v>34</v>
      </c>
      <c r="H94" s="4" t="s">
        <v>300</v>
      </c>
      <c r="I94" s="5">
        <v>31</v>
      </c>
      <c r="J94" s="5">
        <v>28</v>
      </c>
      <c r="K94" s="5">
        <v>31</v>
      </c>
      <c r="L94" s="5">
        <v>30</v>
      </c>
      <c r="M94" s="5">
        <v>31</v>
      </c>
      <c r="N94" s="5">
        <v>30</v>
      </c>
      <c r="O94" s="5">
        <v>31</v>
      </c>
      <c r="P94" s="5">
        <v>31</v>
      </c>
      <c r="Q94" s="6">
        <v>30</v>
      </c>
      <c r="R94" s="5">
        <v>31</v>
      </c>
      <c r="S94" s="5">
        <v>30</v>
      </c>
      <c r="T94" s="5">
        <v>31</v>
      </c>
      <c r="U94" s="7">
        <f t="shared" si="5"/>
        <v>365</v>
      </c>
      <c r="V94" s="5">
        <v>31</v>
      </c>
      <c r="W94" s="5">
        <v>28</v>
      </c>
      <c r="X94" s="5">
        <v>31</v>
      </c>
      <c r="Y94" s="5">
        <v>30</v>
      </c>
      <c r="Z94" s="5">
        <v>31</v>
      </c>
      <c r="AA94" s="5">
        <v>30</v>
      </c>
      <c r="AB94" s="5">
        <v>31</v>
      </c>
      <c r="AC94" s="5">
        <v>31</v>
      </c>
      <c r="AD94" s="6">
        <v>30</v>
      </c>
      <c r="AE94" s="38">
        <v>0</v>
      </c>
      <c r="AF94" s="38">
        <v>0</v>
      </c>
      <c r="AG94" s="38">
        <v>0</v>
      </c>
      <c r="AH94" s="7">
        <f t="shared" si="1"/>
        <v>273</v>
      </c>
    </row>
    <row r="95" spans="1:34" ht="60">
      <c r="A95" s="2">
        <v>64</v>
      </c>
      <c r="B95" s="2" t="s">
        <v>67</v>
      </c>
      <c r="C95" s="41" t="s">
        <v>291</v>
      </c>
      <c r="D95" s="3" t="s">
        <v>240</v>
      </c>
      <c r="E95" s="2" t="s">
        <v>63</v>
      </c>
      <c r="F95" s="3" t="s">
        <v>253</v>
      </c>
      <c r="G95" s="2" t="s">
        <v>254</v>
      </c>
      <c r="H95" s="4" t="s">
        <v>300</v>
      </c>
      <c r="I95" s="5">
        <v>0</v>
      </c>
      <c r="J95" s="5">
        <v>0</v>
      </c>
      <c r="K95" s="5">
        <v>0</v>
      </c>
      <c r="L95" s="5">
        <v>0</v>
      </c>
      <c r="M95" s="5">
        <v>4</v>
      </c>
      <c r="N95" s="5">
        <v>4</v>
      </c>
      <c r="O95" s="5">
        <v>5</v>
      </c>
      <c r="P95" s="5">
        <v>4</v>
      </c>
      <c r="Q95" s="6">
        <v>4</v>
      </c>
      <c r="R95" s="5">
        <v>5</v>
      </c>
      <c r="S95" s="5">
        <v>4</v>
      </c>
      <c r="T95" s="5">
        <v>0</v>
      </c>
      <c r="U95" s="7">
        <f t="shared" si="5"/>
        <v>30</v>
      </c>
      <c r="V95" s="5">
        <v>0</v>
      </c>
      <c r="W95" s="5">
        <v>0</v>
      </c>
      <c r="X95" s="5">
        <v>0</v>
      </c>
      <c r="Y95" s="5">
        <v>0</v>
      </c>
      <c r="Z95" s="5">
        <v>4</v>
      </c>
      <c r="AA95" s="5">
        <v>4</v>
      </c>
      <c r="AB95" s="5">
        <v>5</v>
      </c>
      <c r="AC95" s="5">
        <v>4</v>
      </c>
      <c r="AD95" s="6">
        <v>4</v>
      </c>
      <c r="AE95" s="38">
        <v>0</v>
      </c>
      <c r="AF95" s="38">
        <v>0</v>
      </c>
      <c r="AG95" s="38">
        <v>0</v>
      </c>
      <c r="AH95" s="7">
        <f t="shared" si="1"/>
        <v>21</v>
      </c>
    </row>
    <row r="96" spans="1:34" ht="36">
      <c r="A96" s="2">
        <v>99</v>
      </c>
      <c r="B96" s="2" t="s">
        <v>73</v>
      </c>
      <c r="C96" s="42" t="s">
        <v>290</v>
      </c>
      <c r="D96" s="3" t="s">
        <v>136</v>
      </c>
      <c r="E96" s="2" t="s">
        <v>63</v>
      </c>
      <c r="F96" s="3" t="s">
        <v>255</v>
      </c>
      <c r="G96" s="2" t="s">
        <v>254</v>
      </c>
      <c r="H96" s="4" t="s">
        <v>300</v>
      </c>
      <c r="I96" s="5">
        <v>5</v>
      </c>
      <c r="J96" s="5">
        <v>4</v>
      </c>
      <c r="K96" s="5">
        <v>4</v>
      </c>
      <c r="L96" s="5">
        <v>5</v>
      </c>
      <c r="M96" s="5">
        <v>4</v>
      </c>
      <c r="N96" s="5">
        <v>4</v>
      </c>
      <c r="O96" s="5">
        <v>5</v>
      </c>
      <c r="P96" s="5">
        <v>4</v>
      </c>
      <c r="Q96" s="6">
        <v>4</v>
      </c>
      <c r="R96" s="5">
        <v>5</v>
      </c>
      <c r="S96" s="5">
        <v>4</v>
      </c>
      <c r="T96" s="5">
        <v>5</v>
      </c>
      <c r="U96" s="7">
        <f t="shared" si="5"/>
        <v>53</v>
      </c>
      <c r="V96" s="5">
        <v>5</v>
      </c>
      <c r="W96" s="5">
        <v>4</v>
      </c>
      <c r="X96" s="5">
        <v>4</v>
      </c>
      <c r="Y96" s="5">
        <v>5</v>
      </c>
      <c r="Z96" s="5">
        <v>4</v>
      </c>
      <c r="AA96" s="5">
        <v>4</v>
      </c>
      <c r="AB96" s="5">
        <v>5</v>
      </c>
      <c r="AC96" s="5">
        <v>4</v>
      </c>
      <c r="AD96" s="6">
        <v>4</v>
      </c>
      <c r="AE96" s="38">
        <v>0</v>
      </c>
      <c r="AF96" s="38">
        <v>0</v>
      </c>
      <c r="AG96" s="38">
        <v>0</v>
      </c>
      <c r="AH96" s="7">
        <f t="shared" si="1"/>
        <v>39</v>
      </c>
    </row>
    <row r="97" spans="1:34" ht="72">
      <c r="A97" s="2">
        <v>103</v>
      </c>
      <c r="B97" s="2" t="s">
        <v>80</v>
      </c>
      <c r="C97" s="41" t="s">
        <v>285</v>
      </c>
      <c r="D97" s="3" t="s">
        <v>169</v>
      </c>
      <c r="E97" s="2" t="s">
        <v>34</v>
      </c>
      <c r="F97" s="3" t="s">
        <v>256</v>
      </c>
      <c r="G97" s="2" t="s">
        <v>34</v>
      </c>
      <c r="H97" s="4" t="s">
        <v>300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1</v>
      </c>
      <c r="O97" s="5">
        <v>0</v>
      </c>
      <c r="P97" s="5">
        <v>0</v>
      </c>
      <c r="Q97" s="6">
        <v>0</v>
      </c>
      <c r="R97" s="5">
        <v>0</v>
      </c>
      <c r="S97" s="5">
        <v>0</v>
      </c>
      <c r="T97" s="5">
        <v>1</v>
      </c>
      <c r="U97" s="7">
        <f t="shared" si="5"/>
        <v>2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1</v>
      </c>
      <c r="AB97" s="5">
        <v>0</v>
      </c>
      <c r="AC97" s="5">
        <v>0</v>
      </c>
      <c r="AD97" s="6">
        <v>0</v>
      </c>
      <c r="AE97" s="38">
        <v>0</v>
      </c>
      <c r="AF97" s="38">
        <v>0</v>
      </c>
      <c r="AG97" s="38">
        <v>0</v>
      </c>
      <c r="AH97" s="7">
        <f t="shared" si="1"/>
        <v>1</v>
      </c>
    </row>
    <row r="98" spans="1:34" ht="72">
      <c r="A98" s="2">
        <v>5</v>
      </c>
      <c r="B98" s="2" t="s">
        <v>52</v>
      </c>
      <c r="C98" s="44" t="s">
        <v>295</v>
      </c>
      <c r="D98" s="3" t="s">
        <v>257</v>
      </c>
      <c r="E98" s="2" t="s">
        <v>36</v>
      </c>
      <c r="F98" s="3" t="s">
        <v>258</v>
      </c>
      <c r="G98" s="2" t="s">
        <v>34</v>
      </c>
      <c r="H98" s="4" t="s">
        <v>300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6">
        <v>0</v>
      </c>
      <c r="R98" s="5">
        <v>0</v>
      </c>
      <c r="S98" s="5">
        <v>0</v>
      </c>
      <c r="T98" s="5">
        <v>1</v>
      </c>
      <c r="U98" s="7">
        <f t="shared" si="5"/>
        <v>1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6">
        <v>0</v>
      </c>
      <c r="AE98" s="38">
        <v>0</v>
      </c>
      <c r="AF98" s="38">
        <v>0</v>
      </c>
      <c r="AG98" s="38">
        <v>0</v>
      </c>
      <c r="AH98" s="7">
        <f t="shared" si="1"/>
        <v>0</v>
      </c>
    </row>
    <row r="99" spans="1:34" ht="48">
      <c r="A99" s="2">
        <v>98</v>
      </c>
      <c r="B99" s="2" t="s">
        <v>61</v>
      </c>
      <c r="C99" s="41" t="s">
        <v>291</v>
      </c>
      <c r="D99" s="3" t="s">
        <v>146</v>
      </c>
      <c r="E99" s="2" t="s">
        <v>63</v>
      </c>
      <c r="F99" s="3" t="s">
        <v>259</v>
      </c>
      <c r="G99" s="2" t="s">
        <v>34</v>
      </c>
      <c r="H99" s="4" t="s">
        <v>300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6">
        <v>0</v>
      </c>
      <c r="R99" s="5">
        <v>0</v>
      </c>
      <c r="S99" s="5">
        <v>0</v>
      </c>
      <c r="T99" s="5">
        <v>1</v>
      </c>
      <c r="U99" s="7">
        <f t="shared" si="5"/>
        <v>1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6">
        <v>0</v>
      </c>
      <c r="AE99" s="38">
        <v>0</v>
      </c>
      <c r="AF99" s="38">
        <v>0</v>
      </c>
      <c r="AG99" s="38">
        <v>0</v>
      </c>
      <c r="AH99" s="7">
        <f t="shared" si="1"/>
        <v>0</v>
      </c>
    </row>
    <row r="100" spans="1:34" ht="48">
      <c r="A100" s="2">
        <v>98</v>
      </c>
      <c r="B100" s="2" t="s">
        <v>61</v>
      </c>
      <c r="C100" s="41" t="s">
        <v>291</v>
      </c>
      <c r="D100" s="3" t="s">
        <v>146</v>
      </c>
      <c r="E100" s="2" t="s">
        <v>63</v>
      </c>
      <c r="F100" s="3" t="s">
        <v>260</v>
      </c>
      <c r="G100" s="2" t="s">
        <v>34</v>
      </c>
      <c r="H100" s="4" t="s">
        <v>300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6">
        <v>0</v>
      </c>
      <c r="R100" s="5">
        <v>0</v>
      </c>
      <c r="S100" s="5">
        <v>0</v>
      </c>
      <c r="T100" s="5">
        <v>1</v>
      </c>
      <c r="U100" s="7">
        <f t="shared" si="5"/>
        <v>1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6">
        <v>0</v>
      </c>
      <c r="AE100" s="38">
        <v>0</v>
      </c>
      <c r="AF100" s="38">
        <v>0</v>
      </c>
      <c r="AG100" s="38">
        <v>0</v>
      </c>
      <c r="AH100" s="7">
        <f t="shared" si="1"/>
        <v>0</v>
      </c>
    </row>
    <row r="101" spans="1:34" ht="72">
      <c r="A101" s="2">
        <v>99</v>
      </c>
      <c r="B101" s="2" t="s">
        <v>79</v>
      </c>
      <c r="C101" s="44" t="s">
        <v>295</v>
      </c>
      <c r="D101" s="3" t="s">
        <v>242</v>
      </c>
      <c r="E101" s="2" t="s">
        <v>224</v>
      </c>
      <c r="F101" s="3" t="s">
        <v>261</v>
      </c>
      <c r="G101" s="2" t="s">
        <v>36</v>
      </c>
      <c r="H101" s="4" t="s">
        <v>300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6">
        <v>0</v>
      </c>
      <c r="R101" s="5">
        <v>0</v>
      </c>
      <c r="S101" s="5">
        <v>0</v>
      </c>
      <c r="T101" s="5">
        <v>1</v>
      </c>
      <c r="U101" s="7">
        <f t="shared" si="5"/>
        <v>1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6">
        <v>0</v>
      </c>
      <c r="AE101" s="38">
        <v>0</v>
      </c>
      <c r="AF101" s="38">
        <v>0</v>
      </c>
      <c r="AG101" s="38">
        <v>0</v>
      </c>
      <c r="AH101" s="7">
        <f t="shared" si="1"/>
        <v>0</v>
      </c>
    </row>
    <row r="102" spans="1:34" ht="36">
      <c r="A102" s="2">
        <v>39</v>
      </c>
      <c r="B102" s="2" t="s">
        <v>82</v>
      </c>
      <c r="C102" s="42" t="s">
        <v>290</v>
      </c>
      <c r="D102" s="3" t="s">
        <v>262</v>
      </c>
      <c r="E102" s="2" t="s">
        <v>36</v>
      </c>
      <c r="F102" s="3" t="s">
        <v>263</v>
      </c>
      <c r="G102" s="2" t="s">
        <v>36</v>
      </c>
      <c r="H102" s="4" t="s">
        <v>300</v>
      </c>
      <c r="I102" s="5">
        <v>0</v>
      </c>
      <c r="J102" s="5">
        <v>2</v>
      </c>
      <c r="K102" s="5">
        <v>2</v>
      </c>
      <c r="L102" s="5">
        <v>2</v>
      </c>
      <c r="M102" s="5">
        <v>2</v>
      </c>
      <c r="N102" s="5">
        <v>2</v>
      </c>
      <c r="O102" s="5">
        <v>2</v>
      </c>
      <c r="P102" s="5">
        <v>2</v>
      </c>
      <c r="Q102" s="6">
        <v>2</v>
      </c>
      <c r="R102" s="5">
        <v>2</v>
      </c>
      <c r="S102" s="5">
        <v>2</v>
      </c>
      <c r="T102" s="5">
        <v>2</v>
      </c>
      <c r="U102" s="7">
        <f t="shared" si="5"/>
        <v>22</v>
      </c>
      <c r="V102" s="5">
        <v>0</v>
      </c>
      <c r="W102" s="5">
        <v>2</v>
      </c>
      <c r="X102" s="5">
        <v>2</v>
      </c>
      <c r="Y102" s="5">
        <v>2</v>
      </c>
      <c r="Z102" s="5">
        <v>2</v>
      </c>
      <c r="AA102" s="5">
        <v>2</v>
      </c>
      <c r="AB102" s="5">
        <v>2</v>
      </c>
      <c r="AC102" s="5">
        <v>2</v>
      </c>
      <c r="AD102" s="6">
        <v>2</v>
      </c>
      <c r="AE102" s="38">
        <v>0</v>
      </c>
      <c r="AF102" s="38">
        <v>0</v>
      </c>
      <c r="AG102" s="38">
        <v>0</v>
      </c>
      <c r="AH102" s="7">
        <f t="shared" si="1"/>
        <v>16</v>
      </c>
    </row>
    <row r="103" spans="1:34" ht="48">
      <c r="A103" s="2">
        <v>39</v>
      </c>
      <c r="B103" s="2" t="s">
        <v>84</v>
      </c>
      <c r="C103" s="42" t="s">
        <v>290</v>
      </c>
      <c r="D103" s="3" t="s">
        <v>264</v>
      </c>
      <c r="E103" s="2" t="s">
        <v>36</v>
      </c>
      <c r="F103" s="3" t="s">
        <v>265</v>
      </c>
      <c r="G103" s="2" t="s">
        <v>36</v>
      </c>
      <c r="H103" s="4" t="s">
        <v>300</v>
      </c>
      <c r="I103" s="5">
        <v>0</v>
      </c>
      <c r="J103" s="5">
        <v>2</v>
      </c>
      <c r="K103" s="5">
        <v>2</v>
      </c>
      <c r="L103" s="5">
        <v>2</v>
      </c>
      <c r="M103" s="5">
        <v>2</v>
      </c>
      <c r="N103" s="5">
        <v>2</v>
      </c>
      <c r="O103" s="5">
        <v>2</v>
      </c>
      <c r="P103" s="5">
        <v>2</v>
      </c>
      <c r="Q103" s="6">
        <v>2</v>
      </c>
      <c r="R103" s="5">
        <v>1</v>
      </c>
      <c r="S103" s="5">
        <v>1</v>
      </c>
      <c r="T103" s="5">
        <v>1</v>
      </c>
      <c r="U103" s="7">
        <f t="shared" si="5"/>
        <v>19</v>
      </c>
      <c r="V103" s="5">
        <v>0</v>
      </c>
      <c r="W103" s="5">
        <v>2</v>
      </c>
      <c r="X103" s="5">
        <v>2</v>
      </c>
      <c r="Y103" s="5">
        <v>2</v>
      </c>
      <c r="Z103" s="5">
        <v>2</v>
      </c>
      <c r="AA103" s="5">
        <v>2</v>
      </c>
      <c r="AB103" s="5">
        <v>2</v>
      </c>
      <c r="AC103" s="5">
        <v>2</v>
      </c>
      <c r="AD103" s="6">
        <v>2</v>
      </c>
      <c r="AE103" s="38">
        <v>0</v>
      </c>
      <c r="AF103" s="38">
        <v>0</v>
      </c>
      <c r="AG103" s="38">
        <v>0</v>
      </c>
      <c r="AH103" s="7">
        <f t="shared" si="1"/>
        <v>16</v>
      </c>
    </row>
    <row r="104" spans="1:34" ht="36">
      <c r="A104" s="2">
        <v>99</v>
      </c>
      <c r="B104" s="2" t="s">
        <v>73</v>
      </c>
      <c r="C104" s="42" t="s">
        <v>290</v>
      </c>
      <c r="D104" s="3" t="s">
        <v>136</v>
      </c>
      <c r="E104" s="2" t="s">
        <v>63</v>
      </c>
      <c r="F104" s="3" t="s">
        <v>266</v>
      </c>
      <c r="G104" s="2" t="s">
        <v>254</v>
      </c>
      <c r="H104" s="4" t="s">
        <v>300</v>
      </c>
      <c r="I104" s="5">
        <v>1</v>
      </c>
      <c r="J104" s="5">
        <v>1</v>
      </c>
      <c r="K104" s="5">
        <v>1</v>
      </c>
      <c r="L104" s="5">
        <v>1</v>
      </c>
      <c r="M104" s="5">
        <v>1</v>
      </c>
      <c r="N104" s="5">
        <v>1</v>
      </c>
      <c r="O104" s="5">
        <v>1</v>
      </c>
      <c r="P104" s="5">
        <v>1</v>
      </c>
      <c r="Q104" s="6">
        <v>1</v>
      </c>
      <c r="R104" s="5">
        <v>1</v>
      </c>
      <c r="S104" s="5">
        <v>1</v>
      </c>
      <c r="T104" s="5">
        <v>1</v>
      </c>
      <c r="U104" s="7">
        <f t="shared" si="5"/>
        <v>12</v>
      </c>
      <c r="V104" s="5">
        <v>1</v>
      </c>
      <c r="W104" s="5">
        <v>1</v>
      </c>
      <c r="X104" s="5">
        <v>1</v>
      </c>
      <c r="Y104" s="5">
        <v>1</v>
      </c>
      <c r="Z104" s="5">
        <v>1</v>
      </c>
      <c r="AA104" s="5">
        <v>1</v>
      </c>
      <c r="AB104" s="5">
        <v>1</v>
      </c>
      <c r="AC104" s="5">
        <v>1</v>
      </c>
      <c r="AD104" s="6">
        <v>1</v>
      </c>
      <c r="AE104" s="38">
        <v>0</v>
      </c>
      <c r="AF104" s="38">
        <v>0</v>
      </c>
      <c r="AG104" s="38">
        <v>0</v>
      </c>
      <c r="AH104" s="7">
        <f t="shared" si="1"/>
        <v>9</v>
      </c>
    </row>
    <row r="105" spans="1:34" ht="36">
      <c r="A105" s="2">
        <v>3</v>
      </c>
      <c r="B105" s="2" t="s">
        <v>94</v>
      </c>
      <c r="C105" s="42" t="s">
        <v>290</v>
      </c>
      <c r="D105" s="24" t="s">
        <v>267</v>
      </c>
      <c r="E105" s="2" t="s">
        <v>99</v>
      </c>
      <c r="F105" s="3" t="s">
        <v>268</v>
      </c>
      <c r="G105" s="2" t="s">
        <v>36</v>
      </c>
      <c r="H105" s="4" t="s">
        <v>299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9">
        <v>0</v>
      </c>
      <c r="R105" s="18">
        <v>0</v>
      </c>
      <c r="S105" s="5">
        <v>2</v>
      </c>
      <c r="T105" s="5">
        <v>1</v>
      </c>
      <c r="U105" s="20">
        <f t="shared" si="5"/>
        <v>3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9">
        <v>0</v>
      </c>
      <c r="AE105" s="38">
        <v>0</v>
      </c>
      <c r="AF105" s="38">
        <v>0</v>
      </c>
      <c r="AG105" s="38">
        <v>0</v>
      </c>
      <c r="AH105" s="7">
        <f t="shared" si="1"/>
        <v>0</v>
      </c>
    </row>
    <row r="106" spans="1:34" ht="72">
      <c r="A106" s="2">
        <v>103</v>
      </c>
      <c r="B106" s="2" t="s">
        <v>80</v>
      </c>
      <c r="C106" s="42" t="s">
        <v>290</v>
      </c>
      <c r="D106" s="3" t="s">
        <v>169</v>
      </c>
      <c r="E106" s="2" t="s">
        <v>34</v>
      </c>
      <c r="F106" s="24" t="s">
        <v>269</v>
      </c>
      <c r="G106" s="25" t="s">
        <v>34</v>
      </c>
      <c r="H106" s="4" t="s">
        <v>299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9">
        <v>0</v>
      </c>
      <c r="R106" s="18">
        <v>0</v>
      </c>
      <c r="S106" s="18">
        <v>0</v>
      </c>
      <c r="T106" s="18">
        <v>1</v>
      </c>
      <c r="U106" s="20">
        <f t="shared" si="5"/>
        <v>1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9">
        <v>0</v>
      </c>
      <c r="AE106" s="38">
        <v>0</v>
      </c>
      <c r="AF106" s="38">
        <v>0</v>
      </c>
      <c r="AG106" s="38">
        <v>0</v>
      </c>
      <c r="AH106" s="7">
        <f t="shared" si="1"/>
        <v>0</v>
      </c>
    </row>
    <row r="107" spans="1:34" ht="36">
      <c r="A107" s="2">
        <v>39</v>
      </c>
      <c r="B107" s="2" t="s">
        <v>73</v>
      </c>
      <c r="C107" s="42" t="s">
        <v>290</v>
      </c>
      <c r="D107" s="3" t="s">
        <v>136</v>
      </c>
      <c r="E107" s="2" t="s">
        <v>63</v>
      </c>
      <c r="F107" s="24" t="s">
        <v>270</v>
      </c>
      <c r="G107" s="25" t="s">
        <v>34</v>
      </c>
      <c r="H107" s="4" t="s">
        <v>299</v>
      </c>
      <c r="I107" s="18">
        <v>0</v>
      </c>
      <c r="J107" s="18">
        <v>0</v>
      </c>
      <c r="K107" s="18">
        <v>0</v>
      </c>
      <c r="L107" s="18">
        <v>1</v>
      </c>
      <c r="M107" s="18">
        <v>0</v>
      </c>
      <c r="N107" s="18">
        <v>0</v>
      </c>
      <c r="O107" s="18">
        <v>0</v>
      </c>
      <c r="P107" s="18">
        <v>0</v>
      </c>
      <c r="Q107" s="19">
        <v>0</v>
      </c>
      <c r="R107" s="18">
        <v>0</v>
      </c>
      <c r="S107" s="18">
        <v>1</v>
      </c>
      <c r="T107" s="18">
        <v>0</v>
      </c>
      <c r="U107" s="20">
        <f t="shared" si="5"/>
        <v>2</v>
      </c>
      <c r="V107" s="5">
        <v>0</v>
      </c>
      <c r="W107" s="5">
        <v>0</v>
      </c>
      <c r="X107" s="5">
        <v>0</v>
      </c>
      <c r="Y107" s="5">
        <v>1</v>
      </c>
      <c r="Z107" s="5">
        <v>0</v>
      </c>
      <c r="AA107" s="5">
        <v>0</v>
      </c>
      <c r="AB107" s="5">
        <v>0</v>
      </c>
      <c r="AC107" s="5">
        <v>0</v>
      </c>
      <c r="AD107" s="9">
        <v>0</v>
      </c>
      <c r="AE107" s="38">
        <v>0</v>
      </c>
      <c r="AF107" s="38">
        <v>0</v>
      </c>
      <c r="AG107" s="38">
        <v>0</v>
      </c>
      <c r="AH107" s="7">
        <f t="shared" si="1"/>
        <v>1</v>
      </c>
    </row>
    <row r="108" spans="1:34" ht="36">
      <c r="A108" s="2">
        <v>39</v>
      </c>
      <c r="B108" s="2" t="s">
        <v>73</v>
      </c>
      <c r="C108" s="42" t="s">
        <v>290</v>
      </c>
      <c r="D108" s="26" t="s">
        <v>136</v>
      </c>
      <c r="E108" s="2" t="s">
        <v>63</v>
      </c>
      <c r="F108" s="27" t="s">
        <v>271</v>
      </c>
      <c r="G108" s="25" t="s">
        <v>36</v>
      </c>
      <c r="H108" s="4" t="s">
        <v>299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1</v>
      </c>
      <c r="O108" s="18">
        <v>0</v>
      </c>
      <c r="P108" s="18">
        <v>0</v>
      </c>
      <c r="Q108" s="19">
        <v>0</v>
      </c>
      <c r="R108" s="18">
        <v>0</v>
      </c>
      <c r="S108" s="18">
        <v>1</v>
      </c>
      <c r="T108" s="18">
        <v>0</v>
      </c>
      <c r="U108" s="20">
        <f t="shared" si="5"/>
        <v>2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1</v>
      </c>
      <c r="AB108" s="5">
        <v>0</v>
      </c>
      <c r="AC108" s="5">
        <v>0</v>
      </c>
      <c r="AD108" s="9">
        <v>0</v>
      </c>
      <c r="AE108" s="38">
        <v>0</v>
      </c>
      <c r="AF108" s="38">
        <v>0</v>
      </c>
      <c r="AG108" s="38">
        <v>0</v>
      </c>
      <c r="AH108" s="7">
        <f t="shared" si="1"/>
        <v>1</v>
      </c>
    </row>
    <row r="109" spans="1:34" ht="72">
      <c r="A109" s="2">
        <v>31</v>
      </c>
      <c r="B109" s="2" t="s">
        <v>58</v>
      </c>
      <c r="C109" s="46" t="s">
        <v>288</v>
      </c>
      <c r="D109" s="3" t="s">
        <v>62</v>
      </c>
      <c r="E109" s="2" t="s">
        <v>63</v>
      </c>
      <c r="F109" s="2" t="s">
        <v>272</v>
      </c>
      <c r="G109" s="2" t="s">
        <v>99</v>
      </c>
      <c r="H109" s="4" t="s">
        <v>299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6">
        <v>0</v>
      </c>
      <c r="R109" s="5">
        <v>0</v>
      </c>
      <c r="S109" s="5">
        <v>1</v>
      </c>
      <c r="T109" s="5">
        <v>0</v>
      </c>
      <c r="U109" s="5">
        <f t="shared" si="5"/>
        <v>1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9">
        <v>0</v>
      </c>
      <c r="AE109" s="38">
        <v>0</v>
      </c>
      <c r="AF109" s="38">
        <v>0</v>
      </c>
      <c r="AG109" s="38">
        <v>0</v>
      </c>
      <c r="AH109" s="7">
        <f t="shared" si="1"/>
        <v>0</v>
      </c>
    </row>
    <row r="110" spans="1:34" ht="72">
      <c r="A110" s="2">
        <v>31</v>
      </c>
      <c r="B110" s="2" t="s">
        <v>56</v>
      </c>
      <c r="C110" s="47" t="s">
        <v>295</v>
      </c>
      <c r="D110" s="3" t="s">
        <v>223</v>
      </c>
      <c r="E110" s="2" t="s">
        <v>224</v>
      </c>
      <c r="F110" s="3" t="s">
        <v>273</v>
      </c>
      <c r="G110" s="2" t="s">
        <v>132</v>
      </c>
      <c r="H110" s="4" t="s">
        <v>299</v>
      </c>
      <c r="I110" s="5">
        <v>16</v>
      </c>
      <c r="J110" s="5">
        <v>16</v>
      </c>
      <c r="K110" s="5">
        <v>16</v>
      </c>
      <c r="L110" s="5">
        <v>16</v>
      </c>
      <c r="M110" s="5">
        <v>16</v>
      </c>
      <c r="N110" s="5">
        <v>16</v>
      </c>
      <c r="O110" s="5">
        <v>16</v>
      </c>
      <c r="P110" s="5">
        <v>16</v>
      </c>
      <c r="Q110" s="6">
        <v>16</v>
      </c>
      <c r="R110" s="5">
        <v>16</v>
      </c>
      <c r="S110" s="5">
        <v>16</v>
      </c>
      <c r="T110" s="5">
        <v>16</v>
      </c>
      <c r="U110" s="5">
        <f t="shared" si="5"/>
        <v>192</v>
      </c>
      <c r="V110" s="5">
        <v>16</v>
      </c>
      <c r="W110" s="5">
        <v>16</v>
      </c>
      <c r="X110" s="5">
        <v>16</v>
      </c>
      <c r="Y110" s="5">
        <v>16</v>
      </c>
      <c r="Z110" s="5">
        <v>16</v>
      </c>
      <c r="AA110" s="5">
        <v>16</v>
      </c>
      <c r="AB110" s="5">
        <v>16</v>
      </c>
      <c r="AC110" s="5">
        <v>16</v>
      </c>
      <c r="AD110" s="9">
        <v>16</v>
      </c>
      <c r="AE110" s="38">
        <v>0</v>
      </c>
      <c r="AF110" s="38">
        <v>0</v>
      </c>
      <c r="AG110" s="38">
        <v>0</v>
      </c>
      <c r="AH110" s="7">
        <f t="shared" si="1"/>
        <v>144</v>
      </c>
    </row>
    <row r="111" spans="1:34" ht="24">
      <c r="A111" s="28">
        <v>96</v>
      </c>
      <c r="B111" s="28" t="s">
        <v>59</v>
      </c>
      <c r="C111" s="46" t="s">
        <v>294</v>
      </c>
      <c r="D111" s="29" t="s">
        <v>219</v>
      </c>
      <c r="E111" s="28" t="s">
        <v>121</v>
      </c>
      <c r="F111" s="29" t="s">
        <v>274</v>
      </c>
      <c r="G111" s="28" t="s">
        <v>36</v>
      </c>
      <c r="H111" s="4" t="s">
        <v>299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1">
        <v>1</v>
      </c>
      <c r="R111" s="30">
        <v>0</v>
      </c>
      <c r="S111" s="30">
        <v>0</v>
      </c>
      <c r="T111" s="30">
        <v>0</v>
      </c>
      <c r="U111" s="30">
        <f t="shared" si="5"/>
        <v>1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2">
        <v>1</v>
      </c>
      <c r="AE111" s="38">
        <v>0</v>
      </c>
      <c r="AF111" s="38">
        <v>0</v>
      </c>
      <c r="AG111" s="38">
        <v>0</v>
      </c>
      <c r="AH111" s="7">
        <f t="shared" si="1"/>
        <v>1</v>
      </c>
    </row>
    <row r="112" spans="1:34" ht="60">
      <c r="A112" s="2">
        <v>134</v>
      </c>
      <c r="B112" s="2" t="s">
        <v>115</v>
      </c>
      <c r="C112" s="41"/>
      <c r="D112" s="3" t="s">
        <v>275</v>
      </c>
      <c r="E112" s="2" t="s">
        <v>36</v>
      </c>
      <c r="F112" s="33" t="s">
        <v>276</v>
      </c>
      <c r="G112" s="34" t="s">
        <v>36</v>
      </c>
      <c r="H112" s="22" t="s">
        <v>296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  <c r="Q112" s="19">
        <v>0</v>
      </c>
      <c r="R112" s="18">
        <v>0</v>
      </c>
      <c r="S112" s="18">
        <v>0</v>
      </c>
      <c r="T112" s="18">
        <v>1</v>
      </c>
      <c r="U112" s="35">
        <f t="shared" si="5"/>
        <v>1</v>
      </c>
      <c r="V112" s="5"/>
      <c r="W112" s="5"/>
      <c r="X112" s="5"/>
      <c r="Y112" s="5"/>
      <c r="Z112" s="5"/>
      <c r="AA112" s="5"/>
      <c r="AB112" s="5"/>
      <c r="AC112" s="5">
        <v>0</v>
      </c>
      <c r="AD112" s="6"/>
      <c r="AE112" s="38">
        <v>0</v>
      </c>
      <c r="AF112" s="38">
        <v>0</v>
      </c>
      <c r="AG112" s="38">
        <v>0</v>
      </c>
      <c r="AH112" s="7">
        <f t="shared" si="1"/>
        <v>0</v>
      </c>
    </row>
    <row r="113" spans="1:34" ht="60">
      <c r="A113" s="2">
        <v>135</v>
      </c>
      <c r="B113" s="2" t="s">
        <v>116</v>
      </c>
      <c r="C113" s="42"/>
      <c r="D113" s="3" t="s">
        <v>277</v>
      </c>
      <c r="E113" s="2" t="s">
        <v>36</v>
      </c>
      <c r="F113" s="33" t="s">
        <v>278</v>
      </c>
      <c r="G113" s="34" t="s">
        <v>36</v>
      </c>
      <c r="H113" s="22" t="s">
        <v>299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9">
        <v>0</v>
      </c>
      <c r="R113" s="18">
        <v>0</v>
      </c>
      <c r="S113" s="18">
        <v>0</v>
      </c>
      <c r="T113" s="18">
        <v>1</v>
      </c>
      <c r="U113" s="35">
        <f t="shared" si="5"/>
        <v>1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9">
        <v>0</v>
      </c>
      <c r="AE113" s="38">
        <v>0</v>
      </c>
      <c r="AF113" s="38">
        <v>0</v>
      </c>
      <c r="AG113" s="38">
        <v>0</v>
      </c>
      <c r="AH113" s="7">
        <f t="shared" si="1"/>
        <v>0</v>
      </c>
    </row>
    <row r="114" spans="1:34" ht="60">
      <c r="A114" s="2">
        <v>136</v>
      </c>
      <c r="B114" s="2" t="s">
        <v>117</v>
      </c>
      <c r="C114" s="42" t="s">
        <v>290</v>
      </c>
      <c r="D114" s="3" t="s">
        <v>279</v>
      </c>
      <c r="E114" s="2" t="s">
        <v>36</v>
      </c>
      <c r="F114" s="33" t="s">
        <v>280</v>
      </c>
      <c r="G114" s="34" t="s">
        <v>36</v>
      </c>
      <c r="H114" s="22" t="s">
        <v>300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9">
        <v>0</v>
      </c>
      <c r="R114" s="18">
        <v>0</v>
      </c>
      <c r="S114" s="18">
        <v>0</v>
      </c>
      <c r="T114" s="18">
        <v>1</v>
      </c>
      <c r="U114" s="35">
        <f t="shared" si="5"/>
        <v>1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19">
        <v>0</v>
      </c>
      <c r="AE114" s="38">
        <v>0</v>
      </c>
      <c r="AF114" s="38">
        <v>0</v>
      </c>
      <c r="AG114" s="38">
        <v>0</v>
      </c>
      <c r="AH114" s="7">
        <f t="shared" si="1"/>
        <v>0</v>
      </c>
    </row>
    <row r="115" spans="1:34" ht="72">
      <c r="A115" s="2">
        <v>139</v>
      </c>
      <c r="B115" s="2" t="s">
        <v>45</v>
      </c>
      <c r="C115" s="41"/>
      <c r="D115" s="3" t="s">
        <v>281</v>
      </c>
      <c r="E115" s="2" t="s">
        <v>36</v>
      </c>
      <c r="F115" s="33" t="s">
        <v>282</v>
      </c>
      <c r="G115" s="36" t="s">
        <v>36</v>
      </c>
      <c r="H115" s="37" t="s">
        <v>297</v>
      </c>
      <c r="I115" s="18">
        <v>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9">
        <v>0</v>
      </c>
      <c r="R115" s="18">
        <v>0</v>
      </c>
      <c r="S115" s="18">
        <v>0</v>
      </c>
      <c r="T115" s="18">
        <v>1</v>
      </c>
      <c r="U115" s="35">
        <f t="shared" si="5"/>
        <v>1</v>
      </c>
      <c r="V115" s="38">
        <v>0</v>
      </c>
      <c r="W115" s="38">
        <v>0</v>
      </c>
      <c r="X115" s="38">
        <v>0</v>
      </c>
      <c r="Y115" s="38">
        <v>0</v>
      </c>
      <c r="Z115" s="38">
        <v>0</v>
      </c>
      <c r="AA115" s="38">
        <v>0</v>
      </c>
      <c r="AB115" s="38">
        <v>0</v>
      </c>
      <c r="AC115" s="5">
        <v>0</v>
      </c>
      <c r="AD115" s="9">
        <v>0</v>
      </c>
      <c r="AE115" s="38">
        <v>0</v>
      </c>
      <c r="AF115" s="38">
        <v>0</v>
      </c>
      <c r="AG115" s="38">
        <v>0</v>
      </c>
      <c r="AH115" s="7">
        <f t="shared" si="1"/>
        <v>0</v>
      </c>
    </row>
    <row r="116" spans="1:34">
      <c r="I116" s="11">
        <f t="shared" ref="I116:S116" si="6">SUBTOTAL(9,I2:I111)</f>
        <v>196</v>
      </c>
      <c r="J116" s="11">
        <f t="shared" si="6"/>
        <v>191</v>
      </c>
      <c r="K116" s="11">
        <f t="shared" si="6"/>
        <v>201</v>
      </c>
      <c r="L116" s="11">
        <f t="shared" si="6"/>
        <v>207</v>
      </c>
      <c r="M116" s="11">
        <f t="shared" si="6"/>
        <v>196</v>
      </c>
      <c r="N116" s="11">
        <f t="shared" si="6"/>
        <v>213</v>
      </c>
      <c r="O116" s="39">
        <f t="shared" si="6"/>
        <v>203</v>
      </c>
      <c r="P116" s="11">
        <f t="shared" si="6"/>
        <v>199</v>
      </c>
      <c r="Q116" s="39">
        <f t="shared" si="6"/>
        <v>206</v>
      </c>
      <c r="R116" s="11">
        <f t="shared" si="6"/>
        <v>235</v>
      </c>
      <c r="S116" s="11">
        <f t="shared" si="6"/>
        <v>208</v>
      </c>
      <c r="T116" s="11">
        <f>SUBTOTAL(9,T2:T115)</f>
        <v>231</v>
      </c>
      <c r="U116" s="11">
        <f>SUBTOTAL(9,U2:U111)</f>
        <v>2482</v>
      </c>
      <c r="V116" s="11">
        <f t="shared" ref="V116:AH116" si="7">SUBTOTAL(9,V2:V111)</f>
        <v>196</v>
      </c>
      <c r="W116" s="11">
        <f t="shared" si="7"/>
        <v>191</v>
      </c>
      <c r="X116" s="11">
        <f t="shared" si="7"/>
        <v>201</v>
      </c>
      <c r="Y116" s="11">
        <f t="shared" si="7"/>
        <v>207</v>
      </c>
      <c r="Z116" s="11">
        <f t="shared" si="7"/>
        <v>196</v>
      </c>
      <c r="AA116" s="11">
        <f t="shared" si="7"/>
        <v>213</v>
      </c>
      <c r="AB116" s="11">
        <f t="shared" si="7"/>
        <v>203</v>
      </c>
      <c r="AC116" s="11">
        <f t="shared" si="7"/>
        <v>199</v>
      </c>
      <c r="AD116" s="39">
        <f t="shared" si="7"/>
        <v>206</v>
      </c>
      <c r="AE116" s="11">
        <f t="shared" si="7"/>
        <v>0</v>
      </c>
      <c r="AF116" s="11">
        <f t="shared" si="7"/>
        <v>0</v>
      </c>
      <c r="AG116" s="11">
        <f t="shared" si="7"/>
        <v>0</v>
      </c>
      <c r="AH116" s="11">
        <f t="shared" si="7"/>
        <v>1812</v>
      </c>
    </row>
    <row r="117" spans="1:34">
      <c r="M117" s="8"/>
      <c r="N117" s="8"/>
      <c r="O117" s="40"/>
      <c r="P117" s="8"/>
      <c r="Q117" s="40"/>
      <c r="Z117" s="8"/>
      <c r="AA117" s="8"/>
      <c r="AB117" s="40"/>
      <c r="AC117" s="8"/>
      <c r="AD117" s="40"/>
    </row>
    <row r="118" spans="1:34">
      <c r="M118" s="8"/>
      <c r="N118" s="8"/>
      <c r="O118" s="40"/>
      <c r="P118" s="8"/>
      <c r="Q118" s="40"/>
      <c r="Z118" s="8"/>
      <c r="AA118" s="8"/>
      <c r="AB118" s="40"/>
      <c r="AC118" s="8"/>
      <c r="AD118" s="40"/>
    </row>
    <row r="119" spans="1:34">
      <c r="M119" s="8"/>
      <c r="N119" s="8"/>
      <c r="O119" s="40"/>
      <c r="P119" s="8"/>
      <c r="Q119" s="40"/>
      <c r="Z119" s="8"/>
      <c r="AA119" s="8"/>
      <c r="AB119" s="40"/>
      <c r="AC119" s="8"/>
      <c r="AD119" s="40"/>
    </row>
    <row r="120" spans="1:34">
      <c r="M120" s="8"/>
      <c r="N120" s="8"/>
      <c r="O120" s="40"/>
      <c r="P120" s="8"/>
      <c r="Q120" s="40"/>
      <c r="Z120" s="8"/>
      <c r="AA120" s="8"/>
      <c r="AB120" s="40"/>
      <c r="AC120" s="8"/>
      <c r="AD120" s="40"/>
    </row>
    <row r="121" spans="1:34">
      <c r="M121" s="8"/>
      <c r="N121" s="8"/>
      <c r="O121" s="40"/>
      <c r="P121" s="8"/>
      <c r="Q121" s="40"/>
      <c r="Z121" s="8"/>
      <c r="AA121" s="8"/>
      <c r="AB121" s="40"/>
      <c r="AC121" s="8"/>
      <c r="AD121" s="40"/>
    </row>
    <row r="122" spans="1:34">
      <c r="M122" s="8"/>
      <c r="N122" s="8"/>
      <c r="O122" s="40"/>
      <c r="P122" s="8"/>
      <c r="Q122" s="40"/>
      <c r="Z122" s="8"/>
      <c r="AA122" s="8"/>
      <c r="AB122" s="40"/>
      <c r="AC122" s="8"/>
      <c r="AD122" s="40"/>
    </row>
    <row r="123" spans="1:34">
      <c r="M123" s="8"/>
      <c r="N123" s="8"/>
      <c r="O123" s="40"/>
      <c r="P123" s="8"/>
      <c r="Q123" s="40"/>
      <c r="Z123" s="8"/>
      <c r="AA123" s="8"/>
      <c r="AB123" s="40"/>
      <c r="AC123" s="8"/>
      <c r="AD123" s="40"/>
    </row>
    <row r="124" spans="1:34">
      <c r="M124" s="8"/>
      <c r="N124" s="8"/>
      <c r="O124" s="40"/>
      <c r="P124" s="8"/>
      <c r="Q124" s="40"/>
      <c r="Z124" s="8"/>
      <c r="AA124" s="8"/>
      <c r="AB124" s="40"/>
      <c r="AC124" s="8"/>
      <c r="AD124" s="40"/>
    </row>
    <row r="125" spans="1:34">
      <c r="M125" s="8"/>
      <c r="N125" s="8"/>
      <c r="O125" s="40"/>
      <c r="P125" s="8"/>
      <c r="Q125" s="40"/>
      <c r="Z125" s="8"/>
      <c r="AA125" s="8"/>
      <c r="AB125" s="40"/>
      <c r="AC125" s="8"/>
      <c r="AD125" s="40"/>
    </row>
    <row r="126" spans="1:34">
      <c r="M126" s="8"/>
      <c r="N126" s="8"/>
      <c r="O126" s="40"/>
      <c r="P126" s="8"/>
      <c r="Q126" s="40"/>
      <c r="Z126" s="8"/>
      <c r="AA126" s="8"/>
      <c r="AB126" s="40"/>
      <c r="AC126" s="8"/>
      <c r="AD126" s="40"/>
    </row>
    <row r="127" spans="1:34">
      <c r="M127" s="8"/>
      <c r="N127" s="8"/>
      <c r="O127" s="40"/>
      <c r="P127" s="8"/>
      <c r="Q127" s="40"/>
      <c r="Z127" s="8"/>
      <c r="AA127" s="8"/>
      <c r="AB127" s="40"/>
      <c r="AC127" s="8"/>
      <c r="AD127" s="40"/>
    </row>
    <row r="128" spans="1:34">
      <c r="M128" s="8"/>
      <c r="N128" s="8"/>
      <c r="O128" s="40"/>
      <c r="P128" s="8"/>
      <c r="Q128" s="40"/>
      <c r="Z128" s="8"/>
      <c r="AA128" s="8"/>
      <c r="AB128" s="40"/>
      <c r="AC128" s="8"/>
      <c r="AD128" s="40"/>
    </row>
    <row r="129" spans="13:30">
      <c r="M129" s="8"/>
      <c r="N129" s="8"/>
      <c r="O129" s="40"/>
      <c r="P129" s="8"/>
      <c r="Q129" s="40"/>
      <c r="Z129" s="8"/>
      <c r="AA129" s="8"/>
      <c r="AB129" s="40"/>
      <c r="AC129" s="8"/>
      <c r="AD129" s="40"/>
    </row>
    <row r="130" spans="13:30">
      <c r="M130" s="8"/>
      <c r="N130" s="8"/>
      <c r="O130" s="40"/>
      <c r="P130" s="8"/>
      <c r="Q130" s="40"/>
      <c r="Z130" s="8"/>
      <c r="AA130" s="8"/>
      <c r="AB130" s="40"/>
      <c r="AC130" s="8"/>
      <c r="AD130" s="40"/>
    </row>
    <row r="131" spans="13:30">
      <c r="M131" s="8"/>
      <c r="N131" s="8"/>
      <c r="O131" s="40"/>
      <c r="P131" s="8"/>
      <c r="Q131" s="40"/>
      <c r="Z131" s="8"/>
      <c r="AA131" s="8"/>
      <c r="AB131" s="40"/>
      <c r="AC131" s="8"/>
      <c r="AD131" s="40"/>
    </row>
    <row r="132" spans="13:30">
      <c r="M132" s="8"/>
      <c r="N132" s="8"/>
      <c r="O132" s="40"/>
      <c r="P132" s="8"/>
      <c r="Q132" s="40"/>
      <c r="Z132" s="8"/>
      <c r="AA132" s="8"/>
      <c r="AB132" s="40"/>
      <c r="AC132" s="8"/>
      <c r="AD132" s="40"/>
    </row>
    <row r="133" spans="13:30">
      <c r="M133" s="8"/>
      <c r="N133" s="8"/>
      <c r="O133" s="40"/>
      <c r="P133" s="8"/>
      <c r="Q133" s="40"/>
      <c r="Z133" s="8"/>
      <c r="AA133" s="8"/>
      <c r="AB133" s="40"/>
      <c r="AC133" s="8"/>
      <c r="AD133" s="40"/>
    </row>
    <row r="134" spans="13:30">
      <c r="M134" s="8"/>
      <c r="N134" s="8"/>
      <c r="O134" s="40"/>
      <c r="P134" s="8"/>
      <c r="Q134" s="40"/>
      <c r="Z134" s="8"/>
      <c r="AA134" s="8"/>
      <c r="AB134" s="40"/>
      <c r="AC134" s="8"/>
      <c r="AD134" s="40"/>
    </row>
    <row r="135" spans="13:30">
      <c r="M135" s="8"/>
      <c r="N135" s="8"/>
      <c r="O135" s="40"/>
      <c r="P135" s="8"/>
      <c r="Q135" s="40"/>
      <c r="Z135" s="8"/>
      <c r="AA135" s="8"/>
      <c r="AB135" s="40"/>
      <c r="AC135" s="8"/>
      <c r="AD135" s="40"/>
    </row>
    <row r="136" spans="13:30">
      <c r="M136" s="8"/>
      <c r="N136" s="8"/>
      <c r="O136" s="40"/>
      <c r="P136" s="8"/>
      <c r="Q136" s="40"/>
      <c r="Z136" s="8"/>
      <c r="AA136" s="8"/>
      <c r="AB136" s="40"/>
      <c r="AC136" s="8"/>
      <c r="AD136" s="40"/>
    </row>
    <row r="137" spans="13:30">
      <c r="M137" s="8"/>
      <c r="N137" s="8"/>
      <c r="O137" s="40"/>
      <c r="P137" s="8"/>
      <c r="Q137" s="40"/>
      <c r="Z137" s="8"/>
      <c r="AA137" s="8"/>
      <c r="AB137" s="40"/>
      <c r="AC137" s="8"/>
      <c r="AD137" s="40"/>
    </row>
    <row r="138" spans="13:30">
      <c r="M138" s="8"/>
      <c r="N138" s="8"/>
      <c r="O138" s="40"/>
      <c r="P138" s="8"/>
      <c r="Q138" s="40"/>
      <c r="Z138" s="8"/>
      <c r="AA138" s="8"/>
      <c r="AB138" s="40"/>
      <c r="AC138" s="8"/>
      <c r="AD138" s="40"/>
    </row>
    <row r="139" spans="13:30">
      <c r="M139" s="8"/>
      <c r="N139" s="8"/>
      <c r="O139" s="40"/>
      <c r="P139" s="8"/>
      <c r="Q139" s="40"/>
      <c r="Z139" s="8"/>
      <c r="AA139" s="8"/>
      <c r="AB139" s="40"/>
      <c r="AC139" s="8"/>
      <c r="AD139" s="40"/>
    </row>
    <row r="140" spans="13:30">
      <c r="M140" s="8"/>
      <c r="N140" s="8"/>
      <c r="O140" s="40"/>
      <c r="P140" s="8"/>
      <c r="Q140" s="40"/>
      <c r="Z140" s="8"/>
      <c r="AA140" s="8"/>
      <c r="AB140" s="40"/>
      <c r="AC140" s="8"/>
      <c r="AD140" s="40"/>
    </row>
    <row r="141" spans="13:30">
      <c r="M141" s="8"/>
      <c r="N141" s="8"/>
      <c r="O141" s="40"/>
      <c r="P141" s="8"/>
      <c r="Q141" s="40"/>
      <c r="Z141" s="8"/>
      <c r="AA141" s="8"/>
      <c r="AB141" s="40"/>
      <c r="AC141" s="8"/>
      <c r="AD141" s="40"/>
    </row>
    <row r="142" spans="13:30">
      <c r="M142" s="8"/>
      <c r="N142" s="8"/>
      <c r="O142" s="40"/>
      <c r="P142" s="8"/>
      <c r="Q142" s="40"/>
      <c r="Z142" s="8"/>
      <c r="AA142" s="8"/>
      <c r="AB142" s="40"/>
      <c r="AC142" s="8"/>
      <c r="AD142" s="40"/>
    </row>
    <row r="143" spans="13:30">
      <c r="M143" s="8"/>
      <c r="N143" s="8"/>
      <c r="O143" s="40"/>
      <c r="P143" s="8"/>
      <c r="Q143" s="40"/>
      <c r="Z143" s="8"/>
      <c r="AA143" s="8"/>
      <c r="AB143" s="40"/>
      <c r="AC143" s="8"/>
      <c r="AD143" s="40"/>
    </row>
    <row r="144" spans="13:30">
      <c r="M144" s="8"/>
      <c r="N144" s="8"/>
      <c r="O144" s="40"/>
      <c r="P144" s="8"/>
      <c r="Q144" s="40"/>
      <c r="Z144" s="8"/>
      <c r="AA144" s="8"/>
      <c r="AB144" s="40"/>
      <c r="AC144" s="8"/>
      <c r="AD144" s="40"/>
    </row>
    <row r="145" spans="13:30">
      <c r="M145" s="8"/>
      <c r="N145" s="8"/>
      <c r="O145" s="40"/>
      <c r="P145" s="8"/>
      <c r="Q145" s="40"/>
      <c r="Z145" s="8"/>
      <c r="AA145" s="8"/>
      <c r="AB145" s="40"/>
      <c r="AC145" s="8"/>
      <c r="AD145" s="40"/>
    </row>
    <row r="146" spans="13:30">
      <c r="M146" s="8"/>
      <c r="N146" s="8"/>
      <c r="O146" s="40"/>
      <c r="P146" s="8"/>
      <c r="Q146" s="40"/>
      <c r="Z146" s="8"/>
      <c r="AA146" s="8"/>
      <c r="AB146" s="40"/>
      <c r="AC146" s="8"/>
      <c r="AD146" s="40"/>
    </row>
    <row r="147" spans="13:30">
      <c r="M147" s="8"/>
      <c r="N147" s="8"/>
      <c r="O147" s="40"/>
      <c r="P147" s="8"/>
      <c r="Q147" s="40"/>
      <c r="Z147" s="8"/>
      <c r="AA147" s="8"/>
      <c r="AB147" s="40"/>
      <c r="AC147" s="8"/>
      <c r="AD147" s="40"/>
    </row>
    <row r="148" spans="13:30">
      <c r="M148" s="8"/>
      <c r="N148" s="8"/>
      <c r="O148" s="40"/>
      <c r="P148" s="8"/>
      <c r="Q148" s="40"/>
      <c r="Z148" s="8"/>
      <c r="AA148" s="8"/>
      <c r="AB148" s="40"/>
      <c r="AC148" s="8"/>
      <c r="AD148" s="40"/>
    </row>
    <row r="149" spans="13:30">
      <c r="M149" s="8"/>
      <c r="N149" s="8"/>
      <c r="O149" s="40"/>
      <c r="P149" s="8"/>
      <c r="Q149" s="40"/>
      <c r="Z149" s="8"/>
      <c r="AA149" s="8"/>
      <c r="AB149" s="40"/>
      <c r="AC149" s="8"/>
      <c r="AD149" s="40"/>
    </row>
    <row r="150" spans="13:30">
      <c r="M150" s="8"/>
      <c r="N150" s="8"/>
      <c r="O150" s="40"/>
      <c r="P150" s="8"/>
      <c r="Q150" s="40"/>
      <c r="Z150" s="8"/>
      <c r="AA150" s="8"/>
      <c r="AB150" s="40"/>
      <c r="AC150" s="8"/>
      <c r="AD150" s="40"/>
    </row>
    <row r="151" spans="13:30">
      <c r="M151" s="8"/>
      <c r="N151" s="8"/>
      <c r="O151" s="40"/>
      <c r="P151" s="8"/>
      <c r="Q151" s="40"/>
      <c r="Z151" s="8"/>
      <c r="AA151" s="8"/>
      <c r="AB151" s="40"/>
      <c r="AC151" s="8"/>
      <c r="AD151" s="40"/>
    </row>
    <row r="152" spans="13:30">
      <c r="M152" s="8"/>
      <c r="N152" s="8"/>
      <c r="O152" s="40"/>
      <c r="P152" s="8"/>
      <c r="Q152" s="40"/>
      <c r="Z152" s="8"/>
      <c r="AA152" s="8"/>
      <c r="AB152" s="40"/>
      <c r="AC152" s="8"/>
      <c r="AD152" s="40"/>
    </row>
    <row r="153" spans="13:30">
      <c r="M153" s="8"/>
      <c r="N153" s="8"/>
      <c r="O153" s="40"/>
      <c r="P153" s="8"/>
      <c r="Q153" s="40"/>
      <c r="Z153" s="8"/>
      <c r="AA153" s="8"/>
      <c r="AB153" s="40"/>
      <c r="AC153" s="8"/>
      <c r="AD153" s="40"/>
    </row>
    <row r="154" spans="13:30">
      <c r="M154" s="8"/>
      <c r="N154" s="8"/>
      <c r="O154" s="40"/>
      <c r="P154" s="8"/>
      <c r="Q154" s="40"/>
      <c r="Z154" s="8"/>
      <c r="AA154" s="8"/>
      <c r="AB154" s="40"/>
      <c r="AC154" s="8"/>
      <c r="AD154" s="40"/>
    </row>
    <row r="155" spans="13:30">
      <c r="M155" s="8"/>
      <c r="N155" s="8"/>
      <c r="O155" s="40"/>
      <c r="P155" s="8"/>
      <c r="Q155" s="40"/>
      <c r="Z155" s="8"/>
      <c r="AA155" s="8"/>
      <c r="AB155" s="40"/>
      <c r="AC155" s="8"/>
      <c r="AD155" s="40"/>
    </row>
    <row r="156" spans="13:30">
      <c r="M156" s="8"/>
      <c r="N156" s="8"/>
      <c r="O156" s="40"/>
      <c r="P156" s="8"/>
      <c r="Q156" s="40"/>
      <c r="Z156" s="8"/>
      <c r="AA156" s="8"/>
      <c r="AB156" s="40"/>
      <c r="AC156" s="8"/>
      <c r="AD156" s="40"/>
    </row>
    <row r="157" spans="13:30">
      <c r="M157" s="8"/>
      <c r="N157" s="8"/>
      <c r="O157" s="40"/>
      <c r="P157" s="8"/>
      <c r="Q157" s="40"/>
      <c r="Z157" s="8"/>
      <c r="AA157" s="8"/>
      <c r="AB157" s="40"/>
      <c r="AC157" s="8"/>
      <c r="AD157" s="40"/>
    </row>
    <row r="158" spans="13:30">
      <c r="M158" s="8"/>
      <c r="N158" s="8"/>
      <c r="O158" s="40"/>
      <c r="P158" s="8"/>
      <c r="Q158" s="40"/>
      <c r="Z158" s="8"/>
      <c r="AA158" s="8"/>
      <c r="AB158" s="40"/>
      <c r="AC158" s="8"/>
      <c r="AD158" s="40"/>
    </row>
    <row r="159" spans="13:30">
      <c r="M159" s="8"/>
      <c r="N159" s="8"/>
      <c r="O159" s="40"/>
      <c r="P159" s="8"/>
      <c r="Q159" s="40"/>
      <c r="Z159" s="8"/>
      <c r="AA159" s="8"/>
      <c r="AB159" s="40"/>
      <c r="AC159" s="8"/>
      <c r="AD159" s="40"/>
    </row>
    <row r="160" spans="13:30">
      <c r="M160" s="8"/>
      <c r="N160" s="8"/>
      <c r="O160" s="40"/>
      <c r="P160" s="8"/>
      <c r="Q160" s="40"/>
      <c r="Z160" s="8"/>
      <c r="AA160" s="8"/>
      <c r="AB160" s="40"/>
      <c r="AC160" s="8"/>
      <c r="AD160" s="40"/>
    </row>
    <row r="161" spans="13:30">
      <c r="M161" s="8"/>
      <c r="N161" s="8"/>
      <c r="O161" s="40"/>
      <c r="P161" s="8"/>
      <c r="Q161" s="40"/>
      <c r="Z161" s="8"/>
      <c r="AA161" s="8"/>
      <c r="AB161" s="40"/>
      <c r="AC161" s="8"/>
      <c r="AD161" s="40"/>
    </row>
    <row r="162" spans="13:30">
      <c r="M162" s="8"/>
      <c r="N162" s="8"/>
      <c r="O162" s="40"/>
      <c r="P162" s="8"/>
      <c r="Q162" s="40"/>
      <c r="Z162" s="8"/>
      <c r="AA162" s="8"/>
      <c r="AB162" s="40"/>
      <c r="AC162" s="8"/>
      <c r="AD162" s="40"/>
    </row>
    <row r="163" spans="13:30">
      <c r="M163" s="8"/>
      <c r="N163" s="8"/>
      <c r="O163" s="40"/>
      <c r="P163" s="8"/>
      <c r="Q163" s="40"/>
      <c r="Z163" s="8"/>
      <c r="AA163" s="8"/>
      <c r="AB163" s="40"/>
      <c r="AC163" s="8"/>
      <c r="AD163" s="40"/>
    </row>
    <row r="164" spans="13:30">
      <c r="M164" s="8"/>
      <c r="N164" s="8"/>
      <c r="O164" s="40"/>
      <c r="P164" s="8"/>
      <c r="Q164" s="40"/>
      <c r="Z164" s="8"/>
      <c r="AA164" s="8"/>
      <c r="AB164" s="40"/>
      <c r="AC164" s="8"/>
      <c r="AD164" s="40"/>
    </row>
    <row r="165" spans="13:30">
      <c r="M165" s="8"/>
      <c r="N165" s="8"/>
      <c r="O165" s="40"/>
      <c r="P165" s="8"/>
      <c r="Q165" s="40"/>
      <c r="Z165" s="8"/>
      <c r="AA165" s="8"/>
      <c r="AB165" s="40"/>
      <c r="AC165" s="8"/>
      <c r="AD165" s="40"/>
    </row>
    <row r="166" spans="13:30">
      <c r="M166" s="8"/>
      <c r="N166" s="8"/>
      <c r="O166" s="40"/>
      <c r="P166" s="8"/>
      <c r="Q166" s="40"/>
      <c r="Z166" s="8"/>
      <c r="AA166" s="8"/>
      <c r="AB166" s="40"/>
      <c r="AC166" s="8"/>
      <c r="AD166" s="40"/>
    </row>
    <row r="167" spans="13:30">
      <c r="M167" s="8"/>
      <c r="N167" s="8"/>
      <c r="O167" s="40"/>
      <c r="P167" s="8"/>
      <c r="Q167" s="40"/>
      <c r="Z167" s="8"/>
      <c r="AA167" s="8"/>
      <c r="AB167" s="40"/>
      <c r="AC167" s="8"/>
      <c r="AD167" s="40"/>
    </row>
    <row r="168" spans="13:30">
      <c r="M168" s="8"/>
      <c r="N168" s="8"/>
      <c r="O168" s="40"/>
      <c r="P168" s="8"/>
      <c r="Q168" s="40"/>
      <c r="Z168" s="8"/>
      <c r="AA168" s="8"/>
      <c r="AB168" s="40"/>
      <c r="AC168" s="8"/>
      <c r="AD168" s="40"/>
    </row>
    <row r="169" spans="13:30">
      <c r="M169" s="8"/>
      <c r="N169" s="8"/>
      <c r="O169" s="40"/>
      <c r="P169" s="8"/>
      <c r="Q169" s="40"/>
      <c r="Z169" s="8"/>
      <c r="AA169" s="8"/>
      <c r="AB169" s="40"/>
      <c r="AC169" s="8"/>
      <c r="AD169" s="40"/>
    </row>
    <row r="170" spans="13:30">
      <c r="M170" s="8"/>
      <c r="N170" s="8"/>
      <c r="O170" s="40"/>
      <c r="P170" s="8"/>
      <c r="Q170" s="40"/>
      <c r="Z170" s="8"/>
      <c r="AA170" s="8"/>
      <c r="AB170" s="40"/>
      <c r="AC170" s="8"/>
      <c r="AD170" s="40"/>
    </row>
    <row r="171" spans="13:30">
      <c r="M171" s="8"/>
      <c r="N171" s="8"/>
      <c r="O171" s="40"/>
      <c r="P171" s="8"/>
      <c r="Q171" s="40"/>
      <c r="Z171" s="8"/>
      <c r="AA171" s="8"/>
      <c r="AB171" s="40"/>
      <c r="AC171" s="8"/>
      <c r="AD171" s="40"/>
    </row>
    <row r="172" spans="13:30">
      <c r="M172" s="8"/>
      <c r="N172" s="8"/>
      <c r="O172" s="40"/>
      <c r="P172" s="8"/>
      <c r="Q172" s="40"/>
      <c r="Z172" s="8"/>
      <c r="AA172" s="8"/>
      <c r="AB172" s="40"/>
      <c r="AC172" s="8"/>
      <c r="AD172" s="40"/>
    </row>
    <row r="173" spans="13:30">
      <c r="M173" s="8"/>
      <c r="N173" s="8"/>
      <c r="O173" s="40"/>
      <c r="P173" s="8"/>
      <c r="Q173" s="40"/>
      <c r="Z173" s="8"/>
      <c r="AA173" s="8"/>
      <c r="AB173" s="40"/>
      <c r="AC173" s="8"/>
      <c r="AD173" s="40"/>
    </row>
    <row r="174" spans="13:30">
      <c r="M174" s="8"/>
      <c r="N174" s="8"/>
      <c r="O174" s="40"/>
      <c r="P174" s="8"/>
      <c r="Q174" s="40"/>
      <c r="Z174" s="8"/>
      <c r="AA174" s="8"/>
      <c r="AB174" s="40"/>
      <c r="AC174" s="8"/>
      <c r="AD174" s="40"/>
    </row>
    <row r="175" spans="13:30">
      <c r="M175" s="8"/>
      <c r="N175" s="8"/>
      <c r="O175" s="40"/>
      <c r="P175" s="8"/>
      <c r="Q175" s="40"/>
      <c r="Z175" s="8"/>
      <c r="AA175" s="8"/>
      <c r="AB175" s="40"/>
      <c r="AC175" s="8"/>
      <c r="AD175" s="40"/>
    </row>
    <row r="176" spans="13:30">
      <c r="M176" s="8"/>
      <c r="N176" s="8"/>
      <c r="O176" s="40"/>
      <c r="P176" s="8"/>
      <c r="Q176" s="40"/>
      <c r="Z176" s="8"/>
      <c r="AA176" s="8"/>
      <c r="AB176" s="40"/>
      <c r="AC176" s="8"/>
      <c r="AD176" s="40"/>
    </row>
    <row r="177" spans="13:30">
      <c r="M177" s="8"/>
      <c r="N177" s="8"/>
      <c r="O177" s="40"/>
      <c r="P177" s="8"/>
      <c r="Q177" s="40"/>
      <c r="Z177" s="8"/>
      <c r="AA177" s="8"/>
      <c r="AB177" s="40"/>
      <c r="AC177" s="8"/>
      <c r="AD177" s="40"/>
    </row>
    <row r="178" spans="13:30">
      <c r="M178" s="8"/>
      <c r="N178" s="8"/>
      <c r="O178" s="40"/>
      <c r="P178" s="8"/>
      <c r="Q178" s="40"/>
      <c r="Z178" s="8"/>
      <c r="AA178" s="8"/>
      <c r="AB178" s="40"/>
      <c r="AC178" s="8"/>
      <c r="AD178" s="40"/>
    </row>
    <row r="179" spans="13:30">
      <c r="M179" s="8"/>
      <c r="N179" s="8"/>
      <c r="O179" s="40"/>
      <c r="P179" s="8"/>
      <c r="Q179" s="40"/>
      <c r="Z179" s="8"/>
      <c r="AA179" s="8"/>
      <c r="AB179" s="40"/>
      <c r="AC179" s="8"/>
      <c r="AD179" s="40"/>
    </row>
    <row r="180" spans="13:30">
      <c r="M180" s="8"/>
      <c r="N180" s="8"/>
      <c r="O180" s="40"/>
      <c r="P180" s="8"/>
      <c r="Q180" s="40"/>
      <c r="Z180" s="8"/>
      <c r="AA180" s="8"/>
      <c r="AB180" s="40"/>
      <c r="AC180" s="8"/>
      <c r="AD180" s="40"/>
    </row>
    <row r="181" spans="13:30">
      <c r="M181" s="8"/>
      <c r="N181" s="8"/>
      <c r="O181" s="40"/>
      <c r="P181" s="8"/>
      <c r="Q181" s="40"/>
      <c r="Z181" s="8"/>
      <c r="AA181" s="8"/>
      <c r="AB181" s="40"/>
      <c r="AC181" s="8"/>
      <c r="AD181" s="40"/>
    </row>
    <row r="182" spans="13:30">
      <c r="M182" s="8"/>
      <c r="N182" s="8"/>
      <c r="O182" s="40"/>
      <c r="P182" s="8"/>
      <c r="Q182" s="40"/>
      <c r="Z182" s="8"/>
      <c r="AA182" s="8"/>
      <c r="AB182" s="40"/>
      <c r="AC182" s="8"/>
      <c r="AD182" s="40"/>
    </row>
    <row r="183" spans="13:30">
      <c r="M183" s="8"/>
      <c r="N183" s="8"/>
      <c r="O183" s="40"/>
      <c r="P183" s="8"/>
      <c r="Q183" s="40"/>
      <c r="Z183" s="8"/>
      <c r="AA183" s="8"/>
      <c r="AB183" s="40"/>
      <c r="AC183" s="8"/>
      <c r="AD183" s="40"/>
    </row>
    <row r="184" spans="13:30">
      <c r="M184" s="8"/>
      <c r="N184" s="8"/>
      <c r="O184" s="40"/>
      <c r="P184" s="8"/>
      <c r="Q184" s="40"/>
      <c r="Z184" s="8"/>
      <c r="AA184" s="8"/>
      <c r="AB184" s="40"/>
      <c r="AC184" s="8"/>
      <c r="AD184" s="40"/>
    </row>
    <row r="185" spans="13:30">
      <c r="M185" s="8"/>
      <c r="N185" s="8"/>
      <c r="O185" s="40"/>
      <c r="P185" s="8"/>
      <c r="Q185" s="40"/>
      <c r="Z185" s="8"/>
      <c r="AA185" s="8"/>
      <c r="AB185" s="40"/>
      <c r="AC185" s="8"/>
      <c r="AD185" s="40"/>
    </row>
    <row r="186" spans="13:30">
      <c r="M186" s="8"/>
      <c r="N186" s="8"/>
      <c r="O186" s="40"/>
      <c r="P186" s="8"/>
      <c r="Q186" s="40"/>
      <c r="Z186" s="8"/>
      <c r="AA186" s="8"/>
      <c r="AB186" s="40"/>
      <c r="AC186" s="8"/>
      <c r="AD186" s="40"/>
    </row>
    <row r="187" spans="13:30">
      <c r="M187" s="8"/>
      <c r="N187" s="8"/>
      <c r="O187" s="40"/>
      <c r="P187" s="8"/>
      <c r="Q187" s="40"/>
      <c r="Z187" s="8"/>
      <c r="AA187" s="8"/>
      <c r="AB187" s="40"/>
      <c r="AC187" s="8"/>
      <c r="AD187" s="40"/>
    </row>
    <row r="188" spans="13:30">
      <c r="M188" s="8"/>
      <c r="N188" s="8"/>
      <c r="O188" s="40"/>
      <c r="P188" s="8"/>
      <c r="Q188" s="40"/>
      <c r="Z188" s="8"/>
      <c r="AA188" s="8"/>
      <c r="AB188" s="40"/>
      <c r="AC188" s="8"/>
      <c r="AD188" s="40"/>
    </row>
    <row r="189" spans="13:30">
      <c r="M189" s="8"/>
      <c r="N189" s="8"/>
      <c r="O189" s="40"/>
      <c r="P189" s="8"/>
      <c r="Q189" s="40"/>
      <c r="Z189" s="8"/>
      <c r="AA189" s="8"/>
      <c r="AB189" s="40"/>
      <c r="AC189" s="8"/>
      <c r="AD189" s="40"/>
    </row>
    <row r="190" spans="13:30">
      <c r="M190" s="8"/>
      <c r="N190" s="8"/>
      <c r="O190" s="40"/>
      <c r="P190" s="8"/>
      <c r="Q190" s="40"/>
      <c r="Z190" s="8"/>
      <c r="AA190" s="8"/>
      <c r="AB190" s="40"/>
      <c r="AC190" s="8"/>
      <c r="AD190" s="40"/>
    </row>
    <row r="191" spans="13:30">
      <c r="M191" s="8"/>
      <c r="N191" s="8"/>
      <c r="O191" s="40"/>
      <c r="P191" s="8"/>
      <c r="Q191" s="40"/>
      <c r="Z191" s="8"/>
      <c r="AA191" s="8"/>
      <c r="AB191" s="40"/>
      <c r="AC191" s="8"/>
      <c r="AD191" s="40"/>
    </row>
    <row r="192" spans="13:30">
      <c r="M192" s="8"/>
      <c r="N192" s="8"/>
      <c r="O192" s="40"/>
      <c r="P192" s="8"/>
      <c r="Q192" s="40"/>
      <c r="Z192" s="8"/>
      <c r="AA192" s="8"/>
      <c r="AB192" s="40"/>
      <c r="AC192" s="8"/>
      <c r="AD192" s="40"/>
    </row>
    <row r="193" spans="13:30">
      <c r="M193" s="8"/>
      <c r="N193" s="8"/>
      <c r="O193" s="40"/>
      <c r="P193" s="8"/>
      <c r="Q193" s="40"/>
      <c r="Z193" s="8"/>
      <c r="AA193" s="8"/>
      <c r="AB193" s="40"/>
      <c r="AC193" s="8"/>
      <c r="AD193" s="40"/>
    </row>
    <row r="194" spans="13:30">
      <c r="M194" s="8"/>
      <c r="N194" s="8"/>
      <c r="O194" s="40"/>
      <c r="P194" s="8"/>
      <c r="Q194" s="40"/>
      <c r="Z194" s="8"/>
      <c r="AA194" s="8"/>
      <c r="AB194" s="40"/>
      <c r="AC194" s="8"/>
      <c r="AD194" s="40"/>
    </row>
    <row r="195" spans="13:30">
      <c r="M195" s="8"/>
      <c r="N195" s="8"/>
      <c r="O195" s="40"/>
      <c r="P195" s="8"/>
      <c r="Q195" s="40"/>
      <c r="Z195" s="8"/>
      <c r="AA195" s="8"/>
      <c r="AB195" s="40"/>
      <c r="AC195" s="8"/>
      <c r="AD195" s="40"/>
    </row>
    <row r="196" spans="13:30">
      <c r="M196" s="8"/>
      <c r="N196" s="8"/>
      <c r="O196" s="40"/>
      <c r="P196" s="8"/>
      <c r="Q196" s="40"/>
      <c r="Z196" s="8"/>
      <c r="AA196" s="8"/>
      <c r="AB196" s="40"/>
      <c r="AC196" s="8"/>
      <c r="AD196" s="40"/>
    </row>
    <row r="197" spans="13:30">
      <c r="M197" s="8"/>
      <c r="N197" s="8"/>
      <c r="O197" s="40"/>
      <c r="P197" s="8"/>
      <c r="Q197" s="40"/>
      <c r="Z197" s="8"/>
      <c r="AA197" s="8"/>
      <c r="AB197" s="40"/>
      <c r="AC197" s="8"/>
      <c r="AD197" s="40"/>
    </row>
    <row r="198" spans="13:30">
      <c r="M198" s="8"/>
      <c r="N198" s="8"/>
      <c r="O198" s="40"/>
      <c r="P198" s="8"/>
      <c r="Q198" s="40"/>
      <c r="Z198" s="8"/>
      <c r="AA198" s="8"/>
      <c r="AB198" s="40"/>
      <c r="AC198" s="8"/>
      <c r="AD198" s="40"/>
    </row>
    <row r="199" spans="13:30">
      <c r="M199" s="8"/>
      <c r="N199" s="8"/>
      <c r="O199" s="40"/>
      <c r="P199" s="8"/>
      <c r="Q199" s="40"/>
      <c r="Z199" s="8"/>
      <c r="AA199" s="8"/>
      <c r="AB199" s="40"/>
      <c r="AC199" s="8"/>
      <c r="AD199" s="40"/>
    </row>
    <row r="200" spans="13:30">
      <c r="M200" s="8"/>
      <c r="N200" s="8"/>
      <c r="O200" s="40"/>
      <c r="P200" s="8"/>
      <c r="Q200" s="40"/>
      <c r="Z200" s="8"/>
      <c r="AA200" s="8"/>
      <c r="AB200" s="40"/>
      <c r="AC200" s="8"/>
      <c r="AD200" s="40"/>
    </row>
    <row r="201" spans="13:30">
      <c r="M201" s="8"/>
      <c r="N201" s="8"/>
      <c r="O201" s="40"/>
      <c r="P201" s="8"/>
      <c r="Q201" s="40"/>
      <c r="Z201" s="8"/>
      <c r="AA201" s="8"/>
      <c r="AB201" s="40"/>
      <c r="AC201" s="8"/>
      <c r="AD201" s="40"/>
    </row>
    <row r="202" spans="13:30">
      <c r="M202" s="8"/>
      <c r="N202" s="8"/>
      <c r="O202" s="40"/>
      <c r="P202" s="8"/>
      <c r="Q202" s="40"/>
      <c r="Z202" s="8"/>
      <c r="AA202" s="8"/>
      <c r="AB202" s="40"/>
      <c r="AC202" s="8"/>
      <c r="AD202" s="40"/>
    </row>
    <row r="203" spans="13:30">
      <c r="M203" s="8"/>
      <c r="N203" s="8"/>
      <c r="O203" s="40"/>
      <c r="P203" s="8"/>
      <c r="Q203" s="40"/>
      <c r="Z203" s="8"/>
      <c r="AA203" s="8"/>
      <c r="AB203" s="40"/>
      <c r="AC203" s="8"/>
      <c r="AD203" s="40"/>
    </row>
    <row r="204" spans="13:30">
      <c r="M204" s="8"/>
      <c r="N204" s="8"/>
      <c r="O204" s="40"/>
      <c r="P204" s="8"/>
      <c r="Q204" s="40"/>
      <c r="Z204" s="8"/>
      <c r="AA204" s="8"/>
      <c r="AB204" s="40"/>
      <c r="AC204" s="8"/>
      <c r="AD204" s="40"/>
    </row>
    <row r="205" spans="13:30">
      <c r="M205" s="8"/>
      <c r="N205" s="8"/>
      <c r="O205" s="40"/>
      <c r="P205" s="8"/>
      <c r="Q205" s="40"/>
      <c r="Z205" s="8"/>
      <c r="AA205" s="8"/>
      <c r="AB205" s="40"/>
      <c r="AC205" s="8"/>
      <c r="AD205" s="40"/>
    </row>
    <row r="206" spans="13:30">
      <c r="M206" s="8"/>
      <c r="N206" s="8"/>
      <c r="O206" s="40"/>
      <c r="P206" s="8"/>
      <c r="Q206" s="40"/>
      <c r="Z206" s="8"/>
      <c r="AA206" s="8"/>
      <c r="AB206" s="40"/>
      <c r="AC206" s="8"/>
      <c r="AD206" s="40"/>
    </row>
    <row r="207" spans="13:30">
      <c r="M207" s="8"/>
      <c r="N207" s="8"/>
      <c r="O207" s="40"/>
      <c r="P207" s="8"/>
      <c r="Q207" s="40"/>
      <c r="Z207" s="8"/>
      <c r="AA207" s="8"/>
      <c r="AB207" s="40"/>
      <c r="AC207" s="8"/>
      <c r="AD207" s="40"/>
    </row>
    <row r="208" spans="13:30">
      <c r="M208" s="8"/>
      <c r="N208" s="8"/>
      <c r="O208" s="40"/>
      <c r="P208" s="8"/>
      <c r="Q208" s="40"/>
      <c r="Z208" s="8"/>
      <c r="AA208" s="8"/>
      <c r="AB208" s="40"/>
      <c r="AC208" s="8"/>
      <c r="AD208" s="40"/>
    </row>
    <row r="209" spans="13:30">
      <c r="M209" s="8"/>
      <c r="N209" s="8"/>
      <c r="O209" s="40"/>
      <c r="P209" s="8"/>
      <c r="Q209" s="40"/>
      <c r="Z209" s="8"/>
      <c r="AA209" s="8"/>
      <c r="AB209" s="40"/>
      <c r="AC209" s="8"/>
      <c r="AD209" s="40"/>
    </row>
    <row r="210" spans="13:30">
      <c r="M210" s="8"/>
      <c r="N210" s="8"/>
      <c r="O210" s="40"/>
      <c r="P210" s="8"/>
      <c r="Q210" s="40"/>
      <c r="Z210" s="8"/>
      <c r="AA210" s="8"/>
      <c r="AB210" s="40"/>
      <c r="AC210" s="8"/>
      <c r="AD210" s="40"/>
    </row>
    <row r="211" spans="13:30">
      <c r="M211" s="8"/>
      <c r="N211" s="8"/>
      <c r="O211" s="40"/>
      <c r="P211" s="8"/>
      <c r="Q211" s="40"/>
      <c r="Z211" s="8"/>
      <c r="AA211" s="8"/>
      <c r="AB211" s="40"/>
      <c r="AC211" s="8"/>
      <c r="AD211" s="40"/>
    </row>
    <row r="212" spans="13:30">
      <c r="M212" s="8"/>
      <c r="N212" s="8"/>
      <c r="O212" s="40"/>
      <c r="P212" s="8"/>
      <c r="Q212" s="40"/>
      <c r="Z212" s="8"/>
      <c r="AA212" s="8"/>
      <c r="AB212" s="40"/>
      <c r="AC212" s="8"/>
      <c r="AD212" s="40"/>
    </row>
    <row r="213" spans="13:30">
      <c r="M213" s="8"/>
      <c r="N213" s="8"/>
      <c r="O213" s="40"/>
      <c r="P213" s="8"/>
      <c r="Q213" s="40"/>
      <c r="Z213" s="8"/>
      <c r="AA213" s="8"/>
      <c r="AB213" s="40"/>
      <c r="AC213" s="8"/>
      <c r="AD213" s="40"/>
    </row>
    <row r="214" spans="13:30">
      <c r="M214" s="8"/>
      <c r="N214" s="8"/>
      <c r="O214" s="40"/>
      <c r="P214" s="8"/>
      <c r="Q214" s="40"/>
      <c r="Z214" s="8"/>
      <c r="AA214" s="8"/>
      <c r="AB214" s="40"/>
      <c r="AC214" s="8"/>
      <c r="AD214" s="40"/>
    </row>
    <row r="215" spans="13:30">
      <c r="M215" s="8"/>
      <c r="N215" s="8"/>
      <c r="O215" s="40"/>
      <c r="P215" s="8"/>
      <c r="Q215" s="40"/>
      <c r="Z215" s="8"/>
      <c r="AA215" s="8"/>
      <c r="AB215" s="40"/>
      <c r="AC215" s="8"/>
      <c r="AD215" s="40"/>
    </row>
    <row r="216" spans="13:30">
      <c r="M216" s="8"/>
      <c r="N216" s="8"/>
      <c r="O216" s="40"/>
      <c r="P216" s="8"/>
      <c r="Q216" s="40"/>
      <c r="Z216" s="8"/>
      <c r="AA216" s="8"/>
      <c r="AB216" s="40"/>
      <c r="AC216" s="8"/>
      <c r="AD216" s="40"/>
    </row>
    <row r="217" spans="13:30">
      <c r="M217" s="8"/>
      <c r="N217" s="8"/>
      <c r="O217" s="40"/>
      <c r="P217" s="8"/>
      <c r="Q217" s="40"/>
      <c r="Z217" s="8"/>
      <c r="AA217" s="8"/>
      <c r="AB217" s="40"/>
      <c r="AC217" s="8"/>
      <c r="AD217" s="40"/>
    </row>
    <row r="218" spans="13:30">
      <c r="M218" s="8"/>
      <c r="N218" s="8"/>
      <c r="O218" s="40"/>
      <c r="P218" s="8"/>
      <c r="Q218" s="40"/>
      <c r="Z218" s="8"/>
      <c r="AA218" s="8"/>
      <c r="AB218" s="40"/>
      <c r="AC218" s="8"/>
      <c r="AD218" s="40"/>
    </row>
    <row r="219" spans="13:30">
      <c r="M219" s="8"/>
      <c r="N219" s="8"/>
      <c r="O219" s="40"/>
      <c r="P219" s="8"/>
      <c r="Q219" s="40"/>
      <c r="Z219" s="8"/>
      <c r="AA219" s="8"/>
      <c r="AB219" s="40"/>
      <c r="AC219" s="8"/>
      <c r="AD219" s="40"/>
    </row>
    <row r="220" spans="13:30">
      <c r="M220" s="8"/>
      <c r="N220" s="8"/>
      <c r="O220" s="40"/>
      <c r="P220" s="8"/>
      <c r="Q220" s="40"/>
      <c r="Z220" s="8"/>
      <c r="AA220" s="8"/>
      <c r="AB220" s="40"/>
      <c r="AC220" s="8"/>
      <c r="AD220" s="40"/>
    </row>
    <row r="221" spans="13:30">
      <c r="M221" s="8"/>
      <c r="N221" s="8"/>
      <c r="O221" s="40"/>
      <c r="P221" s="8"/>
      <c r="Q221" s="40"/>
      <c r="Z221" s="8"/>
      <c r="AA221" s="8"/>
      <c r="AB221" s="40"/>
      <c r="AC221" s="8"/>
      <c r="AD221" s="40"/>
    </row>
    <row r="222" spans="13:30">
      <c r="M222" s="8"/>
      <c r="N222" s="8"/>
      <c r="O222" s="40"/>
      <c r="P222" s="8"/>
      <c r="Q222" s="40"/>
      <c r="Z222" s="8"/>
      <c r="AA222" s="8"/>
      <c r="AB222" s="40"/>
      <c r="AC222" s="8"/>
      <c r="AD222" s="40"/>
    </row>
    <row r="223" spans="13:30">
      <c r="M223" s="8"/>
      <c r="N223" s="8"/>
      <c r="O223" s="40"/>
      <c r="P223" s="8"/>
      <c r="Q223" s="40"/>
      <c r="Z223" s="8"/>
      <c r="AA223" s="8"/>
      <c r="AB223" s="40"/>
      <c r="AC223" s="8"/>
      <c r="AD223" s="40"/>
    </row>
    <row r="224" spans="13:30">
      <c r="M224" s="8"/>
      <c r="N224" s="8"/>
      <c r="O224" s="40"/>
      <c r="P224" s="8"/>
      <c r="Q224" s="40"/>
      <c r="Z224" s="8"/>
      <c r="AA224" s="8"/>
      <c r="AB224" s="40"/>
      <c r="AC224" s="8"/>
      <c r="AD224" s="40"/>
    </row>
    <row r="225" spans="13:30">
      <c r="M225" s="8"/>
      <c r="N225" s="8"/>
      <c r="O225" s="40"/>
      <c r="P225" s="8"/>
      <c r="Q225" s="40"/>
      <c r="Z225" s="8"/>
      <c r="AA225" s="8"/>
      <c r="AB225" s="40"/>
      <c r="AC225" s="8"/>
      <c r="AD225" s="40"/>
    </row>
    <row r="226" spans="13:30">
      <c r="M226" s="8"/>
      <c r="N226" s="8"/>
      <c r="O226" s="40"/>
      <c r="P226" s="8"/>
      <c r="Q226" s="40"/>
      <c r="Z226" s="8"/>
      <c r="AA226" s="8"/>
      <c r="AB226" s="40"/>
      <c r="AC226" s="8"/>
      <c r="AD226" s="40"/>
    </row>
    <row r="227" spans="13:30">
      <c r="M227" s="8"/>
      <c r="N227" s="8"/>
      <c r="O227" s="40"/>
      <c r="P227" s="8"/>
      <c r="Q227" s="40"/>
      <c r="Z227" s="8"/>
      <c r="AA227" s="8"/>
      <c r="AB227" s="40"/>
      <c r="AC227" s="8"/>
      <c r="AD227" s="40"/>
    </row>
    <row r="228" spans="13:30">
      <c r="M228" s="8"/>
      <c r="N228" s="8"/>
      <c r="O228" s="40"/>
      <c r="P228" s="8"/>
      <c r="Q228" s="40"/>
      <c r="Z228" s="8"/>
      <c r="AA228" s="8"/>
      <c r="AB228" s="40"/>
      <c r="AC228" s="8"/>
      <c r="AD228" s="40"/>
    </row>
    <row r="229" spans="13:30">
      <c r="M229" s="8"/>
      <c r="N229" s="8"/>
      <c r="O229" s="40"/>
      <c r="P229" s="8"/>
      <c r="Q229" s="40"/>
      <c r="Z229" s="8"/>
      <c r="AA229" s="8"/>
      <c r="AB229" s="40"/>
      <c r="AC229" s="8"/>
      <c r="AD229" s="40"/>
    </row>
    <row r="230" spans="13:30">
      <c r="M230" s="8"/>
      <c r="N230" s="8"/>
      <c r="O230" s="40"/>
      <c r="P230" s="8"/>
      <c r="Q230" s="40"/>
      <c r="Z230" s="8"/>
      <c r="AA230" s="8"/>
      <c r="AB230" s="40"/>
      <c r="AC230" s="8"/>
      <c r="AD230" s="40"/>
    </row>
    <row r="231" spans="13:30">
      <c r="M231" s="8"/>
      <c r="N231" s="8"/>
      <c r="O231" s="40"/>
      <c r="P231" s="8"/>
      <c r="Q231" s="40"/>
      <c r="Z231" s="8"/>
      <c r="AA231" s="8"/>
      <c r="AB231" s="40"/>
      <c r="AC231" s="8"/>
      <c r="AD231" s="40"/>
    </row>
    <row r="232" spans="13:30">
      <c r="M232" s="8"/>
      <c r="N232" s="8"/>
      <c r="O232" s="40"/>
      <c r="P232" s="8"/>
      <c r="Q232" s="40"/>
      <c r="Z232" s="8"/>
      <c r="AA232" s="8"/>
      <c r="AB232" s="40"/>
      <c r="AC232" s="8"/>
      <c r="AD232" s="40"/>
    </row>
    <row r="233" spans="13:30">
      <c r="M233" s="8"/>
      <c r="N233" s="8"/>
      <c r="O233" s="40"/>
      <c r="P233" s="8"/>
      <c r="Q233" s="40"/>
      <c r="Z233" s="8"/>
      <c r="AA233" s="8"/>
      <c r="AB233" s="40"/>
      <c r="AC233" s="8"/>
      <c r="AD233" s="40"/>
    </row>
    <row r="234" spans="13:30">
      <c r="M234" s="8"/>
      <c r="N234" s="8"/>
      <c r="O234" s="40"/>
      <c r="P234" s="8"/>
      <c r="Q234" s="40"/>
      <c r="Z234" s="8"/>
      <c r="AA234" s="8"/>
      <c r="AB234" s="40"/>
      <c r="AC234" s="8"/>
      <c r="AD234" s="40"/>
    </row>
    <row r="235" spans="13:30">
      <c r="M235" s="8"/>
      <c r="N235" s="8"/>
      <c r="O235" s="40"/>
      <c r="P235" s="8"/>
      <c r="Q235" s="40"/>
      <c r="Z235" s="8"/>
      <c r="AA235" s="8"/>
      <c r="AB235" s="40"/>
      <c r="AC235" s="8"/>
      <c r="AD235" s="40"/>
    </row>
    <row r="236" spans="13:30">
      <c r="M236" s="8"/>
      <c r="N236" s="8"/>
      <c r="O236" s="40"/>
      <c r="P236" s="8"/>
      <c r="Q236" s="40"/>
      <c r="Z236" s="8"/>
      <c r="AA236" s="8"/>
      <c r="AB236" s="40"/>
      <c r="AC236" s="8"/>
      <c r="AD236" s="40"/>
    </row>
    <row r="237" spans="13:30">
      <c r="M237" s="8"/>
      <c r="N237" s="8"/>
      <c r="O237" s="40"/>
      <c r="P237" s="8"/>
      <c r="Q237" s="40"/>
      <c r="Z237" s="8"/>
      <c r="AA237" s="8"/>
      <c r="AB237" s="40"/>
      <c r="AC237" s="8"/>
      <c r="AD237" s="40"/>
    </row>
    <row r="238" spans="13:30">
      <c r="M238" s="8"/>
      <c r="N238" s="8"/>
      <c r="O238" s="40"/>
      <c r="P238" s="8"/>
      <c r="Q238" s="40"/>
      <c r="Z238" s="8"/>
      <c r="AA238" s="8"/>
      <c r="AB238" s="40"/>
      <c r="AC238" s="8"/>
      <c r="AD238" s="40"/>
    </row>
    <row r="239" spans="13:30">
      <c r="M239" s="8"/>
      <c r="N239" s="8"/>
      <c r="O239" s="40"/>
      <c r="P239" s="8"/>
      <c r="Q239" s="40"/>
      <c r="Z239" s="8"/>
      <c r="AA239" s="8"/>
      <c r="AB239" s="40"/>
      <c r="AC239" s="8"/>
      <c r="AD239" s="40"/>
    </row>
    <row r="240" spans="13:30">
      <c r="M240" s="8"/>
      <c r="N240" s="8"/>
      <c r="O240" s="40"/>
      <c r="P240" s="8"/>
      <c r="Q240" s="40"/>
      <c r="Z240" s="8"/>
      <c r="AA240" s="8"/>
      <c r="AB240" s="40"/>
      <c r="AC240" s="8"/>
      <c r="AD240" s="40"/>
    </row>
    <row r="241" spans="13:30">
      <c r="M241" s="8"/>
      <c r="N241" s="8"/>
      <c r="O241" s="40"/>
      <c r="P241" s="8"/>
      <c r="Q241" s="40"/>
      <c r="Z241" s="8"/>
      <c r="AA241" s="8"/>
      <c r="AB241" s="40"/>
      <c r="AC241" s="8"/>
      <c r="AD241" s="40"/>
    </row>
    <row r="242" spans="13:30">
      <c r="M242" s="8"/>
      <c r="N242" s="8"/>
      <c r="O242" s="40"/>
      <c r="P242" s="8"/>
      <c r="Q242" s="40"/>
      <c r="Z242" s="8"/>
      <c r="AA242" s="8"/>
      <c r="AB242" s="40"/>
      <c r="AC242" s="8"/>
      <c r="AD242" s="40"/>
    </row>
    <row r="243" spans="13:30">
      <c r="M243" s="8"/>
      <c r="N243" s="8"/>
      <c r="O243" s="40"/>
      <c r="P243" s="8"/>
      <c r="Q243" s="40"/>
      <c r="Z243" s="8"/>
      <c r="AA243" s="8"/>
      <c r="AB243" s="40"/>
      <c r="AC243" s="8"/>
      <c r="AD243" s="40"/>
    </row>
    <row r="244" spans="13:30">
      <c r="M244" s="8"/>
      <c r="N244" s="8"/>
      <c r="O244" s="40"/>
      <c r="P244" s="8"/>
      <c r="Q244" s="40"/>
      <c r="Z244" s="8"/>
      <c r="AA244" s="8"/>
      <c r="AB244" s="40"/>
      <c r="AC244" s="8"/>
      <c r="AD244" s="40"/>
    </row>
    <row r="245" spans="13:30">
      <c r="M245" s="8"/>
      <c r="N245" s="8"/>
      <c r="O245" s="40"/>
      <c r="P245" s="8"/>
      <c r="Q245" s="40"/>
      <c r="Z245" s="8"/>
      <c r="AA245" s="8"/>
      <c r="AB245" s="40"/>
      <c r="AC245" s="8"/>
      <c r="AD245" s="40"/>
    </row>
    <row r="246" spans="13:30">
      <c r="M246" s="8"/>
      <c r="N246" s="8"/>
      <c r="O246" s="40"/>
      <c r="P246" s="8"/>
      <c r="Q246" s="40"/>
      <c r="Z246" s="8"/>
      <c r="AA246" s="8"/>
      <c r="AB246" s="40"/>
      <c r="AC246" s="8"/>
      <c r="AD246" s="40"/>
    </row>
    <row r="247" spans="13:30">
      <c r="M247" s="8"/>
      <c r="N247" s="8"/>
      <c r="O247" s="40"/>
      <c r="P247" s="8"/>
      <c r="Q247" s="40"/>
      <c r="Z247" s="8"/>
      <c r="AA247" s="8"/>
      <c r="AB247" s="40"/>
      <c r="AC247" s="8"/>
      <c r="AD247" s="40"/>
    </row>
    <row r="248" spans="13:30">
      <c r="M248" s="8"/>
      <c r="N248" s="8"/>
      <c r="O248" s="40"/>
      <c r="P248" s="8"/>
      <c r="Q248" s="40"/>
      <c r="Z248" s="8"/>
      <c r="AA248" s="8"/>
      <c r="AB248" s="40"/>
      <c r="AC248" s="8"/>
      <c r="AD248" s="40"/>
    </row>
    <row r="249" spans="13:30">
      <c r="M249" s="8"/>
      <c r="N249" s="8"/>
      <c r="O249" s="40"/>
      <c r="P249" s="8"/>
      <c r="Q249" s="40"/>
      <c r="Z249" s="8"/>
      <c r="AA249" s="8"/>
      <c r="AB249" s="40"/>
      <c r="AC249" s="8"/>
      <c r="AD249" s="40"/>
    </row>
    <row r="250" spans="13:30">
      <c r="M250" s="8"/>
      <c r="N250" s="8"/>
      <c r="O250" s="40"/>
      <c r="P250" s="8"/>
      <c r="Q250" s="40"/>
      <c r="Z250" s="8"/>
      <c r="AA250" s="8"/>
      <c r="AB250" s="40"/>
      <c r="AC250" s="8"/>
      <c r="AD250" s="40"/>
    </row>
    <row r="251" spans="13:30">
      <c r="M251" s="8"/>
      <c r="N251" s="8"/>
      <c r="O251" s="40"/>
      <c r="P251" s="8"/>
      <c r="Q251" s="40"/>
      <c r="Z251" s="8"/>
      <c r="AA251" s="8"/>
      <c r="AB251" s="40"/>
      <c r="AC251" s="8"/>
      <c r="AD251" s="40"/>
    </row>
    <row r="252" spans="13:30">
      <c r="M252" s="8"/>
      <c r="N252" s="8"/>
      <c r="O252" s="40"/>
      <c r="P252" s="8"/>
      <c r="Q252" s="40"/>
      <c r="Z252" s="8"/>
      <c r="AA252" s="8"/>
      <c r="AB252" s="40"/>
      <c r="AC252" s="8"/>
      <c r="AD252" s="40"/>
    </row>
    <row r="253" spans="13:30">
      <c r="M253" s="8"/>
      <c r="N253" s="8"/>
      <c r="O253" s="40"/>
      <c r="P253" s="8"/>
      <c r="Q253" s="40"/>
      <c r="Z253" s="8"/>
      <c r="AA253" s="8"/>
      <c r="AB253" s="40"/>
      <c r="AC253" s="8"/>
      <c r="AD253" s="40"/>
    </row>
    <row r="254" spans="13:30">
      <c r="M254" s="8"/>
      <c r="N254" s="8"/>
      <c r="O254" s="40"/>
      <c r="P254" s="8"/>
      <c r="Q254" s="40"/>
      <c r="Z254" s="8"/>
      <c r="AA254" s="8"/>
      <c r="AB254" s="40"/>
      <c r="AC254" s="8"/>
      <c r="AD254" s="40"/>
    </row>
    <row r="255" spans="13:30">
      <c r="M255" s="8"/>
      <c r="N255" s="8"/>
      <c r="O255" s="40"/>
      <c r="P255" s="8"/>
      <c r="Q255" s="40"/>
      <c r="Z255" s="8"/>
      <c r="AA255" s="8"/>
      <c r="AB255" s="40"/>
      <c r="AC255" s="8"/>
      <c r="AD255" s="40"/>
    </row>
    <row r="256" spans="13:30">
      <c r="M256" s="8"/>
      <c r="N256" s="8"/>
      <c r="O256" s="40"/>
      <c r="P256" s="8"/>
      <c r="Q256" s="40"/>
      <c r="Z256" s="8"/>
      <c r="AA256" s="8"/>
      <c r="AB256" s="40"/>
      <c r="AC256" s="8"/>
      <c r="AD256" s="40"/>
    </row>
    <row r="257" spans="13:30">
      <c r="M257" s="8"/>
      <c r="N257" s="8"/>
      <c r="O257" s="40"/>
      <c r="P257" s="8"/>
      <c r="Q257" s="40"/>
      <c r="Z257" s="8"/>
      <c r="AA257" s="8"/>
      <c r="AB257" s="40"/>
      <c r="AC257" s="8"/>
      <c r="AD257" s="40"/>
    </row>
    <row r="258" spans="13:30">
      <c r="M258" s="8"/>
      <c r="N258" s="8"/>
      <c r="O258" s="40"/>
      <c r="P258" s="8"/>
      <c r="Q258" s="40"/>
      <c r="Z258" s="8"/>
      <c r="AA258" s="8"/>
      <c r="AB258" s="40"/>
      <c r="AC258" s="8"/>
      <c r="AD258" s="40"/>
    </row>
    <row r="259" spans="13:30">
      <c r="M259" s="8"/>
      <c r="N259" s="8"/>
      <c r="O259" s="40"/>
      <c r="P259" s="8"/>
      <c r="Q259" s="40"/>
      <c r="Z259" s="8"/>
      <c r="AA259" s="8"/>
      <c r="AB259" s="40"/>
      <c r="AC259" s="8"/>
      <c r="AD259" s="40"/>
    </row>
    <row r="260" spans="13:30">
      <c r="M260" s="8"/>
      <c r="N260" s="8"/>
      <c r="O260" s="40"/>
      <c r="P260" s="8"/>
      <c r="Q260" s="40"/>
      <c r="Z260" s="8"/>
      <c r="AA260" s="8"/>
      <c r="AB260" s="40"/>
      <c r="AC260" s="8"/>
      <c r="AD260" s="40"/>
    </row>
    <row r="261" spans="13:30">
      <c r="M261" s="8"/>
      <c r="N261" s="8"/>
      <c r="O261" s="40"/>
      <c r="P261" s="8"/>
      <c r="Q261" s="40"/>
      <c r="Z261" s="8"/>
      <c r="AA261" s="8"/>
      <c r="AB261" s="40"/>
      <c r="AC261" s="8"/>
      <c r="AD261" s="40"/>
    </row>
    <row r="262" spans="13:30">
      <c r="M262" s="8"/>
      <c r="N262" s="8"/>
      <c r="O262" s="40"/>
      <c r="P262" s="8"/>
      <c r="Q262" s="40"/>
      <c r="Z262" s="8"/>
      <c r="AA262" s="8"/>
      <c r="AB262" s="40"/>
      <c r="AC262" s="8"/>
      <c r="AD262" s="40"/>
    </row>
    <row r="263" spans="13:30">
      <c r="M263" s="8"/>
      <c r="N263" s="8"/>
      <c r="O263" s="40"/>
      <c r="P263" s="8"/>
      <c r="Q263" s="40"/>
      <c r="Z263" s="8"/>
      <c r="AA263" s="8"/>
      <c r="AB263" s="40"/>
      <c r="AC263" s="8"/>
      <c r="AD263" s="40"/>
    </row>
    <row r="264" spans="13:30">
      <c r="M264" s="8"/>
      <c r="N264" s="8"/>
      <c r="O264" s="40"/>
      <c r="P264" s="8"/>
      <c r="Q264" s="40"/>
      <c r="Z264" s="8"/>
      <c r="AA264" s="8"/>
      <c r="AB264" s="40"/>
      <c r="AC264" s="8"/>
      <c r="AD264" s="40"/>
    </row>
    <row r="265" spans="13:30">
      <c r="M265" s="8"/>
      <c r="N265" s="8"/>
      <c r="O265" s="40"/>
      <c r="P265" s="8"/>
      <c r="Q265" s="40"/>
      <c r="Z265" s="8"/>
      <c r="AA265" s="8"/>
      <c r="AB265" s="40"/>
      <c r="AC265" s="8"/>
      <c r="AD265" s="40"/>
    </row>
    <row r="266" spans="13:30">
      <c r="M266" s="8"/>
      <c r="N266" s="8"/>
      <c r="O266" s="40"/>
      <c r="P266" s="8"/>
      <c r="Q266" s="40"/>
      <c r="Z266" s="8"/>
      <c r="AA266" s="8"/>
      <c r="AB266" s="40"/>
      <c r="AC266" s="8"/>
      <c r="AD266" s="40"/>
    </row>
    <row r="267" spans="13:30">
      <c r="M267" s="8"/>
      <c r="N267" s="8"/>
      <c r="O267" s="40"/>
      <c r="P267" s="8"/>
      <c r="Q267" s="40"/>
      <c r="Z267" s="8"/>
      <c r="AA267" s="8"/>
      <c r="AB267" s="40"/>
      <c r="AC267" s="8"/>
      <c r="AD267" s="40"/>
    </row>
    <row r="268" spans="13:30">
      <c r="M268" s="8"/>
      <c r="N268" s="8"/>
      <c r="O268" s="40"/>
      <c r="P268" s="8"/>
      <c r="Q268" s="40"/>
      <c r="Z268" s="8"/>
      <c r="AA268" s="8"/>
      <c r="AB268" s="40"/>
      <c r="AC268" s="8"/>
      <c r="AD268" s="40"/>
    </row>
    <row r="269" spans="13:30">
      <c r="M269" s="8"/>
      <c r="N269" s="8"/>
      <c r="O269" s="40"/>
      <c r="P269" s="8"/>
      <c r="Q269" s="40"/>
      <c r="Z269" s="8"/>
      <c r="AA269" s="8"/>
      <c r="AB269" s="40"/>
      <c r="AC269" s="8"/>
      <c r="AD269" s="40"/>
    </row>
    <row r="270" spans="13:30">
      <c r="M270" s="8"/>
      <c r="N270" s="8"/>
      <c r="O270" s="40"/>
      <c r="P270" s="8"/>
      <c r="Q270" s="40"/>
      <c r="Z270" s="8"/>
      <c r="AA270" s="8"/>
      <c r="AB270" s="40"/>
      <c r="AC270" s="8"/>
      <c r="AD270" s="40"/>
    </row>
    <row r="271" spans="13:30">
      <c r="M271" s="8"/>
      <c r="N271" s="8"/>
      <c r="O271" s="40"/>
      <c r="P271" s="8"/>
      <c r="Q271" s="40"/>
      <c r="Z271" s="8"/>
      <c r="AA271" s="8"/>
      <c r="AB271" s="40"/>
      <c r="AC271" s="8"/>
      <c r="AD271" s="40"/>
    </row>
    <row r="272" spans="13:30">
      <c r="M272" s="8"/>
      <c r="N272" s="8"/>
      <c r="O272" s="40"/>
      <c r="P272" s="8"/>
      <c r="Q272" s="40"/>
      <c r="Z272" s="8"/>
      <c r="AA272" s="8"/>
      <c r="AB272" s="40"/>
      <c r="AC272" s="8"/>
      <c r="AD272" s="40"/>
    </row>
    <row r="273" spans="13:30">
      <c r="M273" s="8"/>
      <c r="N273" s="8"/>
      <c r="O273" s="40"/>
      <c r="P273" s="8"/>
      <c r="Q273" s="40"/>
      <c r="Z273" s="8"/>
      <c r="AA273" s="8"/>
      <c r="AB273" s="40"/>
      <c r="AC273" s="8"/>
      <c r="AD273" s="40"/>
    </row>
    <row r="274" spans="13:30">
      <c r="M274" s="8"/>
      <c r="N274" s="8"/>
      <c r="O274" s="40"/>
      <c r="P274" s="8"/>
      <c r="Q274" s="40"/>
      <c r="Z274" s="8"/>
      <c r="AA274" s="8"/>
      <c r="AB274" s="40"/>
      <c r="AC274" s="8"/>
      <c r="AD274" s="40"/>
    </row>
    <row r="275" spans="13:30">
      <c r="M275" s="8"/>
      <c r="N275" s="8"/>
      <c r="O275" s="40"/>
      <c r="P275" s="8"/>
      <c r="Q275" s="40"/>
      <c r="Z275" s="8"/>
      <c r="AA275" s="8"/>
      <c r="AB275" s="40"/>
      <c r="AC275" s="8"/>
      <c r="AD275" s="40"/>
    </row>
    <row r="276" spans="13:30">
      <c r="M276" s="8"/>
      <c r="N276" s="8"/>
      <c r="O276" s="40"/>
      <c r="P276" s="8"/>
      <c r="Q276" s="40"/>
      <c r="Z276" s="8"/>
      <c r="AA276" s="8"/>
      <c r="AB276" s="40"/>
      <c r="AC276" s="8"/>
      <c r="AD276" s="40"/>
    </row>
    <row r="277" spans="13:30">
      <c r="M277" s="8"/>
      <c r="N277" s="8"/>
      <c r="O277" s="40"/>
      <c r="P277" s="8"/>
      <c r="Q277" s="40"/>
      <c r="Z277" s="8"/>
      <c r="AA277" s="8"/>
      <c r="AB277" s="40"/>
      <c r="AC277" s="8"/>
      <c r="AD277" s="40"/>
    </row>
    <row r="278" spans="13:30">
      <c r="M278" s="8"/>
      <c r="N278" s="8"/>
      <c r="O278" s="40"/>
      <c r="P278" s="8"/>
      <c r="Q278" s="40"/>
      <c r="Z278" s="8"/>
      <c r="AA278" s="8"/>
      <c r="AB278" s="40"/>
      <c r="AC278" s="8"/>
      <c r="AD278" s="40"/>
    </row>
    <row r="279" spans="13:30">
      <c r="M279" s="8"/>
      <c r="N279" s="8"/>
      <c r="O279" s="40"/>
      <c r="P279" s="8"/>
      <c r="Q279" s="40"/>
      <c r="Z279" s="8"/>
      <c r="AA279" s="8"/>
      <c r="AB279" s="40"/>
      <c r="AC279" s="8"/>
      <c r="AD279" s="40"/>
    </row>
    <row r="280" spans="13:30">
      <c r="M280" s="8"/>
      <c r="N280" s="8"/>
      <c r="O280" s="40"/>
      <c r="P280" s="8"/>
      <c r="Q280" s="40"/>
      <c r="Z280" s="8"/>
      <c r="AA280" s="8"/>
      <c r="AB280" s="40"/>
      <c r="AC280" s="8"/>
      <c r="AD280" s="40"/>
    </row>
    <row r="281" spans="13:30">
      <c r="M281" s="8"/>
      <c r="N281" s="8"/>
      <c r="O281" s="40"/>
      <c r="P281" s="8"/>
      <c r="Q281" s="40"/>
      <c r="Z281" s="8"/>
      <c r="AA281" s="8"/>
      <c r="AB281" s="40"/>
      <c r="AC281" s="8"/>
      <c r="AD281" s="40"/>
    </row>
    <row r="282" spans="13:30">
      <c r="M282" s="8"/>
      <c r="N282" s="8"/>
      <c r="O282" s="40"/>
      <c r="P282" s="8"/>
      <c r="Q282" s="40"/>
      <c r="Z282" s="8"/>
      <c r="AA282" s="8"/>
      <c r="AB282" s="40"/>
      <c r="AC282" s="8"/>
      <c r="AD282" s="40"/>
    </row>
    <row r="283" spans="13:30">
      <c r="M283" s="8"/>
      <c r="N283" s="8"/>
      <c r="O283" s="40"/>
      <c r="P283" s="8"/>
      <c r="Q283" s="40"/>
      <c r="Z283" s="8"/>
      <c r="AA283" s="8"/>
      <c r="AB283" s="40"/>
      <c r="AC283" s="8"/>
      <c r="AD283" s="40"/>
    </row>
    <row r="284" spans="13:30">
      <c r="M284" s="8"/>
      <c r="N284" s="8"/>
      <c r="O284" s="40"/>
      <c r="P284" s="8"/>
      <c r="Q284" s="40"/>
      <c r="Z284" s="8"/>
      <c r="AA284" s="8"/>
      <c r="AB284" s="40"/>
      <c r="AC284" s="8"/>
      <c r="AD284" s="40"/>
    </row>
    <row r="285" spans="13:30">
      <c r="M285" s="8"/>
      <c r="N285" s="8"/>
      <c r="O285" s="40"/>
      <c r="P285" s="8"/>
      <c r="Q285" s="40"/>
      <c r="Z285" s="8"/>
      <c r="AA285" s="8"/>
      <c r="AB285" s="40"/>
      <c r="AC285" s="8"/>
      <c r="AD285" s="40"/>
    </row>
    <row r="286" spans="13:30">
      <c r="M286" s="8"/>
      <c r="N286" s="8"/>
      <c r="O286" s="40"/>
      <c r="P286" s="8"/>
      <c r="Q286" s="40"/>
      <c r="Z286" s="8"/>
      <c r="AA286" s="8"/>
      <c r="AB286" s="40"/>
      <c r="AC286" s="8"/>
      <c r="AD286" s="40"/>
    </row>
    <row r="287" spans="13:30">
      <c r="M287" s="8"/>
      <c r="N287" s="8"/>
      <c r="O287" s="40"/>
      <c r="P287" s="8"/>
      <c r="Q287" s="40"/>
      <c r="Z287" s="8"/>
      <c r="AA287" s="8"/>
      <c r="AB287" s="40"/>
      <c r="AC287" s="8"/>
      <c r="AD287" s="40"/>
    </row>
    <row r="288" spans="13:30">
      <c r="M288" s="8"/>
      <c r="N288" s="8"/>
      <c r="O288" s="40"/>
      <c r="P288" s="8"/>
      <c r="Q288" s="40"/>
      <c r="Z288" s="8"/>
      <c r="AA288" s="8"/>
      <c r="AB288" s="40"/>
      <c r="AC288" s="8"/>
      <c r="AD288" s="40"/>
    </row>
    <row r="289" spans="13:30">
      <c r="M289" s="8"/>
      <c r="N289" s="8"/>
      <c r="O289" s="40"/>
      <c r="P289" s="8"/>
      <c r="Q289" s="40"/>
      <c r="Z289" s="8"/>
      <c r="AA289" s="8"/>
      <c r="AB289" s="40"/>
      <c r="AC289" s="8"/>
      <c r="AD289" s="40"/>
    </row>
    <row r="290" spans="13:30">
      <c r="M290" s="8"/>
      <c r="N290" s="8"/>
      <c r="O290" s="40"/>
      <c r="P290" s="8"/>
      <c r="Q290" s="40"/>
      <c r="Z290" s="8"/>
      <c r="AA290" s="8"/>
      <c r="AB290" s="40"/>
      <c r="AC290" s="8"/>
      <c r="AD290" s="40"/>
    </row>
    <row r="291" spans="13:30">
      <c r="M291" s="8"/>
      <c r="N291" s="8"/>
      <c r="O291" s="40"/>
      <c r="P291" s="8"/>
      <c r="Q291" s="40"/>
      <c r="Z291" s="8"/>
      <c r="AA291" s="8"/>
      <c r="AB291" s="40"/>
      <c r="AC291" s="8"/>
      <c r="AD291" s="40"/>
    </row>
    <row r="292" spans="13:30">
      <c r="M292" s="8"/>
      <c r="N292" s="8"/>
      <c r="O292" s="40"/>
      <c r="P292" s="8"/>
      <c r="Q292" s="40"/>
      <c r="Z292" s="8"/>
      <c r="AA292" s="8"/>
      <c r="AB292" s="40"/>
      <c r="AC292" s="8"/>
      <c r="AD292" s="40"/>
    </row>
    <row r="293" spans="13:30">
      <c r="M293" s="8"/>
      <c r="N293" s="8"/>
      <c r="O293" s="40"/>
      <c r="P293" s="8"/>
      <c r="Q293" s="40"/>
      <c r="Z293" s="8"/>
      <c r="AA293" s="8"/>
      <c r="AB293" s="40"/>
      <c r="AC293" s="8"/>
      <c r="AD293" s="40"/>
    </row>
    <row r="294" spans="13:30">
      <c r="M294" s="8"/>
      <c r="N294" s="8"/>
      <c r="O294" s="40"/>
      <c r="P294" s="8"/>
      <c r="Q294" s="40"/>
      <c r="Z294" s="8"/>
      <c r="AA294" s="8"/>
      <c r="AB294" s="40"/>
      <c r="AC294" s="8"/>
      <c r="AD294" s="40"/>
    </row>
    <row r="295" spans="13:30">
      <c r="M295" s="8"/>
      <c r="N295" s="8"/>
      <c r="O295" s="40"/>
      <c r="P295" s="8"/>
      <c r="Q295" s="40"/>
      <c r="Z295" s="8"/>
      <c r="AA295" s="8"/>
      <c r="AB295" s="40"/>
      <c r="AC295" s="8"/>
      <c r="AD295" s="40"/>
    </row>
    <row r="296" spans="13:30">
      <c r="M296" s="8"/>
      <c r="N296" s="8"/>
      <c r="O296" s="40"/>
      <c r="P296" s="8"/>
      <c r="Q296" s="40"/>
      <c r="Z296" s="8"/>
      <c r="AA296" s="8"/>
      <c r="AB296" s="40"/>
      <c r="AC296" s="8"/>
      <c r="AD296" s="40"/>
    </row>
    <row r="297" spans="13:30">
      <c r="M297" s="8"/>
      <c r="N297" s="8"/>
      <c r="O297" s="40"/>
      <c r="P297" s="8"/>
      <c r="Q297" s="40"/>
      <c r="Z297" s="8"/>
      <c r="AA297" s="8"/>
      <c r="AB297" s="40"/>
      <c r="AC297" s="8"/>
      <c r="AD297" s="40"/>
    </row>
    <row r="298" spans="13:30">
      <c r="M298" s="8"/>
      <c r="N298" s="8"/>
      <c r="O298" s="40"/>
      <c r="P298" s="8"/>
      <c r="Q298" s="40"/>
      <c r="Z298" s="8"/>
      <c r="AA298" s="8"/>
      <c r="AB298" s="40"/>
      <c r="AC298" s="8"/>
      <c r="AD298" s="40"/>
    </row>
    <row r="299" spans="13:30">
      <c r="M299" s="8"/>
      <c r="N299" s="8"/>
      <c r="O299" s="40"/>
      <c r="P299" s="8"/>
      <c r="Q299" s="40"/>
      <c r="Z299" s="8"/>
      <c r="AA299" s="8"/>
      <c r="AB299" s="40"/>
      <c r="AC299" s="8"/>
      <c r="AD299" s="40"/>
    </row>
    <row r="300" spans="13:30">
      <c r="M300" s="8"/>
      <c r="N300" s="8"/>
      <c r="O300" s="40"/>
      <c r="P300" s="8"/>
      <c r="Q300" s="40"/>
      <c r="Z300" s="8"/>
      <c r="AA300" s="8"/>
      <c r="AB300" s="40"/>
      <c r="AC300" s="8"/>
      <c r="AD300" s="40"/>
    </row>
    <row r="301" spans="13:30">
      <c r="M301" s="8"/>
      <c r="N301" s="8"/>
      <c r="O301" s="40"/>
      <c r="P301" s="8"/>
      <c r="Q301" s="40"/>
      <c r="Z301" s="8"/>
      <c r="AA301" s="8"/>
      <c r="AB301" s="40"/>
      <c r="AC301" s="8"/>
      <c r="AD301" s="40"/>
    </row>
    <row r="302" spans="13:30">
      <c r="M302" s="8"/>
      <c r="N302" s="8"/>
      <c r="O302" s="40"/>
      <c r="P302" s="8"/>
      <c r="Q302" s="40"/>
      <c r="Z302" s="8"/>
      <c r="AA302" s="8"/>
      <c r="AB302" s="40"/>
      <c r="AC302" s="8"/>
      <c r="AD302" s="40"/>
    </row>
    <row r="303" spans="13:30">
      <c r="M303" s="8"/>
      <c r="N303" s="8"/>
      <c r="O303" s="40"/>
      <c r="P303" s="8"/>
      <c r="Q303" s="40"/>
      <c r="Z303" s="8"/>
      <c r="AA303" s="8"/>
      <c r="AB303" s="40"/>
      <c r="AC303" s="8"/>
      <c r="AD303" s="40"/>
    </row>
    <row r="304" spans="13:30">
      <c r="M304" s="8"/>
      <c r="N304" s="8"/>
      <c r="O304" s="40"/>
      <c r="P304" s="8"/>
      <c r="Q304" s="40"/>
      <c r="Z304" s="8"/>
      <c r="AA304" s="8"/>
      <c r="AB304" s="40"/>
      <c r="AC304" s="8"/>
      <c r="AD304" s="40"/>
    </row>
    <row r="305" spans="13:30">
      <c r="M305" s="8"/>
      <c r="N305" s="8"/>
      <c r="O305" s="40"/>
      <c r="P305" s="8"/>
      <c r="Q305" s="40"/>
      <c r="Z305" s="8"/>
      <c r="AA305" s="8"/>
      <c r="AB305" s="40"/>
      <c r="AC305" s="8"/>
      <c r="AD305" s="40"/>
    </row>
    <row r="306" spans="13:30">
      <c r="M306" s="8"/>
      <c r="N306" s="8"/>
      <c r="O306" s="40"/>
      <c r="P306" s="8"/>
      <c r="Q306" s="40"/>
      <c r="Z306" s="8"/>
      <c r="AA306" s="8"/>
      <c r="AB306" s="40"/>
      <c r="AC306" s="8"/>
      <c r="AD306" s="40"/>
    </row>
    <row r="307" spans="13:30">
      <c r="M307" s="8"/>
      <c r="N307" s="8"/>
      <c r="O307" s="40"/>
      <c r="P307" s="8"/>
      <c r="Q307" s="40"/>
      <c r="Z307" s="8"/>
      <c r="AA307" s="8"/>
      <c r="AB307" s="40"/>
      <c r="AC307" s="8"/>
      <c r="AD307" s="40"/>
    </row>
    <row r="308" spans="13:30">
      <c r="M308" s="8"/>
      <c r="N308" s="8"/>
      <c r="O308" s="40"/>
      <c r="P308" s="8"/>
      <c r="Q308" s="40"/>
      <c r="Z308" s="8"/>
      <c r="AA308" s="8"/>
      <c r="AB308" s="40"/>
      <c r="AC308" s="8"/>
      <c r="AD308" s="40"/>
    </row>
    <row r="309" spans="13:30">
      <c r="M309" s="8"/>
      <c r="N309" s="8"/>
      <c r="O309" s="40"/>
      <c r="P309" s="8"/>
      <c r="Q309" s="40"/>
      <c r="Z309" s="8"/>
      <c r="AA309" s="8"/>
      <c r="AB309" s="40"/>
      <c r="AC309" s="8"/>
      <c r="AD309" s="40"/>
    </row>
    <row r="310" spans="13:30">
      <c r="M310" s="8"/>
      <c r="N310" s="8"/>
      <c r="O310" s="40"/>
      <c r="P310" s="8"/>
      <c r="Q310" s="40"/>
      <c r="Z310" s="8"/>
      <c r="AA310" s="8"/>
      <c r="AB310" s="40"/>
      <c r="AC310" s="8"/>
      <c r="AD310" s="40"/>
    </row>
    <row r="311" spans="13:30">
      <c r="M311" s="8"/>
      <c r="N311" s="8"/>
      <c r="O311" s="40"/>
      <c r="P311" s="8"/>
      <c r="Q311" s="40"/>
      <c r="Z311" s="8"/>
      <c r="AA311" s="8"/>
      <c r="AB311" s="40"/>
      <c r="AC311" s="8"/>
      <c r="AD311" s="40"/>
    </row>
    <row r="312" spans="13:30">
      <c r="M312" s="8"/>
      <c r="N312" s="8"/>
      <c r="O312" s="40"/>
      <c r="P312" s="8"/>
      <c r="Q312" s="40"/>
      <c r="Z312" s="8"/>
      <c r="AA312" s="8"/>
      <c r="AB312" s="40"/>
      <c r="AC312" s="8"/>
      <c r="AD312" s="40"/>
    </row>
    <row r="313" spans="13:30">
      <c r="M313" s="8"/>
      <c r="N313" s="8"/>
      <c r="O313" s="40"/>
      <c r="P313" s="8"/>
      <c r="Q313" s="40"/>
      <c r="Z313" s="8"/>
      <c r="AA313" s="8"/>
      <c r="AB313" s="40"/>
      <c r="AC313" s="8"/>
      <c r="AD313" s="40"/>
    </row>
    <row r="314" spans="13:30">
      <c r="M314" s="8"/>
      <c r="N314" s="8"/>
      <c r="O314" s="40"/>
      <c r="P314" s="8"/>
      <c r="Q314" s="40"/>
      <c r="Z314" s="8"/>
      <c r="AA314" s="8"/>
      <c r="AB314" s="40"/>
      <c r="AC314" s="8"/>
      <c r="AD314" s="40"/>
    </row>
    <row r="315" spans="13:30">
      <c r="M315" s="8"/>
      <c r="N315" s="8"/>
      <c r="O315" s="40"/>
      <c r="P315" s="8"/>
      <c r="Q315" s="40"/>
      <c r="Z315" s="8"/>
      <c r="AA315" s="8"/>
      <c r="AB315" s="40"/>
      <c r="AC315" s="8"/>
      <c r="AD315" s="40"/>
    </row>
    <row r="316" spans="13:30">
      <c r="M316" s="8"/>
      <c r="N316" s="8"/>
      <c r="O316" s="40"/>
      <c r="P316" s="8"/>
      <c r="Q316" s="40"/>
      <c r="Z316" s="8"/>
      <c r="AA316" s="8"/>
      <c r="AB316" s="40"/>
      <c r="AC316" s="8"/>
      <c r="AD316" s="40"/>
    </row>
    <row r="317" spans="13:30">
      <c r="M317" s="8"/>
      <c r="N317" s="8"/>
      <c r="O317" s="40"/>
      <c r="P317" s="8"/>
      <c r="Q317" s="40"/>
      <c r="Z317" s="8"/>
      <c r="AA317" s="8"/>
      <c r="AB317" s="40"/>
      <c r="AC317" s="8"/>
      <c r="AD317" s="40"/>
    </row>
    <row r="318" spans="13:30">
      <c r="M318" s="8"/>
      <c r="N318" s="8"/>
      <c r="O318" s="40"/>
      <c r="P318" s="8"/>
      <c r="Q318" s="40"/>
      <c r="Z318" s="8"/>
      <c r="AA318" s="8"/>
      <c r="AB318" s="40"/>
      <c r="AC318" s="8"/>
      <c r="AD318" s="40"/>
    </row>
    <row r="319" spans="13:30">
      <c r="M319" s="8"/>
      <c r="N319" s="8"/>
      <c r="O319" s="40"/>
      <c r="P319" s="8"/>
      <c r="Q319" s="40"/>
      <c r="Z319" s="8"/>
      <c r="AA319" s="8"/>
      <c r="AB319" s="40"/>
      <c r="AC319" s="8"/>
      <c r="AD319" s="40"/>
    </row>
    <row r="320" spans="13:30">
      <c r="M320" s="8"/>
      <c r="N320" s="8"/>
      <c r="O320" s="40"/>
      <c r="P320" s="8"/>
      <c r="Q320" s="40"/>
      <c r="Z320" s="8"/>
      <c r="AA320" s="8"/>
      <c r="AB320" s="40"/>
      <c r="AC320" s="8"/>
      <c r="AD320" s="40"/>
    </row>
    <row r="321" spans="13:30">
      <c r="M321" s="8"/>
      <c r="N321" s="8"/>
      <c r="O321" s="40"/>
      <c r="P321" s="8"/>
      <c r="Q321" s="40"/>
      <c r="Z321" s="8"/>
      <c r="AA321" s="8"/>
      <c r="AB321" s="40"/>
      <c r="AC321" s="8"/>
      <c r="AD321" s="40"/>
    </row>
    <row r="322" spans="13:30">
      <c r="M322" s="8"/>
      <c r="N322" s="8"/>
      <c r="O322" s="40"/>
      <c r="P322" s="8"/>
      <c r="Q322" s="40"/>
      <c r="Z322" s="8"/>
      <c r="AA322" s="8"/>
      <c r="AB322" s="40"/>
      <c r="AC322" s="8"/>
      <c r="AD322" s="40"/>
    </row>
    <row r="323" spans="13:30">
      <c r="M323" s="8"/>
      <c r="N323" s="8"/>
      <c r="O323" s="40"/>
      <c r="P323" s="8"/>
      <c r="Q323" s="40"/>
      <c r="Z323" s="8"/>
      <c r="AA323" s="8"/>
      <c r="AB323" s="40"/>
      <c r="AC323" s="8"/>
      <c r="AD323" s="40"/>
    </row>
    <row r="324" spans="13:30">
      <c r="M324" s="8"/>
      <c r="N324" s="8"/>
      <c r="O324" s="40"/>
      <c r="P324" s="8"/>
      <c r="Q324" s="40"/>
      <c r="Z324" s="8"/>
      <c r="AA324" s="8"/>
      <c r="AB324" s="40"/>
      <c r="AC324" s="8"/>
      <c r="AD324" s="40"/>
    </row>
    <row r="325" spans="13:30">
      <c r="M325" s="8"/>
      <c r="N325" s="8"/>
      <c r="O325" s="40"/>
      <c r="P325" s="8"/>
      <c r="Q325" s="40"/>
      <c r="Z325" s="8"/>
      <c r="AA325" s="8"/>
      <c r="AB325" s="40"/>
      <c r="AC325" s="8"/>
      <c r="AD325" s="40"/>
    </row>
    <row r="326" spans="13:30">
      <c r="M326" s="8"/>
      <c r="N326" s="8"/>
      <c r="O326" s="40"/>
      <c r="P326" s="8"/>
      <c r="Q326" s="40"/>
      <c r="Z326" s="8"/>
      <c r="AA326" s="8"/>
      <c r="AB326" s="40"/>
      <c r="AC326" s="8"/>
      <c r="AD326" s="40"/>
    </row>
    <row r="327" spans="13:30">
      <c r="M327" s="8"/>
      <c r="N327" s="8"/>
      <c r="O327" s="40"/>
      <c r="P327" s="8"/>
      <c r="Q327" s="40"/>
      <c r="Z327" s="8"/>
      <c r="AA327" s="8"/>
      <c r="AB327" s="40"/>
      <c r="AC327" s="8"/>
      <c r="AD327" s="40"/>
    </row>
    <row r="328" spans="13:30">
      <c r="M328" s="8"/>
      <c r="N328" s="8"/>
      <c r="O328" s="40"/>
      <c r="P328" s="8"/>
      <c r="Q328" s="40"/>
      <c r="Z328" s="8"/>
      <c r="AA328" s="8"/>
      <c r="AB328" s="40"/>
      <c r="AC328" s="8"/>
      <c r="AD328" s="40"/>
    </row>
    <row r="329" spans="13:30">
      <c r="M329" s="8"/>
      <c r="N329" s="8"/>
      <c r="O329" s="40"/>
      <c r="P329" s="8"/>
      <c r="Q329" s="40"/>
      <c r="Z329" s="8"/>
      <c r="AA329" s="8"/>
      <c r="AB329" s="40"/>
      <c r="AC329" s="8"/>
      <c r="AD329" s="40"/>
    </row>
    <row r="330" spans="13:30">
      <c r="M330" s="8"/>
      <c r="N330" s="8"/>
      <c r="O330" s="40"/>
      <c r="P330" s="8"/>
      <c r="Q330" s="40"/>
      <c r="Z330" s="8"/>
      <c r="AA330" s="8"/>
      <c r="AB330" s="40"/>
      <c r="AC330" s="8"/>
      <c r="AD330" s="40"/>
    </row>
    <row r="331" spans="13:30">
      <c r="M331" s="8"/>
      <c r="N331" s="8"/>
      <c r="O331" s="40"/>
      <c r="P331" s="8"/>
      <c r="Q331" s="40"/>
      <c r="Z331" s="8"/>
      <c r="AA331" s="8"/>
      <c r="AB331" s="40"/>
      <c r="AC331" s="8"/>
      <c r="AD331" s="40"/>
    </row>
    <row r="332" spans="13:30">
      <c r="M332" s="8"/>
      <c r="N332" s="8"/>
      <c r="O332" s="40"/>
      <c r="P332" s="8"/>
      <c r="Q332" s="40"/>
      <c r="Z332" s="8"/>
      <c r="AA332" s="8"/>
      <c r="AB332" s="40"/>
      <c r="AC332" s="8"/>
      <c r="AD332" s="40"/>
    </row>
    <row r="333" spans="13:30">
      <c r="M333" s="8"/>
      <c r="N333" s="8"/>
      <c r="O333" s="40"/>
      <c r="P333" s="8"/>
      <c r="Q333" s="40"/>
      <c r="Z333" s="8"/>
      <c r="AA333" s="8"/>
      <c r="AB333" s="40"/>
      <c r="AC333" s="8"/>
      <c r="AD333" s="40"/>
    </row>
    <row r="334" spans="13:30">
      <c r="M334" s="8"/>
      <c r="N334" s="8"/>
      <c r="O334" s="40"/>
      <c r="P334" s="8"/>
      <c r="Q334" s="40"/>
      <c r="Z334" s="8"/>
      <c r="AA334" s="8"/>
      <c r="AB334" s="40"/>
      <c r="AC334" s="8"/>
      <c r="AD334" s="40"/>
    </row>
    <row r="335" spans="13:30">
      <c r="M335" s="8"/>
      <c r="N335" s="8"/>
      <c r="O335" s="40"/>
      <c r="P335" s="8"/>
      <c r="Q335" s="40"/>
      <c r="Z335" s="8"/>
      <c r="AA335" s="8"/>
      <c r="AB335" s="40"/>
      <c r="AC335" s="8"/>
      <c r="AD335" s="40"/>
    </row>
    <row r="336" spans="13:30">
      <c r="M336" s="8"/>
      <c r="N336" s="8"/>
      <c r="O336" s="40"/>
      <c r="P336" s="8"/>
      <c r="Q336" s="40"/>
      <c r="Z336" s="8"/>
      <c r="AA336" s="8"/>
      <c r="AB336" s="40"/>
      <c r="AC336" s="8"/>
      <c r="AD336" s="40"/>
    </row>
    <row r="337" spans="13:30">
      <c r="M337" s="8"/>
      <c r="N337" s="8"/>
      <c r="O337" s="40"/>
      <c r="P337" s="8"/>
      <c r="Q337" s="40"/>
      <c r="Z337" s="8"/>
      <c r="AA337" s="8"/>
      <c r="AB337" s="40"/>
      <c r="AC337" s="8"/>
      <c r="AD337" s="40"/>
    </row>
    <row r="338" spans="13:30">
      <c r="M338" s="8"/>
      <c r="N338" s="8"/>
      <c r="O338" s="40"/>
      <c r="P338" s="8"/>
      <c r="Q338" s="40"/>
      <c r="Z338" s="8"/>
      <c r="AA338" s="8"/>
      <c r="AB338" s="40"/>
      <c r="AC338" s="8"/>
      <c r="AD338" s="40"/>
    </row>
    <row r="339" spans="13:30">
      <c r="M339" s="8"/>
      <c r="N339" s="8"/>
      <c r="O339" s="40"/>
      <c r="P339" s="8"/>
      <c r="Q339" s="40"/>
      <c r="Z339" s="8"/>
      <c r="AA339" s="8"/>
      <c r="AB339" s="40"/>
      <c r="AC339" s="8"/>
      <c r="AD339" s="40"/>
    </row>
    <row r="340" spans="13:30">
      <c r="M340" s="8"/>
      <c r="N340" s="8"/>
      <c r="O340" s="40"/>
      <c r="P340" s="8"/>
      <c r="Q340" s="40"/>
      <c r="Z340" s="8"/>
      <c r="AA340" s="8"/>
      <c r="AB340" s="40"/>
      <c r="AC340" s="8"/>
      <c r="AD340" s="40"/>
    </row>
    <row r="341" spans="13:30">
      <c r="M341" s="8"/>
      <c r="N341" s="8"/>
      <c r="O341" s="40"/>
      <c r="P341" s="8"/>
      <c r="Q341" s="40"/>
      <c r="Z341" s="8"/>
      <c r="AA341" s="8"/>
      <c r="AB341" s="40"/>
      <c r="AC341" s="8"/>
      <c r="AD341" s="40"/>
    </row>
    <row r="342" spans="13:30">
      <c r="M342" s="8"/>
      <c r="N342" s="8"/>
      <c r="O342" s="40"/>
      <c r="P342" s="8"/>
      <c r="Q342" s="40"/>
      <c r="Z342" s="8"/>
      <c r="AA342" s="8"/>
      <c r="AB342" s="40"/>
      <c r="AC342" s="8"/>
      <c r="AD342" s="40"/>
    </row>
    <row r="343" spans="13:30">
      <c r="M343" s="8"/>
      <c r="N343" s="8"/>
      <c r="O343" s="40"/>
      <c r="P343" s="8"/>
      <c r="Q343" s="40"/>
      <c r="Z343" s="8"/>
      <c r="AA343" s="8"/>
      <c r="AB343" s="40"/>
      <c r="AC343" s="8"/>
      <c r="AD343" s="40"/>
    </row>
    <row r="344" spans="13:30">
      <c r="M344" s="8"/>
      <c r="N344" s="8"/>
      <c r="O344" s="40"/>
      <c r="P344" s="8"/>
      <c r="Q344" s="40"/>
      <c r="Z344" s="8"/>
      <c r="AA344" s="8"/>
      <c r="AB344" s="40"/>
      <c r="AC344" s="8"/>
      <c r="AD344" s="40"/>
    </row>
    <row r="345" spans="13:30">
      <c r="M345" s="8"/>
      <c r="N345" s="8"/>
      <c r="O345" s="40"/>
      <c r="P345" s="8"/>
      <c r="Q345" s="40"/>
      <c r="Z345" s="8"/>
      <c r="AA345" s="8"/>
      <c r="AB345" s="40"/>
      <c r="AC345" s="8"/>
      <c r="AD345" s="40"/>
    </row>
    <row r="346" spans="13:30">
      <c r="M346" s="8"/>
      <c r="N346" s="8"/>
      <c r="O346" s="40"/>
      <c r="P346" s="8"/>
      <c r="Q346" s="40"/>
      <c r="Z346" s="8"/>
      <c r="AA346" s="8"/>
      <c r="AB346" s="40"/>
      <c r="AC346" s="8"/>
      <c r="AD346" s="40"/>
    </row>
    <row r="347" spans="13:30">
      <c r="M347" s="8"/>
      <c r="N347" s="8"/>
      <c r="O347" s="40"/>
      <c r="P347" s="8"/>
      <c r="Q347" s="40"/>
      <c r="Z347" s="8"/>
      <c r="AA347" s="8"/>
      <c r="AB347" s="40"/>
      <c r="AC347" s="8"/>
      <c r="AD347" s="40"/>
    </row>
    <row r="348" spans="13:30">
      <c r="M348" s="8"/>
      <c r="N348" s="8"/>
      <c r="O348" s="40"/>
      <c r="P348" s="8"/>
      <c r="Q348" s="40"/>
      <c r="Z348" s="8"/>
      <c r="AA348" s="8"/>
      <c r="AB348" s="40"/>
      <c r="AC348" s="8"/>
      <c r="AD348" s="40"/>
    </row>
    <row r="349" spans="13:30">
      <c r="M349" s="8"/>
      <c r="N349" s="8"/>
      <c r="O349" s="40"/>
      <c r="P349" s="8"/>
      <c r="Q349" s="40"/>
      <c r="Z349" s="8"/>
      <c r="AA349" s="8"/>
      <c r="AB349" s="40"/>
      <c r="AC349" s="8"/>
      <c r="AD349" s="40"/>
    </row>
    <row r="350" spans="13:30">
      <c r="M350" s="8"/>
      <c r="N350" s="8"/>
      <c r="O350" s="40"/>
      <c r="P350" s="8"/>
      <c r="Q350" s="40"/>
      <c r="Z350" s="8"/>
      <c r="AA350" s="8"/>
      <c r="AB350" s="40"/>
      <c r="AC350" s="8"/>
      <c r="AD350" s="40"/>
    </row>
    <row r="351" spans="13:30">
      <c r="M351" s="8"/>
      <c r="N351" s="8"/>
      <c r="O351" s="40"/>
      <c r="P351" s="8"/>
      <c r="Q351" s="40"/>
      <c r="Z351" s="8"/>
      <c r="AA351" s="8"/>
      <c r="AB351" s="40"/>
      <c r="AC351" s="8"/>
      <c r="AD351" s="40"/>
    </row>
    <row r="352" spans="13:30">
      <c r="M352" s="8"/>
      <c r="N352" s="8"/>
      <c r="O352" s="40"/>
      <c r="P352" s="8"/>
      <c r="Q352" s="40"/>
      <c r="Z352" s="8"/>
      <c r="AA352" s="8"/>
      <c r="AB352" s="40"/>
      <c r="AC352" s="8"/>
      <c r="AD352" s="40"/>
    </row>
    <row r="353" spans="13:30">
      <c r="M353" s="8"/>
      <c r="N353" s="8"/>
      <c r="O353" s="40"/>
      <c r="P353" s="8"/>
      <c r="Q353" s="40"/>
      <c r="Z353" s="8"/>
      <c r="AA353" s="8"/>
      <c r="AB353" s="40"/>
      <c r="AC353" s="8"/>
      <c r="AD353" s="40"/>
    </row>
    <row r="354" spans="13:30">
      <c r="M354" s="8"/>
      <c r="N354" s="8"/>
      <c r="O354" s="40"/>
      <c r="P354" s="8"/>
      <c r="Q354" s="40"/>
      <c r="Z354" s="8"/>
      <c r="AA354" s="8"/>
      <c r="AB354" s="40"/>
      <c r="AC354" s="8"/>
      <c r="AD354" s="40"/>
    </row>
    <row r="355" spans="13:30">
      <c r="M355" s="8"/>
      <c r="N355" s="8"/>
      <c r="O355" s="40"/>
      <c r="P355" s="8"/>
      <c r="Q355" s="40"/>
      <c r="Z355" s="8"/>
      <c r="AA355" s="8"/>
      <c r="AB355" s="40"/>
      <c r="AC355" s="8"/>
      <c r="AD355" s="40"/>
    </row>
    <row r="356" spans="13:30">
      <c r="M356" s="8"/>
      <c r="N356" s="8"/>
      <c r="O356" s="40"/>
      <c r="P356" s="8"/>
      <c r="Q356" s="40"/>
      <c r="Z356" s="8"/>
      <c r="AA356" s="8"/>
      <c r="AB356" s="40"/>
      <c r="AC356" s="8"/>
      <c r="AD356" s="40"/>
    </row>
    <row r="357" spans="13:30">
      <c r="M357" s="8"/>
      <c r="N357" s="8"/>
      <c r="O357" s="40"/>
      <c r="P357" s="8"/>
      <c r="Q357" s="40"/>
      <c r="Z357" s="8"/>
      <c r="AA357" s="8"/>
      <c r="AB357" s="40"/>
      <c r="AC357" s="8"/>
      <c r="AD357" s="40"/>
    </row>
    <row r="358" spans="13:30">
      <c r="M358" s="8"/>
      <c r="N358" s="8"/>
      <c r="O358" s="40"/>
      <c r="P358" s="8"/>
      <c r="Q358" s="40"/>
      <c r="Z358" s="8"/>
      <c r="AA358" s="8"/>
      <c r="AB358" s="40"/>
      <c r="AC358" s="8"/>
      <c r="AD358" s="40"/>
    </row>
    <row r="359" spans="13:30">
      <c r="M359" s="8"/>
      <c r="N359" s="8"/>
      <c r="O359" s="40"/>
      <c r="P359" s="8"/>
      <c r="Q359" s="40"/>
      <c r="Z359" s="8"/>
      <c r="AA359" s="8"/>
      <c r="AB359" s="40"/>
      <c r="AC359" s="8"/>
      <c r="AD359" s="40"/>
    </row>
    <row r="360" spans="13:30">
      <c r="M360" s="8"/>
      <c r="N360" s="8"/>
      <c r="O360" s="40"/>
      <c r="P360" s="8"/>
      <c r="Q360" s="40"/>
      <c r="Z360" s="8"/>
      <c r="AA360" s="8"/>
      <c r="AB360" s="40"/>
      <c r="AC360" s="8"/>
      <c r="AD360" s="40"/>
    </row>
    <row r="361" spans="13:30">
      <c r="M361" s="8"/>
      <c r="N361" s="8"/>
      <c r="O361" s="40"/>
      <c r="P361" s="8"/>
      <c r="Q361" s="40"/>
      <c r="Z361" s="8"/>
      <c r="AA361" s="8"/>
      <c r="AB361" s="40"/>
      <c r="AC361" s="8"/>
      <c r="AD361" s="40"/>
    </row>
    <row r="362" spans="13:30">
      <c r="M362" s="8"/>
      <c r="N362" s="8"/>
      <c r="O362" s="40"/>
      <c r="P362" s="8"/>
      <c r="Q362" s="40"/>
      <c r="Z362" s="8"/>
      <c r="AA362" s="8"/>
      <c r="AB362" s="40"/>
      <c r="AC362" s="8"/>
      <c r="AD362" s="40"/>
    </row>
    <row r="363" spans="13:30">
      <c r="M363" s="8"/>
      <c r="N363" s="8"/>
      <c r="O363" s="40"/>
      <c r="P363" s="8"/>
      <c r="Q363" s="40"/>
      <c r="Z363" s="8"/>
      <c r="AA363" s="8"/>
      <c r="AB363" s="40"/>
      <c r="AC363" s="8"/>
      <c r="AD363" s="40"/>
    </row>
    <row r="364" spans="13:30">
      <c r="M364" s="8"/>
      <c r="N364" s="8"/>
      <c r="O364" s="40"/>
      <c r="P364" s="8"/>
      <c r="Q364" s="40"/>
      <c r="Z364" s="8"/>
      <c r="AA364" s="8"/>
      <c r="AB364" s="40"/>
      <c r="AC364" s="8"/>
      <c r="AD364" s="40"/>
    </row>
    <row r="365" spans="13:30">
      <c r="M365" s="8"/>
      <c r="N365" s="8"/>
      <c r="O365" s="40"/>
      <c r="P365" s="8"/>
      <c r="Q365" s="40"/>
      <c r="Z365" s="8"/>
      <c r="AA365" s="8"/>
      <c r="AB365" s="40"/>
      <c r="AC365" s="8"/>
      <c r="AD365" s="40"/>
    </row>
    <row r="366" spans="13:30">
      <c r="M366" s="8"/>
      <c r="N366" s="8"/>
      <c r="O366" s="40"/>
      <c r="P366" s="8"/>
      <c r="Q366" s="40"/>
      <c r="Z366" s="8"/>
      <c r="AA366" s="8"/>
      <c r="AB366" s="40"/>
      <c r="AC366" s="8"/>
      <c r="AD366" s="40"/>
    </row>
    <row r="367" spans="13:30">
      <c r="M367" s="8"/>
      <c r="N367" s="8"/>
      <c r="O367" s="40"/>
      <c r="P367" s="8"/>
      <c r="Q367" s="40"/>
      <c r="Z367" s="8"/>
      <c r="AA367" s="8"/>
      <c r="AB367" s="40"/>
      <c r="AC367" s="8"/>
      <c r="AD367" s="40"/>
    </row>
    <row r="368" spans="13:30">
      <c r="M368" s="8"/>
      <c r="N368" s="8"/>
      <c r="O368" s="40"/>
      <c r="P368" s="8"/>
      <c r="Q368" s="40"/>
      <c r="Z368" s="8"/>
      <c r="AA368" s="8"/>
      <c r="AB368" s="40"/>
      <c r="AC368" s="8"/>
      <c r="AD368" s="40"/>
    </row>
    <row r="369" spans="13:30">
      <c r="M369" s="8"/>
      <c r="N369" s="8"/>
      <c r="O369" s="40"/>
      <c r="P369" s="8"/>
      <c r="Q369" s="40"/>
      <c r="Z369" s="8"/>
      <c r="AA369" s="8"/>
      <c r="AB369" s="40"/>
      <c r="AC369" s="8"/>
      <c r="AD369" s="40"/>
    </row>
    <row r="370" spans="13:30">
      <c r="M370" s="8"/>
      <c r="N370" s="8"/>
      <c r="O370" s="40"/>
      <c r="P370" s="8"/>
      <c r="Q370" s="40"/>
      <c r="Z370" s="8"/>
      <c r="AA370" s="8"/>
      <c r="AB370" s="40"/>
      <c r="AC370" s="8"/>
      <c r="AD370" s="40"/>
    </row>
    <row r="371" spans="13:30">
      <c r="M371" s="8"/>
      <c r="N371" s="8"/>
      <c r="O371" s="40"/>
      <c r="P371" s="8"/>
      <c r="Q371" s="40"/>
      <c r="Z371" s="8"/>
      <c r="AA371" s="8"/>
      <c r="AB371" s="40"/>
      <c r="AC371" s="8"/>
      <c r="AD371" s="40"/>
    </row>
    <row r="372" spans="13:30">
      <c r="M372" s="8"/>
      <c r="N372" s="8"/>
      <c r="O372" s="40"/>
      <c r="P372" s="8"/>
      <c r="Q372" s="40"/>
      <c r="Z372" s="8"/>
      <c r="AA372" s="8"/>
      <c r="AB372" s="40"/>
      <c r="AC372" s="8"/>
      <c r="AD372" s="40"/>
    </row>
    <row r="373" spans="13:30">
      <c r="M373" s="8"/>
      <c r="N373" s="8"/>
      <c r="O373" s="40"/>
      <c r="P373" s="8"/>
      <c r="Q373" s="40"/>
      <c r="Z373" s="8"/>
      <c r="AA373" s="8"/>
      <c r="AB373" s="40"/>
      <c r="AC373" s="8"/>
      <c r="AD373" s="40"/>
    </row>
    <row r="374" spans="13:30">
      <c r="M374" s="8"/>
      <c r="N374" s="8"/>
      <c r="O374" s="40"/>
      <c r="P374" s="8"/>
      <c r="Q374" s="40"/>
      <c r="Z374" s="8"/>
      <c r="AA374" s="8"/>
      <c r="AB374" s="40"/>
      <c r="AC374" s="8"/>
      <c r="AD374" s="40"/>
    </row>
    <row r="375" spans="13:30">
      <c r="M375" s="8"/>
      <c r="N375" s="8"/>
      <c r="O375" s="40"/>
      <c r="P375" s="8"/>
      <c r="Q375" s="40"/>
      <c r="Z375" s="8"/>
      <c r="AA375" s="8"/>
      <c r="AB375" s="40"/>
      <c r="AC375" s="8"/>
      <c r="AD375" s="40"/>
    </row>
    <row r="376" spans="13:30">
      <c r="M376" s="8"/>
      <c r="N376" s="8"/>
      <c r="O376" s="40"/>
      <c r="P376" s="8"/>
      <c r="Q376" s="40"/>
      <c r="Z376" s="8"/>
      <c r="AA376" s="8"/>
      <c r="AB376" s="40"/>
      <c r="AC376" s="8"/>
      <c r="AD376" s="40"/>
    </row>
    <row r="377" spans="13:30">
      <c r="M377" s="8"/>
      <c r="N377" s="8"/>
      <c r="O377" s="40"/>
      <c r="P377" s="8"/>
      <c r="Q377" s="40"/>
      <c r="Z377" s="8"/>
      <c r="AA377" s="8"/>
      <c r="AB377" s="40"/>
      <c r="AC377" s="8"/>
      <c r="AD377" s="40"/>
    </row>
    <row r="378" spans="13:30">
      <c r="M378" s="8"/>
      <c r="N378" s="8"/>
      <c r="O378" s="40"/>
      <c r="P378" s="8"/>
      <c r="Q378" s="40"/>
      <c r="Z378" s="8"/>
      <c r="AA378" s="8"/>
      <c r="AB378" s="40"/>
      <c r="AC378" s="8"/>
      <c r="AD378" s="40"/>
    </row>
    <row r="379" spans="13:30">
      <c r="M379" s="8"/>
      <c r="N379" s="8"/>
      <c r="O379" s="40"/>
      <c r="P379" s="8"/>
      <c r="Q379" s="40"/>
      <c r="Z379" s="8"/>
      <c r="AA379" s="8"/>
      <c r="AB379" s="40"/>
      <c r="AC379" s="8"/>
      <c r="AD379" s="40"/>
    </row>
    <row r="380" spans="13:30">
      <c r="M380" s="8"/>
      <c r="N380" s="8"/>
      <c r="O380" s="40"/>
      <c r="P380" s="8"/>
      <c r="Q380" s="40"/>
      <c r="Z380" s="8"/>
      <c r="AA380" s="8"/>
      <c r="AB380" s="40"/>
      <c r="AC380" s="8"/>
      <c r="AD380" s="40"/>
    </row>
    <row r="381" spans="13:30">
      <c r="M381" s="8"/>
      <c r="N381" s="8"/>
      <c r="O381" s="40"/>
      <c r="P381" s="8"/>
      <c r="Q381" s="40"/>
      <c r="Z381" s="8"/>
      <c r="AA381" s="8"/>
      <c r="AB381" s="40"/>
      <c r="AC381" s="8"/>
      <c r="AD381" s="40"/>
    </row>
    <row r="382" spans="13:30">
      <c r="M382" s="8"/>
      <c r="N382" s="8"/>
      <c r="O382" s="40"/>
      <c r="P382" s="8"/>
      <c r="Q382" s="40"/>
      <c r="Z382" s="8"/>
      <c r="AA382" s="8"/>
      <c r="AB382" s="40"/>
      <c r="AC382" s="8"/>
      <c r="AD382" s="40"/>
    </row>
    <row r="383" spans="13:30">
      <c r="M383" s="8"/>
      <c r="N383" s="8"/>
      <c r="O383" s="40"/>
      <c r="P383" s="8"/>
      <c r="Q383" s="40"/>
      <c r="Z383" s="8"/>
      <c r="AA383" s="8"/>
      <c r="AB383" s="40"/>
      <c r="AC383" s="8"/>
      <c r="AD383" s="40"/>
    </row>
    <row r="384" spans="13:30">
      <c r="M384" s="8"/>
      <c r="N384" s="8"/>
      <c r="O384" s="40"/>
      <c r="P384" s="8"/>
      <c r="Q384" s="40"/>
      <c r="Z384" s="8"/>
      <c r="AA384" s="8"/>
      <c r="AB384" s="40"/>
      <c r="AC384" s="8"/>
      <c r="AD384" s="40"/>
    </row>
    <row r="385" spans="13:30">
      <c r="M385" s="8"/>
      <c r="N385" s="8"/>
      <c r="O385" s="40"/>
      <c r="P385" s="8"/>
      <c r="Q385" s="40"/>
      <c r="Z385" s="8"/>
      <c r="AA385" s="8"/>
      <c r="AB385" s="40"/>
      <c r="AC385" s="8"/>
      <c r="AD385" s="40"/>
    </row>
    <row r="386" spans="13:30">
      <c r="M386" s="8"/>
      <c r="N386" s="8"/>
      <c r="O386" s="40"/>
      <c r="P386" s="8"/>
      <c r="Q386" s="40"/>
      <c r="Z386" s="8"/>
      <c r="AA386" s="8"/>
      <c r="AB386" s="40"/>
      <c r="AC386" s="8"/>
      <c r="AD386" s="40"/>
    </row>
    <row r="387" spans="13:30">
      <c r="M387" s="8"/>
      <c r="N387" s="8"/>
      <c r="O387" s="40"/>
      <c r="P387" s="8"/>
      <c r="Q387" s="40"/>
      <c r="Z387" s="8"/>
      <c r="AA387" s="8"/>
      <c r="AB387" s="40"/>
      <c r="AC387" s="8"/>
      <c r="AD387" s="40"/>
    </row>
    <row r="388" spans="13:30">
      <c r="M388" s="8"/>
      <c r="N388" s="8"/>
      <c r="O388" s="40"/>
      <c r="P388" s="8"/>
      <c r="Q388" s="40"/>
      <c r="Z388" s="8"/>
      <c r="AA388" s="8"/>
      <c r="AB388" s="40"/>
      <c r="AC388" s="8"/>
      <c r="AD388" s="40"/>
    </row>
    <row r="389" spans="13:30">
      <c r="M389" s="8"/>
      <c r="N389" s="8"/>
      <c r="O389" s="40"/>
      <c r="P389" s="8"/>
      <c r="Q389" s="40"/>
      <c r="Z389" s="8"/>
      <c r="AA389" s="8"/>
      <c r="AB389" s="40"/>
      <c r="AC389" s="8"/>
      <c r="AD389" s="40"/>
    </row>
    <row r="390" spans="13:30">
      <c r="M390" s="8"/>
      <c r="N390" s="8"/>
      <c r="O390" s="40"/>
      <c r="P390" s="8"/>
      <c r="Q390" s="40"/>
      <c r="Z390" s="8"/>
      <c r="AA390" s="8"/>
      <c r="AB390" s="40"/>
      <c r="AC390" s="8"/>
      <c r="AD390" s="40"/>
    </row>
    <row r="391" spans="13:30">
      <c r="M391" s="8"/>
      <c r="N391" s="8"/>
      <c r="O391" s="40"/>
      <c r="P391" s="8"/>
      <c r="Q391" s="40"/>
      <c r="Z391" s="8"/>
      <c r="AA391" s="8"/>
      <c r="AB391" s="40"/>
      <c r="AC391" s="8"/>
      <c r="AD391" s="40"/>
    </row>
    <row r="392" spans="13:30">
      <c r="M392" s="8"/>
      <c r="N392" s="8"/>
      <c r="O392" s="40"/>
      <c r="P392" s="8"/>
      <c r="Q392" s="40"/>
      <c r="Z392" s="8"/>
      <c r="AA392" s="8"/>
      <c r="AB392" s="40"/>
      <c r="AC392" s="8"/>
      <c r="AD392" s="40"/>
    </row>
    <row r="393" spans="13:30">
      <c r="M393" s="8"/>
      <c r="N393" s="8"/>
      <c r="O393" s="40"/>
      <c r="P393" s="8"/>
      <c r="Q393" s="40"/>
      <c r="Z393" s="8"/>
      <c r="AA393" s="8"/>
      <c r="AB393" s="40"/>
      <c r="AC393" s="8"/>
      <c r="AD393" s="40"/>
    </row>
    <row r="394" spans="13:30">
      <c r="M394" s="8"/>
      <c r="N394" s="8"/>
      <c r="O394" s="40"/>
      <c r="P394" s="8"/>
      <c r="Q394" s="40"/>
      <c r="Z394" s="8"/>
      <c r="AA394" s="8"/>
      <c r="AB394" s="40"/>
      <c r="AC394" s="8"/>
      <c r="AD394" s="40"/>
    </row>
    <row r="395" spans="13:30">
      <c r="M395" s="8"/>
      <c r="N395" s="8"/>
      <c r="O395" s="40"/>
      <c r="P395" s="8"/>
      <c r="Q395" s="40"/>
      <c r="Z395" s="8"/>
      <c r="AA395" s="8"/>
      <c r="AB395" s="40"/>
      <c r="AC395" s="8"/>
      <c r="AD395" s="40"/>
    </row>
    <row r="396" spans="13:30">
      <c r="M396" s="8"/>
      <c r="N396" s="8"/>
      <c r="O396" s="40"/>
      <c r="P396" s="8"/>
      <c r="Q396" s="40"/>
      <c r="Z396" s="8"/>
      <c r="AA396" s="8"/>
      <c r="AB396" s="40"/>
      <c r="AC396" s="8"/>
      <c r="AD396" s="40"/>
    </row>
    <row r="397" spans="13:30">
      <c r="M397" s="8"/>
      <c r="N397" s="8"/>
      <c r="O397" s="40"/>
      <c r="P397" s="8"/>
      <c r="Q397" s="40"/>
      <c r="Z397" s="8"/>
      <c r="AA397" s="8"/>
      <c r="AB397" s="40"/>
      <c r="AC397" s="8"/>
      <c r="AD397" s="40"/>
    </row>
    <row r="398" spans="13:30">
      <c r="M398" s="8"/>
      <c r="N398" s="8"/>
      <c r="O398" s="40"/>
      <c r="P398" s="8"/>
      <c r="Q398" s="40"/>
      <c r="Z398" s="8"/>
      <c r="AA398" s="8"/>
      <c r="AB398" s="40"/>
      <c r="AC398" s="8"/>
      <c r="AD398" s="40"/>
    </row>
    <row r="399" spans="13:30">
      <c r="M399" s="8"/>
      <c r="N399" s="8"/>
      <c r="O399" s="40"/>
      <c r="P399" s="8"/>
      <c r="Q399" s="40"/>
      <c r="Z399" s="8"/>
      <c r="AA399" s="8"/>
      <c r="AB399" s="40"/>
      <c r="AC399" s="8"/>
      <c r="AD399" s="40"/>
    </row>
    <row r="400" spans="13:30">
      <c r="M400" s="8"/>
      <c r="N400" s="8"/>
      <c r="O400" s="40"/>
      <c r="P400" s="8"/>
      <c r="Q400" s="40"/>
      <c r="Z400" s="8"/>
      <c r="AA400" s="8"/>
      <c r="AB400" s="40"/>
      <c r="AC400" s="8"/>
      <c r="AD400" s="40"/>
    </row>
    <row r="401" spans="13:30">
      <c r="M401" s="8"/>
      <c r="N401" s="8"/>
      <c r="O401" s="40"/>
      <c r="P401" s="8"/>
      <c r="Q401" s="40"/>
      <c r="Z401" s="8"/>
      <c r="AA401" s="8"/>
      <c r="AB401" s="40"/>
      <c r="AC401" s="8"/>
      <c r="AD401" s="40"/>
    </row>
    <row r="402" spans="13:30">
      <c r="M402" s="8"/>
      <c r="N402" s="8"/>
      <c r="O402" s="40"/>
      <c r="P402" s="8"/>
      <c r="Q402" s="40"/>
      <c r="Z402" s="8"/>
      <c r="AA402" s="8"/>
      <c r="AB402" s="40"/>
      <c r="AC402" s="8"/>
      <c r="AD402" s="40"/>
    </row>
    <row r="403" spans="13:30">
      <c r="M403" s="8"/>
      <c r="N403" s="8"/>
      <c r="O403" s="40"/>
      <c r="P403" s="8"/>
      <c r="Q403" s="40"/>
      <c r="Z403" s="8"/>
      <c r="AA403" s="8"/>
      <c r="AB403" s="40"/>
      <c r="AC403" s="8"/>
      <c r="AD403" s="40"/>
    </row>
    <row r="404" spans="13:30">
      <c r="M404" s="8"/>
      <c r="N404" s="8"/>
      <c r="O404" s="40"/>
      <c r="P404" s="8"/>
      <c r="Q404" s="40"/>
      <c r="Z404" s="8"/>
      <c r="AA404" s="8"/>
      <c r="AB404" s="40"/>
      <c r="AC404" s="8"/>
      <c r="AD404" s="40"/>
    </row>
    <row r="405" spans="13:30">
      <c r="M405" s="8"/>
      <c r="N405" s="8"/>
      <c r="O405" s="40"/>
      <c r="P405" s="8"/>
      <c r="Q405" s="40"/>
      <c r="Z405" s="8"/>
      <c r="AA405" s="8"/>
      <c r="AB405" s="40"/>
      <c r="AC405" s="8"/>
      <c r="AD405" s="40"/>
    </row>
    <row r="406" spans="13:30">
      <c r="M406" s="8"/>
      <c r="N406" s="8"/>
      <c r="O406" s="40"/>
      <c r="P406" s="8"/>
      <c r="Q406" s="40"/>
      <c r="Z406" s="8"/>
      <c r="AA406" s="8"/>
      <c r="AB406" s="40"/>
      <c r="AC406" s="8"/>
      <c r="AD406" s="40"/>
    </row>
    <row r="407" spans="13:30">
      <c r="M407" s="8"/>
      <c r="N407" s="8"/>
      <c r="O407" s="40"/>
      <c r="P407" s="8"/>
      <c r="Q407" s="40"/>
      <c r="Z407" s="8"/>
      <c r="AA407" s="8"/>
      <c r="AB407" s="40"/>
      <c r="AC407" s="8"/>
      <c r="AD407" s="40"/>
    </row>
    <row r="408" spans="13:30">
      <c r="M408" s="8"/>
      <c r="N408" s="8"/>
      <c r="O408" s="40"/>
      <c r="P408" s="8"/>
      <c r="Q408" s="40"/>
      <c r="Z408" s="8"/>
      <c r="AA408" s="8"/>
      <c r="AB408" s="40"/>
      <c r="AC408" s="8"/>
      <c r="AD408" s="40"/>
    </row>
    <row r="409" spans="13:30">
      <c r="M409" s="8"/>
      <c r="N409" s="8"/>
      <c r="O409" s="40"/>
      <c r="P409" s="8"/>
      <c r="Q409" s="40"/>
      <c r="Z409" s="8"/>
      <c r="AA409" s="8"/>
      <c r="AB409" s="40"/>
      <c r="AC409" s="8"/>
      <c r="AD409" s="40"/>
    </row>
    <row r="410" spans="13:30">
      <c r="M410" s="8"/>
      <c r="N410" s="8"/>
      <c r="O410" s="40"/>
      <c r="P410" s="8"/>
      <c r="Q410" s="40"/>
      <c r="Z410" s="8"/>
      <c r="AA410" s="8"/>
      <c r="AB410" s="40"/>
      <c r="AC410" s="8"/>
      <c r="AD410" s="40"/>
    </row>
    <row r="411" spans="13:30">
      <c r="M411" s="8"/>
      <c r="N411" s="8"/>
      <c r="O411" s="40"/>
      <c r="P411" s="8"/>
      <c r="Q411" s="40"/>
      <c r="Z411" s="8"/>
      <c r="AA411" s="8"/>
      <c r="AB411" s="40"/>
      <c r="AC411" s="8"/>
      <c r="AD411" s="40"/>
    </row>
    <row r="412" spans="13:30">
      <c r="M412" s="8"/>
      <c r="N412" s="8"/>
      <c r="O412" s="40"/>
      <c r="P412" s="8"/>
      <c r="Q412" s="40"/>
      <c r="Z412" s="8"/>
      <c r="AA412" s="8"/>
      <c r="AB412" s="40"/>
      <c r="AC412" s="8"/>
      <c r="AD412" s="40"/>
    </row>
    <row r="413" spans="13:30">
      <c r="M413" s="8"/>
      <c r="N413" s="8"/>
      <c r="O413" s="40"/>
      <c r="P413" s="8"/>
      <c r="Q413" s="40"/>
      <c r="Z413" s="8"/>
      <c r="AA413" s="8"/>
      <c r="AB413" s="40"/>
      <c r="AC413" s="8"/>
      <c r="AD413" s="40"/>
    </row>
    <row r="414" spans="13:30">
      <c r="M414" s="8"/>
      <c r="N414" s="8"/>
      <c r="O414" s="40"/>
      <c r="P414" s="8"/>
      <c r="Q414" s="40"/>
      <c r="Z414" s="8"/>
      <c r="AA414" s="8"/>
      <c r="AB414" s="40"/>
      <c r="AC414" s="8"/>
      <c r="AD414" s="40"/>
    </row>
    <row r="415" spans="13:30">
      <c r="M415" s="8"/>
      <c r="N415" s="8"/>
      <c r="O415" s="40"/>
      <c r="P415" s="8"/>
      <c r="Q415" s="40"/>
      <c r="Z415" s="8"/>
      <c r="AA415" s="8"/>
      <c r="AB415" s="40"/>
      <c r="AC415" s="8"/>
      <c r="AD415" s="40"/>
    </row>
    <row r="416" spans="13:30">
      <c r="M416" s="8"/>
      <c r="N416" s="8"/>
      <c r="O416" s="40"/>
      <c r="P416" s="8"/>
      <c r="Q416" s="40"/>
      <c r="Z416" s="8"/>
      <c r="AA416" s="8"/>
      <c r="AB416" s="40"/>
      <c r="AC416" s="8"/>
      <c r="AD416" s="40"/>
    </row>
    <row r="417" spans="13:30">
      <c r="M417" s="8"/>
      <c r="N417" s="8"/>
      <c r="O417" s="40"/>
      <c r="P417" s="8"/>
      <c r="Q417" s="40"/>
      <c r="Z417" s="8"/>
      <c r="AA417" s="8"/>
      <c r="AB417" s="40"/>
      <c r="AC417" s="8"/>
      <c r="AD417" s="40"/>
    </row>
    <row r="418" spans="13:30">
      <c r="M418" s="8"/>
      <c r="N418" s="8"/>
      <c r="O418" s="40"/>
      <c r="P418" s="8"/>
      <c r="Q418" s="40"/>
      <c r="Z418" s="8"/>
      <c r="AA418" s="8"/>
      <c r="AB418" s="40"/>
      <c r="AC418" s="8"/>
      <c r="AD418" s="40"/>
    </row>
    <row r="419" spans="13:30">
      <c r="M419" s="8"/>
      <c r="N419" s="8"/>
      <c r="O419" s="40"/>
      <c r="P419" s="8"/>
      <c r="Q419" s="40"/>
      <c r="Z419" s="8"/>
      <c r="AA419" s="8"/>
      <c r="AB419" s="40"/>
      <c r="AC419" s="8"/>
      <c r="AD419" s="40"/>
    </row>
    <row r="420" spans="13:30">
      <c r="M420" s="8"/>
      <c r="N420" s="8"/>
      <c r="O420" s="40"/>
      <c r="P420" s="8"/>
      <c r="Q420" s="40"/>
      <c r="Z420" s="8"/>
      <c r="AA420" s="8"/>
      <c r="AB420" s="40"/>
      <c r="AC420" s="8"/>
      <c r="AD420" s="40"/>
    </row>
    <row r="421" spans="13:30">
      <c r="M421" s="8"/>
      <c r="N421" s="8"/>
      <c r="O421" s="40"/>
      <c r="P421" s="8"/>
      <c r="Q421" s="40"/>
      <c r="Z421" s="8"/>
      <c r="AA421" s="8"/>
      <c r="AB421" s="40"/>
      <c r="AC421" s="8"/>
      <c r="AD421" s="40"/>
    </row>
    <row r="422" spans="13:30">
      <c r="M422" s="8"/>
      <c r="N422" s="8"/>
      <c r="O422" s="40"/>
      <c r="P422" s="8"/>
      <c r="Q422" s="40"/>
      <c r="Z422" s="8"/>
      <c r="AA422" s="8"/>
      <c r="AB422" s="40"/>
      <c r="AC422" s="8"/>
      <c r="AD422" s="40"/>
    </row>
    <row r="423" spans="13:30">
      <c r="M423" s="8"/>
      <c r="N423" s="8"/>
      <c r="O423" s="40"/>
      <c r="P423" s="8"/>
      <c r="Q423" s="40"/>
      <c r="Z423" s="8"/>
      <c r="AA423" s="8"/>
      <c r="AB423" s="40"/>
      <c r="AC423" s="8"/>
      <c r="AD423" s="40"/>
    </row>
    <row r="424" spans="13:30">
      <c r="M424" s="8"/>
      <c r="N424" s="8"/>
      <c r="O424" s="40"/>
      <c r="P424" s="8"/>
      <c r="Q424" s="40"/>
      <c r="Z424" s="8"/>
      <c r="AA424" s="8"/>
      <c r="AB424" s="40"/>
      <c r="AC424" s="8"/>
      <c r="AD424" s="40"/>
    </row>
    <row r="425" spans="13:30">
      <c r="M425" s="8"/>
      <c r="N425" s="8"/>
      <c r="O425" s="40"/>
      <c r="P425" s="8"/>
      <c r="Q425" s="40"/>
      <c r="Z425" s="8"/>
      <c r="AA425" s="8"/>
      <c r="AB425" s="40"/>
      <c r="AC425" s="8"/>
      <c r="AD425" s="40"/>
    </row>
    <row r="426" spans="13:30">
      <c r="M426" s="8"/>
      <c r="N426" s="8"/>
      <c r="O426" s="40"/>
      <c r="P426" s="8"/>
      <c r="Q426" s="40"/>
      <c r="Z426" s="8"/>
      <c r="AA426" s="8"/>
      <c r="AB426" s="40"/>
      <c r="AC426" s="8"/>
      <c r="AD426" s="40"/>
    </row>
    <row r="427" spans="13:30">
      <c r="M427" s="8"/>
      <c r="N427" s="8"/>
      <c r="O427" s="40"/>
      <c r="P427" s="8"/>
      <c r="Q427" s="40"/>
      <c r="Z427" s="8"/>
      <c r="AA427" s="8"/>
      <c r="AB427" s="40"/>
      <c r="AC427" s="8"/>
      <c r="AD427" s="40"/>
    </row>
    <row r="428" spans="13:30">
      <c r="M428" s="8"/>
      <c r="N428" s="8"/>
      <c r="O428" s="40"/>
      <c r="P428" s="8"/>
      <c r="Q428" s="40"/>
      <c r="Z428" s="8"/>
      <c r="AA428" s="8"/>
      <c r="AB428" s="40"/>
      <c r="AC428" s="8"/>
      <c r="AD428" s="40"/>
    </row>
    <row r="429" spans="13:30">
      <c r="M429" s="8"/>
      <c r="N429" s="8"/>
      <c r="O429" s="40"/>
      <c r="P429" s="8"/>
      <c r="Q429" s="40"/>
      <c r="Z429" s="8"/>
      <c r="AA429" s="8"/>
      <c r="AB429" s="40"/>
      <c r="AC429" s="8"/>
      <c r="AD429" s="40"/>
    </row>
    <row r="430" spans="13:30">
      <c r="M430" s="8"/>
      <c r="N430" s="8"/>
      <c r="O430" s="40"/>
      <c r="P430" s="8"/>
      <c r="Q430" s="40"/>
      <c r="Z430" s="8"/>
      <c r="AA430" s="8"/>
      <c r="AB430" s="40"/>
      <c r="AC430" s="8"/>
      <c r="AD430" s="40"/>
    </row>
    <row r="431" spans="13:30">
      <c r="M431" s="8"/>
      <c r="N431" s="8"/>
      <c r="O431" s="40"/>
      <c r="P431" s="8"/>
      <c r="Q431" s="40"/>
      <c r="Z431" s="8"/>
      <c r="AA431" s="8"/>
      <c r="AB431" s="40"/>
      <c r="AC431" s="8"/>
      <c r="AD431" s="40"/>
    </row>
    <row r="432" spans="13:30">
      <c r="M432" s="8"/>
      <c r="N432" s="8"/>
      <c r="O432" s="40"/>
      <c r="P432" s="8"/>
      <c r="Q432" s="40"/>
      <c r="Z432" s="8"/>
      <c r="AA432" s="8"/>
      <c r="AB432" s="40"/>
      <c r="AC432" s="8"/>
      <c r="AD432" s="40"/>
    </row>
    <row r="433" spans="13:30">
      <c r="M433" s="8"/>
      <c r="N433" s="8"/>
      <c r="O433" s="40"/>
      <c r="P433" s="8"/>
      <c r="Q433" s="40"/>
      <c r="Z433" s="8"/>
      <c r="AA433" s="8"/>
      <c r="AB433" s="40"/>
      <c r="AC433" s="8"/>
      <c r="AD433" s="40"/>
    </row>
    <row r="434" spans="13:30">
      <c r="M434" s="8"/>
      <c r="N434" s="8"/>
      <c r="O434" s="40"/>
      <c r="P434" s="8"/>
      <c r="Q434" s="40"/>
      <c r="Z434" s="8"/>
      <c r="AA434" s="8"/>
      <c r="AB434" s="40"/>
      <c r="AC434" s="8"/>
      <c r="AD434" s="40"/>
    </row>
    <row r="435" spans="13:30">
      <c r="M435" s="8"/>
      <c r="N435" s="8"/>
      <c r="O435" s="40"/>
      <c r="P435" s="8"/>
      <c r="Q435" s="40"/>
      <c r="Z435" s="8"/>
      <c r="AA435" s="8"/>
      <c r="AB435" s="40"/>
      <c r="AC435" s="8"/>
      <c r="AD435" s="40"/>
    </row>
    <row r="436" spans="13:30">
      <c r="M436" s="8"/>
      <c r="N436" s="8"/>
      <c r="O436" s="40"/>
      <c r="P436" s="8"/>
      <c r="Q436" s="40"/>
      <c r="Z436" s="8"/>
      <c r="AA436" s="8"/>
      <c r="AB436" s="40"/>
      <c r="AC436" s="8"/>
      <c r="AD436" s="40"/>
    </row>
    <row r="437" spans="13:30">
      <c r="M437" s="8"/>
      <c r="N437" s="8"/>
      <c r="O437" s="40"/>
      <c r="P437" s="8"/>
      <c r="Q437" s="40"/>
      <c r="Z437" s="8"/>
      <c r="AA437" s="8"/>
      <c r="AB437" s="40"/>
      <c r="AC437" s="8"/>
      <c r="AD437" s="40"/>
    </row>
    <row r="438" spans="13:30">
      <c r="M438" s="8"/>
      <c r="N438" s="8"/>
      <c r="O438" s="40"/>
      <c r="P438" s="8"/>
      <c r="Q438" s="40"/>
      <c r="Z438" s="8"/>
      <c r="AA438" s="8"/>
      <c r="AB438" s="40"/>
      <c r="AC438" s="8"/>
      <c r="AD438" s="40"/>
    </row>
    <row r="439" spans="13:30">
      <c r="M439" s="8"/>
      <c r="N439" s="8"/>
      <c r="O439" s="40"/>
      <c r="P439" s="8"/>
      <c r="Q439" s="40"/>
      <c r="Z439" s="8"/>
      <c r="AA439" s="8"/>
      <c r="AB439" s="40"/>
      <c r="AC439" s="8"/>
      <c r="AD439" s="40"/>
    </row>
    <row r="440" spans="13:30">
      <c r="M440" s="8"/>
      <c r="N440" s="8"/>
      <c r="O440" s="40"/>
      <c r="P440" s="8"/>
      <c r="Q440" s="40"/>
      <c r="Z440" s="8"/>
      <c r="AA440" s="8"/>
      <c r="AB440" s="40"/>
      <c r="AC440" s="8"/>
      <c r="AD440" s="40"/>
    </row>
    <row r="441" spans="13:30">
      <c r="M441" s="8"/>
      <c r="N441" s="8"/>
      <c r="O441" s="40"/>
      <c r="P441" s="8"/>
      <c r="Q441" s="40"/>
      <c r="Z441" s="8"/>
      <c r="AA441" s="8"/>
      <c r="AB441" s="40"/>
      <c r="AC441" s="8"/>
      <c r="AD441" s="40"/>
    </row>
    <row r="442" spans="13:30">
      <c r="M442" s="8"/>
      <c r="N442" s="8"/>
      <c r="O442" s="40"/>
      <c r="P442" s="8"/>
      <c r="Q442" s="40"/>
      <c r="Z442" s="8"/>
      <c r="AA442" s="8"/>
      <c r="AB442" s="40"/>
      <c r="AC442" s="8"/>
      <c r="AD442" s="40"/>
    </row>
    <row r="443" spans="13:30">
      <c r="M443" s="8"/>
      <c r="N443" s="8"/>
      <c r="O443" s="40"/>
      <c r="P443" s="8"/>
      <c r="Q443" s="40"/>
      <c r="Z443" s="8"/>
      <c r="AA443" s="8"/>
      <c r="AB443" s="40"/>
      <c r="AC443" s="8"/>
      <c r="AD443" s="40"/>
    </row>
    <row r="444" spans="13:30">
      <c r="M444" s="8"/>
      <c r="N444" s="8"/>
      <c r="O444" s="40"/>
      <c r="P444" s="8"/>
      <c r="Q444" s="40"/>
      <c r="Z444" s="8"/>
      <c r="AA444" s="8"/>
      <c r="AB444" s="40"/>
      <c r="AC444" s="8"/>
      <c r="AD444" s="40"/>
    </row>
    <row r="445" spans="13:30">
      <c r="M445" s="8"/>
      <c r="N445" s="8"/>
      <c r="O445" s="40"/>
      <c r="P445" s="8"/>
      <c r="Q445" s="40"/>
      <c r="Z445" s="8"/>
      <c r="AA445" s="8"/>
      <c r="AB445" s="40"/>
      <c r="AC445" s="8"/>
      <c r="AD445" s="40"/>
    </row>
    <row r="446" spans="13:30">
      <c r="M446" s="8"/>
      <c r="N446" s="8"/>
      <c r="O446" s="40"/>
      <c r="P446" s="8"/>
      <c r="Q446" s="40"/>
      <c r="Z446" s="8"/>
      <c r="AA446" s="8"/>
      <c r="AB446" s="40"/>
      <c r="AC446" s="8"/>
      <c r="AD446" s="40"/>
    </row>
    <row r="447" spans="13:30">
      <c r="M447" s="8"/>
      <c r="N447" s="8"/>
      <c r="O447" s="40"/>
      <c r="P447" s="8"/>
      <c r="Q447" s="40"/>
      <c r="Z447" s="8"/>
      <c r="AA447" s="8"/>
      <c r="AB447" s="40"/>
      <c r="AC447" s="8"/>
      <c r="AD447" s="40"/>
    </row>
    <row r="448" spans="13:30">
      <c r="M448" s="8"/>
      <c r="N448" s="8"/>
      <c r="O448" s="40"/>
      <c r="P448" s="8"/>
      <c r="Q448" s="40"/>
      <c r="Z448" s="8"/>
      <c r="AA448" s="8"/>
      <c r="AB448" s="40"/>
      <c r="AC448" s="8"/>
      <c r="AD448" s="40"/>
    </row>
    <row r="449" spans="13:30">
      <c r="M449" s="8"/>
      <c r="N449" s="8"/>
      <c r="O449" s="40"/>
      <c r="P449" s="8"/>
      <c r="Q449" s="40"/>
      <c r="Z449" s="8"/>
      <c r="AA449" s="8"/>
      <c r="AB449" s="40"/>
      <c r="AC449" s="8"/>
      <c r="AD449" s="40"/>
    </row>
    <row r="450" spans="13:30">
      <c r="M450" s="8"/>
      <c r="N450" s="8"/>
      <c r="O450" s="40"/>
      <c r="P450" s="8"/>
      <c r="Q450" s="40"/>
      <c r="Z450" s="8"/>
      <c r="AA450" s="8"/>
      <c r="AB450" s="40"/>
      <c r="AC450" s="8"/>
      <c r="AD450" s="40"/>
    </row>
    <row r="451" spans="13:30">
      <c r="M451" s="8"/>
      <c r="N451" s="8"/>
      <c r="O451" s="40"/>
      <c r="P451" s="8"/>
      <c r="Q451" s="40"/>
      <c r="Z451" s="8"/>
      <c r="AA451" s="8"/>
      <c r="AB451" s="40"/>
      <c r="AC451" s="8"/>
      <c r="AD451" s="40"/>
    </row>
    <row r="452" spans="13:30">
      <c r="M452" s="8"/>
      <c r="N452" s="8"/>
      <c r="O452" s="40"/>
      <c r="P452" s="8"/>
      <c r="Q452" s="40"/>
      <c r="Z452" s="8"/>
      <c r="AA452" s="8"/>
      <c r="AB452" s="40"/>
      <c r="AC452" s="8"/>
      <c r="AD452" s="40"/>
    </row>
    <row r="453" spans="13:30">
      <c r="M453" s="8"/>
      <c r="N453" s="8"/>
      <c r="O453" s="40"/>
      <c r="P453" s="8"/>
      <c r="Q453" s="40"/>
      <c r="Z453" s="8"/>
      <c r="AA453" s="8"/>
      <c r="AB453" s="40"/>
      <c r="AC453" s="8"/>
      <c r="AD453" s="40"/>
    </row>
    <row r="454" spans="13:30">
      <c r="M454" s="8"/>
      <c r="N454" s="8"/>
      <c r="O454" s="40"/>
      <c r="P454" s="8"/>
      <c r="Q454" s="40"/>
      <c r="Z454" s="8"/>
      <c r="AA454" s="8"/>
      <c r="AB454" s="40"/>
      <c r="AC454" s="8"/>
      <c r="AD454" s="40"/>
    </row>
    <row r="455" spans="13:30">
      <c r="M455" s="8"/>
      <c r="N455" s="8"/>
      <c r="O455" s="40"/>
      <c r="P455" s="8"/>
      <c r="Q455" s="40"/>
      <c r="Z455" s="8"/>
      <c r="AA455" s="8"/>
      <c r="AB455" s="40"/>
      <c r="AC455" s="8"/>
      <c r="AD455" s="40"/>
    </row>
    <row r="456" spans="13:30">
      <c r="M456" s="8"/>
      <c r="N456" s="8"/>
      <c r="O456" s="40"/>
      <c r="P456" s="8"/>
      <c r="Q456" s="40"/>
      <c r="Z456" s="8"/>
      <c r="AA456" s="8"/>
      <c r="AB456" s="40"/>
      <c r="AC456" s="8"/>
      <c r="AD456" s="40"/>
    </row>
    <row r="457" spans="13:30">
      <c r="M457" s="8"/>
      <c r="N457" s="8"/>
      <c r="O457" s="40"/>
      <c r="P457" s="8"/>
      <c r="Q457" s="40"/>
      <c r="Z457" s="8"/>
      <c r="AA457" s="8"/>
      <c r="AB457" s="40"/>
      <c r="AC457" s="8"/>
      <c r="AD457" s="40"/>
    </row>
    <row r="458" spans="13:30">
      <c r="M458" s="8"/>
      <c r="N458" s="8"/>
      <c r="O458" s="40"/>
      <c r="P458" s="8"/>
      <c r="Q458" s="40"/>
      <c r="Z458" s="8"/>
      <c r="AA458" s="8"/>
      <c r="AB458" s="40"/>
      <c r="AC458" s="8"/>
      <c r="AD458" s="40"/>
    </row>
    <row r="459" spans="13:30">
      <c r="M459" s="8"/>
      <c r="N459" s="8"/>
      <c r="O459" s="40"/>
      <c r="P459" s="8"/>
      <c r="Q459" s="40"/>
      <c r="Z459" s="8"/>
      <c r="AA459" s="8"/>
      <c r="AB459" s="40"/>
      <c r="AC459" s="8"/>
      <c r="AD459" s="40"/>
    </row>
    <row r="460" spans="13:30">
      <c r="M460" s="8"/>
      <c r="N460" s="8"/>
      <c r="O460" s="40"/>
      <c r="P460" s="8"/>
      <c r="Q460" s="40"/>
      <c r="Z460" s="8"/>
      <c r="AA460" s="8"/>
      <c r="AB460" s="40"/>
      <c r="AC460" s="8"/>
      <c r="AD460" s="40"/>
    </row>
    <row r="461" spans="13:30">
      <c r="M461" s="8"/>
      <c r="N461" s="8"/>
      <c r="O461" s="40"/>
      <c r="P461" s="8"/>
      <c r="Q461" s="40"/>
      <c r="Z461" s="8"/>
      <c r="AA461" s="8"/>
      <c r="AB461" s="40"/>
      <c r="AC461" s="8"/>
      <c r="AD461" s="40"/>
    </row>
    <row r="462" spans="13:30">
      <c r="M462" s="8"/>
      <c r="N462" s="8"/>
      <c r="O462" s="40"/>
      <c r="P462" s="8"/>
      <c r="Q462" s="40"/>
      <c r="Z462" s="8"/>
      <c r="AA462" s="8"/>
      <c r="AB462" s="40"/>
      <c r="AC462" s="8"/>
      <c r="AD462" s="40"/>
    </row>
    <row r="463" spans="13:30">
      <c r="M463" s="8"/>
      <c r="N463" s="8"/>
      <c r="O463" s="40"/>
      <c r="P463" s="8"/>
      <c r="Q463" s="40"/>
      <c r="Z463" s="8"/>
      <c r="AA463" s="8"/>
      <c r="AB463" s="40"/>
      <c r="AC463" s="8"/>
      <c r="AD463" s="40"/>
    </row>
    <row r="464" spans="13:30">
      <c r="M464" s="8"/>
      <c r="N464" s="8"/>
      <c r="O464" s="40"/>
      <c r="P464" s="8"/>
      <c r="Q464" s="40"/>
      <c r="Z464" s="8"/>
      <c r="AA464" s="8"/>
      <c r="AB464" s="40"/>
      <c r="AC464" s="8"/>
      <c r="AD464" s="40"/>
    </row>
    <row r="465" spans="13:30">
      <c r="M465" s="8"/>
      <c r="N465" s="8"/>
      <c r="O465" s="40"/>
      <c r="P465" s="8"/>
      <c r="Q465" s="40"/>
      <c r="Z465" s="8"/>
      <c r="AA465" s="8"/>
      <c r="AB465" s="40"/>
      <c r="AC465" s="8"/>
      <c r="AD465" s="40"/>
    </row>
    <row r="466" spans="13:30">
      <c r="M466" s="8"/>
      <c r="N466" s="8"/>
      <c r="O466" s="40"/>
      <c r="P466" s="8"/>
      <c r="Q466" s="40"/>
      <c r="Z466" s="8"/>
      <c r="AA466" s="8"/>
      <c r="AB466" s="40"/>
      <c r="AC466" s="8"/>
      <c r="AD466" s="40"/>
    </row>
    <row r="467" spans="13:30">
      <c r="M467" s="8"/>
      <c r="N467" s="8"/>
      <c r="O467" s="40"/>
      <c r="P467" s="8"/>
      <c r="Q467" s="40"/>
      <c r="Z467" s="8"/>
      <c r="AA467" s="8"/>
      <c r="AB467" s="40"/>
      <c r="AC467" s="8"/>
      <c r="AD467" s="40"/>
    </row>
    <row r="468" spans="13:30">
      <c r="M468" s="8"/>
      <c r="N468" s="8"/>
      <c r="O468" s="40"/>
      <c r="P468" s="8"/>
      <c r="Q468" s="40"/>
      <c r="Z468" s="8"/>
      <c r="AA468" s="8"/>
      <c r="AB468" s="40"/>
      <c r="AC468" s="8"/>
      <c r="AD468" s="40"/>
    </row>
    <row r="469" spans="13:30">
      <c r="M469" s="8"/>
      <c r="N469" s="8"/>
      <c r="O469" s="40"/>
      <c r="P469" s="8"/>
      <c r="Q469" s="40"/>
      <c r="Z469" s="8"/>
      <c r="AA469" s="8"/>
      <c r="AB469" s="40"/>
      <c r="AC469" s="8"/>
      <c r="AD469" s="40"/>
    </row>
    <row r="470" spans="13:30">
      <c r="M470" s="8"/>
      <c r="N470" s="8"/>
      <c r="O470" s="40"/>
      <c r="P470" s="8"/>
      <c r="Q470" s="40"/>
      <c r="Z470" s="8"/>
      <c r="AA470" s="8"/>
      <c r="AB470" s="40"/>
      <c r="AC470" s="8"/>
      <c r="AD470" s="40"/>
    </row>
    <row r="471" spans="13:30">
      <c r="M471" s="8"/>
      <c r="N471" s="8"/>
      <c r="O471" s="40"/>
      <c r="P471" s="8"/>
      <c r="Q471" s="40"/>
      <c r="Z471" s="8"/>
      <c r="AA471" s="8"/>
      <c r="AB471" s="40"/>
      <c r="AC471" s="8"/>
      <c r="AD471" s="40"/>
    </row>
    <row r="472" spans="13:30">
      <c r="M472" s="8"/>
      <c r="N472" s="8"/>
      <c r="O472" s="40"/>
      <c r="P472" s="8"/>
      <c r="Q472" s="40"/>
      <c r="Z472" s="8"/>
      <c r="AA472" s="8"/>
      <c r="AB472" s="40"/>
      <c r="AC472" s="8"/>
      <c r="AD472" s="40"/>
    </row>
    <row r="473" spans="13:30">
      <c r="M473" s="8"/>
      <c r="N473" s="8"/>
      <c r="O473" s="40"/>
      <c r="P473" s="8"/>
      <c r="Q473" s="40"/>
      <c r="Z473" s="8"/>
      <c r="AA473" s="8"/>
      <c r="AB473" s="40"/>
      <c r="AC473" s="8"/>
      <c r="AD473" s="40"/>
    </row>
    <row r="474" spans="13:30">
      <c r="M474" s="8"/>
      <c r="N474" s="8"/>
      <c r="O474" s="40"/>
      <c r="P474" s="8"/>
      <c r="Q474" s="40"/>
      <c r="Z474" s="8"/>
      <c r="AA474" s="8"/>
      <c r="AB474" s="40"/>
      <c r="AC474" s="8"/>
      <c r="AD474" s="40"/>
    </row>
    <row r="475" spans="13:30">
      <c r="M475" s="8"/>
      <c r="N475" s="8"/>
      <c r="O475" s="40"/>
      <c r="P475" s="8"/>
      <c r="Q475" s="40"/>
      <c r="Z475" s="8"/>
      <c r="AA475" s="8"/>
      <c r="AB475" s="40"/>
      <c r="AC475" s="8"/>
      <c r="AD475" s="40"/>
    </row>
    <row r="476" spans="13:30">
      <c r="M476" s="8"/>
      <c r="N476" s="8"/>
      <c r="O476" s="40"/>
      <c r="P476" s="8"/>
      <c r="Q476" s="40"/>
      <c r="Z476" s="8"/>
      <c r="AA476" s="8"/>
      <c r="AB476" s="40"/>
      <c r="AC476" s="8"/>
      <c r="AD476" s="40"/>
    </row>
    <row r="477" spans="13:30">
      <c r="M477" s="8"/>
      <c r="N477" s="8"/>
      <c r="O477" s="40"/>
      <c r="P477" s="8"/>
      <c r="Q477" s="40"/>
      <c r="Z477" s="8"/>
      <c r="AA477" s="8"/>
      <c r="AB477" s="40"/>
      <c r="AC477" s="8"/>
      <c r="AD477" s="40"/>
    </row>
    <row r="478" spans="13:30">
      <c r="M478" s="8"/>
      <c r="N478" s="8"/>
      <c r="O478" s="40"/>
      <c r="P478" s="8"/>
      <c r="Q478" s="40"/>
      <c r="Z478" s="8"/>
      <c r="AA478" s="8"/>
      <c r="AB478" s="40"/>
      <c r="AC478" s="8"/>
      <c r="AD478" s="40"/>
    </row>
    <row r="479" spans="13:30">
      <c r="M479" s="8"/>
      <c r="N479" s="8"/>
      <c r="O479" s="40"/>
      <c r="P479" s="8"/>
      <c r="Q479" s="40"/>
      <c r="Z479" s="8"/>
      <c r="AA479" s="8"/>
      <c r="AB479" s="40"/>
      <c r="AC479" s="8"/>
      <c r="AD479" s="40"/>
    </row>
    <row r="480" spans="13:30">
      <c r="M480" s="8"/>
      <c r="N480" s="8"/>
      <c r="O480" s="40"/>
      <c r="P480" s="8"/>
      <c r="Q480" s="40"/>
      <c r="Z480" s="8"/>
      <c r="AA480" s="8"/>
      <c r="AB480" s="40"/>
      <c r="AC480" s="8"/>
      <c r="AD480" s="40"/>
    </row>
    <row r="481" spans="13:30">
      <c r="M481" s="8"/>
      <c r="N481" s="8"/>
      <c r="O481" s="40"/>
      <c r="P481" s="8"/>
      <c r="Q481" s="40"/>
      <c r="Z481" s="8"/>
      <c r="AA481" s="8"/>
      <c r="AB481" s="40"/>
      <c r="AC481" s="8"/>
      <c r="AD481" s="40"/>
    </row>
    <row r="482" spans="13:30">
      <c r="M482" s="8"/>
      <c r="N482" s="8"/>
      <c r="O482" s="40"/>
      <c r="P482" s="8"/>
      <c r="Q482" s="40"/>
      <c r="Z482" s="8"/>
      <c r="AA482" s="8"/>
      <c r="AB482" s="40"/>
      <c r="AC482" s="8"/>
      <c r="AD482" s="40"/>
    </row>
    <row r="483" spans="13:30">
      <c r="M483" s="8"/>
      <c r="N483" s="8"/>
      <c r="O483" s="40"/>
      <c r="P483" s="8"/>
      <c r="Q483" s="40"/>
      <c r="Z483" s="8"/>
      <c r="AA483" s="8"/>
      <c r="AB483" s="40"/>
      <c r="AC483" s="8"/>
      <c r="AD483" s="40"/>
    </row>
    <row r="484" spans="13:30">
      <c r="M484" s="8"/>
      <c r="N484" s="8"/>
      <c r="O484" s="40"/>
      <c r="P484" s="8"/>
      <c r="Q484" s="40"/>
      <c r="Z484" s="8"/>
      <c r="AA484" s="8"/>
      <c r="AB484" s="40"/>
      <c r="AC484" s="8"/>
      <c r="AD484" s="40"/>
    </row>
    <row r="485" spans="13:30">
      <c r="M485" s="8"/>
      <c r="N485" s="8"/>
      <c r="O485" s="40"/>
      <c r="P485" s="8"/>
      <c r="Q485" s="40"/>
      <c r="Z485" s="8"/>
      <c r="AA485" s="8"/>
      <c r="AB485" s="40"/>
      <c r="AC485" s="8"/>
      <c r="AD485" s="40"/>
    </row>
    <row r="486" spans="13:30">
      <c r="M486" s="8"/>
      <c r="N486" s="8"/>
      <c r="O486" s="40"/>
      <c r="P486" s="8"/>
      <c r="Q486" s="40"/>
      <c r="Z486" s="8"/>
      <c r="AA486" s="8"/>
      <c r="AB486" s="40"/>
      <c r="AC486" s="8"/>
      <c r="AD486" s="40"/>
    </row>
    <row r="487" spans="13:30">
      <c r="M487" s="8"/>
      <c r="N487" s="8"/>
      <c r="O487" s="40"/>
      <c r="P487" s="8"/>
      <c r="Q487" s="40"/>
      <c r="Z487" s="8"/>
      <c r="AA487" s="8"/>
      <c r="AB487" s="40"/>
      <c r="AC487" s="8"/>
      <c r="AD487" s="40"/>
    </row>
    <row r="488" spans="13:30">
      <c r="M488" s="8"/>
      <c r="N488" s="8"/>
      <c r="O488" s="40"/>
      <c r="P488" s="8"/>
      <c r="Q488" s="40"/>
      <c r="Z488" s="8"/>
      <c r="AA488" s="8"/>
      <c r="AB488" s="40"/>
      <c r="AC488" s="8"/>
      <c r="AD488" s="40"/>
    </row>
    <row r="489" spans="13:30">
      <c r="M489" s="8"/>
      <c r="N489" s="8"/>
      <c r="O489" s="40"/>
      <c r="P489" s="8"/>
      <c r="Q489" s="40"/>
      <c r="Z489" s="8"/>
      <c r="AA489" s="8"/>
      <c r="AB489" s="40"/>
      <c r="AC489" s="8"/>
      <c r="AD489" s="40"/>
    </row>
    <row r="490" spans="13:30">
      <c r="M490" s="8"/>
      <c r="N490" s="8"/>
      <c r="O490" s="40"/>
      <c r="P490" s="8"/>
      <c r="Q490" s="40"/>
      <c r="Z490" s="8"/>
      <c r="AA490" s="8"/>
      <c r="AB490" s="40"/>
      <c r="AC490" s="8"/>
      <c r="AD490" s="40"/>
    </row>
    <row r="491" spans="13:30">
      <c r="M491" s="8"/>
      <c r="N491" s="8"/>
      <c r="O491" s="40"/>
      <c r="P491" s="8"/>
      <c r="Q491" s="40"/>
      <c r="Z491" s="8"/>
      <c r="AA491" s="8"/>
      <c r="AB491" s="40"/>
      <c r="AC491" s="8"/>
      <c r="AD491" s="40"/>
    </row>
    <row r="492" spans="13:30">
      <c r="M492" s="8"/>
      <c r="N492" s="8"/>
      <c r="O492" s="40"/>
      <c r="P492" s="8"/>
      <c r="Q492" s="40"/>
      <c r="Z492" s="8"/>
      <c r="AA492" s="8"/>
      <c r="AB492" s="40"/>
      <c r="AC492" s="8"/>
      <c r="AD492" s="40"/>
    </row>
    <row r="493" spans="13:30">
      <c r="M493" s="8"/>
      <c r="N493" s="8"/>
      <c r="O493" s="40"/>
      <c r="P493" s="8"/>
      <c r="Q493" s="40"/>
      <c r="Z493" s="8"/>
      <c r="AA493" s="8"/>
      <c r="AB493" s="40"/>
      <c r="AC493" s="8"/>
      <c r="AD493" s="40"/>
    </row>
    <row r="494" spans="13:30">
      <c r="M494" s="8"/>
      <c r="N494" s="8"/>
      <c r="O494" s="40"/>
      <c r="P494" s="8"/>
      <c r="Q494" s="40"/>
      <c r="Z494" s="8"/>
      <c r="AA494" s="8"/>
      <c r="AB494" s="40"/>
      <c r="AC494" s="8"/>
      <c r="AD494" s="40"/>
    </row>
    <row r="495" spans="13:30">
      <c r="M495" s="8"/>
      <c r="N495" s="8"/>
      <c r="O495" s="40"/>
      <c r="P495" s="8"/>
      <c r="Q495" s="40"/>
      <c r="Z495" s="8"/>
      <c r="AA495" s="8"/>
      <c r="AB495" s="40"/>
      <c r="AC495" s="8"/>
      <c r="AD495" s="40"/>
    </row>
    <row r="496" spans="13:30">
      <c r="M496" s="8"/>
      <c r="N496" s="8"/>
      <c r="O496" s="40"/>
      <c r="P496" s="8"/>
      <c r="Q496" s="40"/>
      <c r="Z496" s="8"/>
      <c r="AA496" s="8"/>
      <c r="AB496" s="40"/>
      <c r="AC496" s="8"/>
      <c r="AD496" s="40"/>
    </row>
    <row r="497" spans="13:30">
      <c r="M497" s="8"/>
      <c r="N497" s="8"/>
      <c r="O497" s="40"/>
      <c r="P497" s="8"/>
      <c r="Q497" s="40"/>
      <c r="Z497" s="8"/>
      <c r="AA497" s="8"/>
      <c r="AB497" s="40"/>
      <c r="AC497" s="8"/>
      <c r="AD497" s="40"/>
    </row>
    <row r="498" spans="13:30">
      <c r="M498" s="8"/>
      <c r="N498" s="8"/>
      <c r="O498" s="40"/>
      <c r="P498" s="8"/>
      <c r="Q498" s="40"/>
      <c r="Z498" s="8"/>
      <c r="AA498" s="8"/>
      <c r="AB498" s="40"/>
      <c r="AC498" s="8"/>
      <c r="AD498" s="40"/>
    </row>
    <row r="499" spans="13:30">
      <c r="M499" s="8"/>
      <c r="N499" s="8"/>
      <c r="O499" s="40"/>
      <c r="P499" s="8"/>
      <c r="Q499" s="40"/>
      <c r="Z499" s="8"/>
      <c r="AA499" s="8"/>
      <c r="AB499" s="40"/>
      <c r="AC499" s="8"/>
      <c r="AD499" s="40"/>
    </row>
    <row r="500" spans="13:30">
      <c r="M500" s="8"/>
      <c r="N500" s="8"/>
      <c r="O500" s="40"/>
      <c r="P500" s="8"/>
      <c r="Q500" s="40"/>
      <c r="Z500" s="8"/>
      <c r="AA500" s="8"/>
      <c r="AB500" s="40"/>
      <c r="AC500" s="8"/>
      <c r="AD500" s="40"/>
    </row>
    <row r="501" spans="13:30">
      <c r="M501" s="8"/>
      <c r="N501" s="8"/>
      <c r="O501" s="40"/>
      <c r="P501" s="8"/>
      <c r="Q501" s="40"/>
      <c r="Z501" s="8"/>
      <c r="AA501" s="8"/>
      <c r="AB501" s="40"/>
      <c r="AC501" s="8"/>
      <c r="AD501" s="40"/>
    </row>
    <row r="502" spans="13:30">
      <c r="M502" s="8"/>
      <c r="N502" s="8"/>
      <c r="O502" s="40"/>
      <c r="P502" s="8"/>
      <c r="Q502" s="40"/>
      <c r="Z502" s="8"/>
      <c r="AA502" s="8"/>
      <c r="AB502" s="40"/>
      <c r="AC502" s="8"/>
      <c r="AD502" s="40"/>
    </row>
    <row r="503" spans="13:30">
      <c r="M503" s="8"/>
      <c r="N503" s="8"/>
      <c r="O503" s="40"/>
      <c r="P503" s="8"/>
      <c r="Q503" s="40"/>
      <c r="Z503" s="8"/>
      <c r="AA503" s="8"/>
      <c r="AB503" s="40"/>
      <c r="AC503" s="8"/>
      <c r="AD503" s="40"/>
    </row>
    <row r="504" spans="13:30">
      <c r="M504" s="8"/>
      <c r="N504" s="8"/>
      <c r="O504" s="40"/>
      <c r="P504" s="8"/>
      <c r="Q504" s="40"/>
      <c r="Z504" s="8"/>
      <c r="AA504" s="8"/>
      <c r="AB504" s="40"/>
      <c r="AC504" s="8"/>
      <c r="AD504" s="40"/>
    </row>
    <row r="505" spans="13:30">
      <c r="M505" s="8"/>
      <c r="N505" s="8"/>
      <c r="O505" s="40"/>
      <c r="P505" s="8"/>
      <c r="Q505" s="40"/>
      <c r="Z505" s="8"/>
      <c r="AA505" s="8"/>
      <c r="AB505" s="40"/>
      <c r="AC505" s="8"/>
      <c r="AD505" s="40"/>
    </row>
    <row r="506" spans="13:30">
      <c r="M506" s="8"/>
      <c r="N506" s="8"/>
      <c r="O506" s="40"/>
      <c r="P506" s="8"/>
      <c r="Q506" s="40"/>
      <c r="Z506" s="8"/>
      <c r="AA506" s="8"/>
      <c r="AB506" s="40"/>
      <c r="AC506" s="8"/>
      <c r="AD506" s="40"/>
    </row>
    <row r="507" spans="13:30">
      <c r="M507" s="8"/>
      <c r="N507" s="8"/>
      <c r="O507" s="40"/>
      <c r="P507" s="8"/>
      <c r="Q507" s="40"/>
      <c r="Z507" s="8"/>
      <c r="AA507" s="8"/>
      <c r="AB507" s="40"/>
      <c r="AC507" s="8"/>
      <c r="AD507" s="40"/>
    </row>
    <row r="508" spans="13:30">
      <c r="M508" s="8"/>
      <c r="N508" s="8"/>
      <c r="O508" s="40"/>
      <c r="P508" s="8"/>
      <c r="Q508" s="40"/>
      <c r="Z508" s="8"/>
      <c r="AA508" s="8"/>
      <c r="AB508" s="40"/>
      <c r="AC508" s="8"/>
      <c r="AD508" s="40"/>
    </row>
    <row r="509" spans="13:30">
      <c r="M509" s="8"/>
      <c r="N509" s="8"/>
      <c r="O509" s="40"/>
      <c r="P509" s="8"/>
      <c r="Q509" s="40"/>
      <c r="Z509" s="8"/>
      <c r="AA509" s="8"/>
      <c r="AB509" s="40"/>
      <c r="AC509" s="8"/>
      <c r="AD509" s="40"/>
    </row>
    <row r="510" spans="13:30">
      <c r="M510" s="8"/>
      <c r="N510" s="8"/>
      <c r="O510" s="40"/>
      <c r="P510" s="8"/>
      <c r="Q510" s="40"/>
      <c r="Z510" s="8"/>
      <c r="AA510" s="8"/>
      <c r="AB510" s="40"/>
      <c r="AC510" s="8"/>
      <c r="AD510" s="40"/>
    </row>
    <row r="511" spans="13:30">
      <c r="M511" s="8"/>
      <c r="N511" s="8"/>
      <c r="O511" s="40"/>
      <c r="P511" s="8"/>
      <c r="Q511" s="40"/>
      <c r="Z511" s="8"/>
      <c r="AA511" s="8"/>
      <c r="AB511" s="40"/>
      <c r="AC511" s="8"/>
      <c r="AD511" s="40"/>
    </row>
    <row r="512" spans="13:30">
      <c r="M512" s="8"/>
      <c r="N512" s="8"/>
      <c r="O512" s="40"/>
      <c r="P512" s="8"/>
      <c r="Q512" s="40"/>
      <c r="Z512" s="8"/>
      <c r="AA512" s="8"/>
      <c r="AB512" s="40"/>
      <c r="AC512" s="8"/>
      <c r="AD512" s="40"/>
    </row>
    <row r="513" spans="13:30">
      <c r="M513" s="8"/>
      <c r="N513" s="8"/>
      <c r="O513" s="40"/>
      <c r="P513" s="8"/>
      <c r="Q513" s="40"/>
      <c r="Z513" s="8"/>
      <c r="AA513" s="8"/>
      <c r="AB513" s="40"/>
      <c r="AC513" s="8"/>
      <c r="AD513" s="40"/>
    </row>
    <row r="514" spans="13:30">
      <c r="M514" s="8"/>
      <c r="N514" s="8"/>
      <c r="O514" s="40"/>
      <c r="P514" s="8"/>
      <c r="Q514" s="40"/>
      <c r="Z514" s="8"/>
      <c r="AA514" s="8"/>
      <c r="AB514" s="40"/>
      <c r="AC514" s="8"/>
      <c r="AD514" s="40"/>
    </row>
    <row r="515" spans="13:30">
      <c r="M515" s="8"/>
      <c r="N515" s="8"/>
      <c r="O515" s="40"/>
      <c r="P515" s="8"/>
      <c r="Q515" s="40"/>
      <c r="Z515" s="8"/>
      <c r="AA515" s="8"/>
      <c r="AB515" s="40"/>
      <c r="AC515" s="8"/>
      <c r="AD515" s="40"/>
    </row>
    <row r="516" spans="13:30">
      <c r="M516" s="8"/>
      <c r="N516" s="8"/>
      <c r="O516" s="40"/>
      <c r="P516" s="8"/>
      <c r="Q516" s="40"/>
      <c r="Z516" s="8"/>
      <c r="AA516" s="8"/>
      <c r="AB516" s="40"/>
      <c r="AC516" s="8"/>
      <c r="AD516" s="40"/>
    </row>
    <row r="517" spans="13:30">
      <c r="M517" s="8"/>
      <c r="N517" s="8"/>
      <c r="O517" s="40"/>
      <c r="P517" s="8"/>
      <c r="Q517" s="40"/>
      <c r="Z517" s="8"/>
      <c r="AA517" s="8"/>
      <c r="AB517" s="40"/>
      <c r="AC517" s="8"/>
      <c r="AD517" s="40"/>
    </row>
    <row r="518" spans="13:30">
      <c r="M518" s="8"/>
      <c r="N518" s="8"/>
      <c r="O518" s="40"/>
      <c r="P518" s="8"/>
      <c r="Q518" s="40"/>
      <c r="Z518" s="8"/>
      <c r="AA518" s="8"/>
      <c r="AB518" s="40"/>
      <c r="AC518" s="8"/>
      <c r="AD518" s="40"/>
    </row>
    <row r="519" spans="13:30">
      <c r="M519" s="8"/>
      <c r="N519" s="8"/>
      <c r="O519" s="40"/>
      <c r="P519" s="8"/>
      <c r="Q519" s="40"/>
      <c r="Z519" s="8"/>
      <c r="AA519" s="8"/>
      <c r="AB519" s="40"/>
      <c r="AC519" s="8"/>
      <c r="AD519" s="40"/>
    </row>
    <row r="520" spans="13:30">
      <c r="M520" s="8"/>
      <c r="N520" s="8"/>
      <c r="O520" s="40"/>
      <c r="P520" s="8"/>
      <c r="Q520" s="40"/>
      <c r="Z520" s="8"/>
      <c r="AA520" s="8"/>
      <c r="AB520" s="40"/>
      <c r="AC520" s="8"/>
      <c r="AD520" s="40"/>
    </row>
    <row r="521" spans="13:30">
      <c r="M521" s="8"/>
      <c r="N521" s="8"/>
      <c r="O521" s="40"/>
      <c r="P521" s="8"/>
      <c r="Q521" s="40"/>
      <c r="Z521" s="8"/>
      <c r="AA521" s="8"/>
      <c r="AB521" s="40"/>
      <c r="AC521" s="8"/>
      <c r="AD521" s="40"/>
    </row>
    <row r="522" spans="13:30">
      <c r="M522" s="8"/>
      <c r="N522" s="8"/>
      <c r="O522" s="40"/>
      <c r="P522" s="8"/>
      <c r="Q522" s="40"/>
      <c r="Z522" s="8"/>
      <c r="AA522" s="8"/>
      <c r="AB522" s="40"/>
      <c r="AC522" s="8"/>
      <c r="AD522" s="40"/>
    </row>
    <row r="523" spans="13:30">
      <c r="M523" s="8"/>
      <c r="N523" s="8"/>
      <c r="O523" s="40"/>
      <c r="P523" s="8"/>
      <c r="Q523" s="40"/>
      <c r="Z523" s="8"/>
      <c r="AA523" s="8"/>
      <c r="AB523" s="40"/>
      <c r="AC523" s="8"/>
      <c r="AD523" s="40"/>
    </row>
    <row r="524" spans="13:30">
      <c r="M524" s="8"/>
      <c r="N524" s="8"/>
      <c r="O524" s="40"/>
      <c r="P524" s="8"/>
      <c r="Q524" s="40"/>
      <c r="Z524" s="8"/>
      <c r="AA524" s="8"/>
      <c r="AB524" s="40"/>
      <c r="AC524" s="8"/>
      <c r="AD524" s="40"/>
    </row>
    <row r="525" spans="13:30">
      <c r="M525" s="8"/>
      <c r="N525" s="8"/>
      <c r="O525" s="40"/>
      <c r="P525" s="8"/>
      <c r="Q525" s="40"/>
      <c r="Z525" s="8"/>
      <c r="AA525" s="8"/>
      <c r="AB525" s="40"/>
      <c r="AC525" s="8"/>
      <c r="AD525" s="40"/>
    </row>
    <row r="526" spans="13:30">
      <c r="M526" s="8"/>
      <c r="N526" s="8"/>
      <c r="O526" s="40"/>
      <c r="P526" s="8"/>
      <c r="Q526" s="40"/>
      <c r="Z526" s="8"/>
      <c r="AA526" s="8"/>
      <c r="AB526" s="40"/>
      <c r="AC526" s="8"/>
      <c r="AD526" s="40"/>
    </row>
    <row r="527" spans="13:30">
      <c r="M527" s="8"/>
      <c r="N527" s="8"/>
      <c r="O527" s="40"/>
      <c r="P527" s="8"/>
      <c r="Q527" s="40"/>
      <c r="Z527" s="8"/>
      <c r="AA527" s="8"/>
      <c r="AB527" s="40"/>
      <c r="AC527" s="8"/>
      <c r="AD527" s="40"/>
    </row>
    <row r="528" spans="13:30">
      <c r="M528" s="8"/>
      <c r="N528" s="8"/>
      <c r="O528" s="40"/>
      <c r="P528" s="8"/>
      <c r="Q528" s="40"/>
      <c r="Z528" s="8"/>
      <c r="AA528" s="8"/>
      <c r="AB528" s="40"/>
      <c r="AC528" s="8"/>
      <c r="AD528" s="40"/>
    </row>
    <row r="529" spans="13:30">
      <c r="M529" s="8"/>
      <c r="N529" s="8"/>
      <c r="O529" s="40"/>
      <c r="P529" s="8"/>
      <c r="Q529" s="40"/>
      <c r="Z529" s="8"/>
      <c r="AA529" s="8"/>
      <c r="AB529" s="40"/>
      <c r="AC529" s="8"/>
      <c r="AD529" s="40"/>
    </row>
    <row r="530" spans="13:30">
      <c r="M530" s="8"/>
      <c r="N530" s="8"/>
      <c r="O530" s="40"/>
      <c r="P530" s="8"/>
      <c r="Q530" s="40"/>
      <c r="Z530" s="8"/>
      <c r="AA530" s="8"/>
      <c r="AB530" s="40"/>
      <c r="AC530" s="8"/>
      <c r="AD530" s="40"/>
    </row>
    <row r="531" spans="13:30">
      <c r="M531" s="8"/>
      <c r="N531" s="8"/>
      <c r="O531" s="40"/>
      <c r="P531" s="8"/>
      <c r="Q531" s="40"/>
      <c r="Z531" s="8"/>
      <c r="AA531" s="8"/>
      <c r="AB531" s="40"/>
      <c r="AC531" s="8"/>
      <c r="AD531" s="40"/>
    </row>
    <row r="532" spans="13:30">
      <c r="M532" s="8"/>
      <c r="N532" s="8"/>
      <c r="O532" s="40"/>
      <c r="P532" s="8"/>
      <c r="Q532" s="40"/>
      <c r="Z532" s="8"/>
      <c r="AA532" s="8"/>
      <c r="AB532" s="40"/>
      <c r="AC532" s="8"/>
      <c r="AD532" s="40"/>
    </row>
    <row r="533" spans="13:30">
      <c r="M533" s="8"/>
      <c r="N533" s="8"/>
      <c r="O533" s="40"/>
      <c r="P533" s="8"/>
      <c r="Q533" s="40"/>
      <c r="Z533" s="8"/>
      <c r="AA533" s="8"/>
      <c r="AB533" s="40"/>
      <c r="AC533" s="8"/>
      <c r="AD533" s="40"/>
    </row>
    <row r="534" spans="13:30">
      <c r="M534" s="8"/>
      <c r="N534" s="8"/>
      <c r="O534" s="40"/>
      <c r="P534" s="8"/>
      <c r="Q534" s="40"/>
      <c r="Z534" s="8"/>
      <c r="AA534" s="8"/>
      <c r="AB534" s="40"/>
      <c r="AC534" s="8"/>
      <c r="AD534" s="40"/>
    </row>
    <row r="535" spans="13:30">
      <c r="M535" s="8"/>
      <c r="N535" s="8"/>
      <c r="O535" s="40"/>
      <c r="P535" s="8"/>
      <c r="Q535" s="40"/>
      <c r="Z535" s="8"/>
      <c r="AA535" s="8"/>
      <c r="AB535" s="40"/>
      <c r="AC535" s="8"/>
      <c r="AD535" s="40"/>
    </row>
    <row r="536" spans="13:30">
      <c r="M536" s="8"/>
      <c r="N536" s="8"/>
      <c r="O536" s="40"/>
      <c r="P536" s="8"/>
      <c r="Q536" s="40"/>
      <c r="Z536" s="8"/>
      <c r="AA536" s="8"/>
      <c r="AB536" s="40"/>
      <c r="AC536" s="8"/>
      <c r="AD536" s="40"/>
    </row>
    <row r="537" spans="13:30">
      <c r="M537" s="8"/>
      <c r="N537" s="8"/>
      <c r="O537" s="40"/>
      <c r="P537" s="8"/>
      <c r="Q537" s="40"/>
      <c r="Z537" s="8"/>
      <c r="AA537" s="8"/>
      <c r="AB537" s="40"/>
      <c r="AC537" s="8"/>
      <c r="AD537" s="40"/>
    </row>
    <row r="538" spans="13:30">
      <c r="M538" s="8"/>
      <c r="N538" s="8"/>
      <c r="O538" s="40"/>
      <c r="P538" s="8"/>
      <c r="Q538" s="40"/>
      <c r="Z538" s="8"/>
      <c r="AA538" s="8"/>
      <c r="AB538" s="40"/>
      <c r="AC538" s="8"/>
      <c r="AD538" s="40"/>
    </row>
    <row r="539" spans="13:30">
      <c r="M539" s="8"/>
      <c r="N539" s="8"/>
      <c r="O539" s="40"/>
      <c r="P539" s="8"/>
      <c r="Q539" s="40"/>
      <c r="Z539" s="8"/>
      <c r="AA539" s="8"/>
      <c r="AB539" s="40"/>
      <c r="AC539" s="8"/>
      <c r="AD539" s="40"/>
    </row>
    <row r="540" spans="13:30">
      <c r="M540" s="8"/>
      <c r="N540" s="8"/>
      <c r="O540" s="40"/>
      <c r="P540" s="8"/>
      <c r="Q540" s="40"/>
      <c r="Z540" s="8"/>
      <c r="AA540" s="8"/>
      <c r="AB540" s="40"/>
      <c r="AC540" s="8"/>
      <c r="AD540" s="40"/>
    </row>
    <row r="541" spans="13:30">
      <c r="M541" s="8"/>
      <c r="N541" s="8"/>
      <c r="O541" s="40"/>
      <c r="P541" s="8"/>
      <c r="Q541" s="40"/>
      <c r="Z541" s="8"/>
      <c r="AA541" s="8"/>
      <c r="AB541" s="40"/>
      <c r="AC541" s="8"/>
      <c r="AD541" s="40"/>
    </row>
    <row r="542" spans="13:30">
      <c r="M542" s="8"/>
      <c r="N542" s="8"/>
      <c r="O542" s="40"/>
      <c r="P542" s="8"/>
      <c r="Q542" s="40"/>
      <c r="Z542" s="8"/>
      <c r="AA542" s="8"/>
      <c r="AB542" s="40"/>
      <c r="AC542" s="8"/>
      <c r="AD542" s="40"/>
    </row>
    <row r="543" spans="13:30">
      <c r="M543" s="8"/>
      <c r="N543" s="8"/>
      <c r="O543" s="40"/>
      <c r="P543" s="8"/>
      <c r="Q543" s="40"/>
      <c r="Z543" s="8"/>
      <c r="AA543" s="8"/>
      <c r="AB543" s="40"/>
      <c r="AC543" s="8"/>
      <c r="AD543" s="40"/>
    </row>
    <row r="544" spans="13:30">
      <c r="M544" s="8"/>
      <c r="N544" s="8"/>
      <c r="O544" s="40"/>
      <c r="P544" s="8"/>
      <c r="Q544" s="40"/>
      <c r="Z544" s="8"/>
      <c r="AA544" s="8"/>
      <c r="AB544" s="40"/>
      <c r="AC544" s="8"/>
      <c r="AD544" s="40"/>
    </row>
    <row r="545" spans="13:30">
      <c r="M545" s="8"/>
      <c r="N545" s="8"/>
      <c r="O545" s="40"/>
      <c r="P545" s="8"/>
      <c r="Q545" s="40"/>
      <c r="Z545" s="8"/>
      <c r="AA545" s="8"/>
      <c r="AB545" s="40"/>
      <c r="AC545" s="8"/>
      <c r="AD545" s="40"/>
    </row>
    <row r="546" spans="13:30">
      <c r="M546" s="8"/>
      <c r="N546" s="8"/>
      <c r="O546" s="40"/>
      <c r="P546" s="8"/>
      <c r="Q546" s="40"/>
      <c r="Z546" s="8"/>
      <c r="AA546" s="8"/>
      <c r="AB546" s="40"/>
      <c r="AC546" s="8"/>
      <c r="AD546" s="40"/>
    </row>
    <row r="547" spans="13:30">
      <c r="M547" s="8"/>
      <c r="N547" s="8"/>
      <c r="O547" s="40"/>
      <c r="P547" s="8"/>
      <c r="Q547" s="40"/>
      <c r="Z547" s="8"/>
      <c r="AA547" s="8"/>
      <c r="AB547" s="40"/>
      <c r="AC547" s="8"/>
      <c r="AD547" s="40"/>
    </row>
    <row r="548" spans="13:30">
      <c r="M548" s="8"/>
      <c r="N548" s="8"/>
      <c r="O548" s="40"/>
      <c r="P548" s="8"/>
      <c r="Q548" s="40"/>
      <c r="Z548" s="8"/>
      <c r="AA548" s="8"/>
      <c r="AB548" s="40"/>
      <c r="AC548" s="8"/>
      <c r="AD548" s="40"/>
    </row>
    <row r="549" spans="13:30">
      <c r="M549" s="8"/>
      <c r="N549" s="8"/>
      <c r="O549" s="40"/>
      <c r="P549" s="8"/>
      <c r="Q549" s="40"/>
      <c r="Z549" s="8"/>
      <c r="AA549" s="8"/>
      <c r="AB549" s="40"/>
      <c r="AC549" s="8"/>
      <c r="AD549" s="40"/>
    </row>
    <row r="550" spans="13:30">
      <c r="M550" s="8"/>
      <c r="N550" s="8"/>
      <c r="O550" s="40"/>
      <c r="P550" s="8"/>
      <c r="Q550" s="40"/>
      <c r="Z550" s="8"/>
      <c r="AA550" s="8"/>
      <c r="AB550" s="40"/>
      <c r="AC550" s="8"/>
      <c r="AD550" s="40"/>
    </row>
    <row r="551" spans="13:30">
      <c r="M551" s="8"/>
      <c r="N551" s="8"/>
      <c r="O551" s="40"/>
      <c r="P551" s="8"/>
      <c r="Q551" s="40"/>
      <c r="Z551" s="8"/>
      <c r="AA551" s="8"/>
      <c r="AB551" s="40"/>
      <c r="AC551" s="8"/>
      <c r="AD551" s="40"/>
    </row>
    <row r="552" spans="13:30">
      <c r="M552" s="8"/>
      <c r="N552" s="8"/>
      <c r="O552" s="40"/>
      <c r="P552" s="8"/>
      <c r="Q552" s="40"/>
      <c r="Z552" s="8"/>
      <c r="AA552" s="8"/>
      <c r="AB552" s="40"/>
      <c r="AC552" s="8"/>
      <c r="AD552" s="40"/>
    </row>
    <row r="553" spans="13:30">
      <c r="M553" s="8"/>
      <c r="N553" s="8"/>
      <c r="O553" s="40"/>
      <c r="P553" s="8"/>
      <c r="Q553" s="40"/>
      <c r="Z553" s="8"/>
      <c r="AA553" s="8"/>
      <c r="AB553" s="40"/>
      <c r="AC553" s="8"/>
      <c r="AD553" s="40"/>
    </row>
    <row r="554" spans="13:30">
      <c r="M554" s="8"/>
      <c r="N554" s="8"/>
      <c r="O554" s="40"/>
      <c r="P554" s="8"/>
      <c r="Q554" s="40"/>
      <c r="Z554" s="8"/>
      <c r="AA554" s="8"/>
      <c r="AB554" s="40"/>
      <c r="AC554" s="8"/>
      <c r="AD554" s="40"/>
    </row>
    <row r="555" spans="13:30">
      <c r="M555" s="8"/>
      <c r="N555" s="8"/>
      <c r="O555" s="40"/>
      <c r="P555" s="8"/>
      <c r="Q555" s="40"/>
      <c r="Z555" s="8"/>
      <c r="AA555" s="8"/>
      <c r="AB555" s="40"/>
      <c r="AC555" s="8"/>
      <c r="AD555" s="40"/>
    </row>
    <row r="556" spans="13:30">
      <c r="M556" s="8"/>
      <c r="N556" s="8"/>
      <c r="O556" s="40"/>
      <c r="P556" s="8"/>
      <c r="Q556" s="40"/>
      <c r="Z556" s="8"/>
      <c r="AA556" s="8"/>
      <c r="AB556" s="40"/>
      <c r="AC556" s="8"/>
      <c r="AD556" s="40"/>
    </row>
    <row r="557" spans="13:30">
      <c r="M557" s="8"/>
      <c r="N557" s="8"/>
      <c r="O557" s="40"/>
      <c r="P557" s="8"/>
      <c r="Q557" s="40"/>
      <c r="Z557" s="8"/>
      <c r="AA557" s="8"/>
      <c r="AB557" s="40"/>
      <c r="AC557" s="8"/>
      <c r="AD557" s="40"/>
    </row>
    <row r="558" spans="13:30">
      <c r="M558" s="8"/>
      <c r="N558" s="8"/>
      <c r="O558" s="40"/>
      <c r="P558" s="8"/>
      <c r="Q558" s="40"/>
      <c r="Z558" s="8"/>
      <c r="AA558" s="8"/>
      <c r="AB558" s="40"/>
      <c r="AC558" s="8"/>
      <c r="AD558" s="40"/>
    </row>
    <row r="559" spans="13:30">
      <c r="M559" s="8"/>
      <c r="N559" s="8"/>
      <c r="O559" s="40"/>
      <c r="P559" s="8"/>
      <c r="Q559" s="40"/>
      <c r="Z559" s="8"/>
      <c r="AA559" s="8"/>
      <c r="AB559" s="40"/>
      <c r="AC559" s="8"/>
      <c r="AD559" s="40"/>
    </row>
    <row r="560" spans="13:30">
      <c r="M560" s="8"/>
      <c r="N560" s="8"/>
      <c r="O560" s="40"/>
      <c r="P560" s="8"/>
      <c r="Q560" s="40"/>
      <c r="Z560" s="8"/>
      <c r="AA560" s="8"/>
      <c r="AB560" s="40"/>
      <c r="AC560" s="8"/>
      <c r="AD560" s="40"/>
    </row>
    <row r="561" spans="13:30">
      <c r="M561" s="8"/>
      <c r="N561" s="8"/>
      <c r="O561" s="40"/>
      <c r="P561" s="8"/>
      <c r="Q561" s="40"/>
      <c r="Z561" s="8"/>
      <c r="AA561" s="8"/>
      <c r="AB561" s="40"/>
      <c r="AC561" s="8"/>
      <c r="AD561" s="40"/>
    </row>
    <row r="562" spans="13:30">
      <c r="M562" s="8"/>
      <c r="N562" s="8"/>
      <c r="O562" s="40"/>
      <c r="P562" s="8"/>
      <c r="Q562" s="40"/>
      <c r="Z562" s="8"/>
      <c r="AA562" s="8"/>
      <c r="AB562" s="40"/>
      <c r="AC562" s="8"/>
      <c r="AD562" s="40"/>
    </row>
    <row r="563" spans="13:30">
      <c r="M563" s="8"/>
      <c r="N563" s="8"/>
      <c r="O563" s="40"/>
      <c r="P563" s="8"/>
      <c r="Q563" s="40"/>
      <c r="Z563" s="8"/>
      <c r="AA563" s="8"/>
      <c r="AB563" s="40"/>
      <c r="AC563" s="8"/>
      <c r="AD563" s="40"/>
    </row>
    <row r="564" spans="13:30">
      <c r="M564" s="8"/>
      <c r="N564" s="8"/>
      <c r="O564" s="40"/>
      <c r="P564" s="8"/>
      <c r="Q564" s="40"/>
      <c r="Z564" s="8"/>
      <c r="AA564" s="8"/>
      <c r="AB564" s="40"/>
      <c r="AC564" s="8"/>
      <c r="AD564" s="40"/>
    </row>
    <row r="565" spans="13:30">
      <c r="M565" s="8"/>
      <c r="N565" s="8"/>
      <c r="O565" s="40"/>
      <c r="P565" s="8"/>
      <c r="Q565" s="40"/>
      <c r="Z565" s="8"/>
      <c r="AA565" s="8"/>
      <c r="AB565" s="40"/>
      <c r="AC565" s="8"/>
      <c r="AD565" s="40"/>
    </row>
    <row r="566" spans="13:30">
      <c r="M566" s="8"/>
      <c r="N566" s="8"/>
      <c r="O566" s="40"/>
      <c r="P566" s="8"/>
      <c r="Q566" s="40"/>
      <c r="Z566" s="8"/>
      <c r="AA566" s="8"/>
      <c r="AB566" s="40"/>
      <c r="AC566" s="8"/>
      <c r="AD566" s="40"/>
    </row>
    <row r="567" spans="13:30">
      <c r="M567" s="8"/>
      <c r="N567" s="8"/>
      <c r="O567" s="40"/>
      <c r="P567" s="8"/>
      <c r="Q567" s="40"/>
      <c r="Z567" s="8"/>
      <c r="AA567" s="8"/>
      <c r="AB567" s="40"/>
      <c r="AC567" s="8"/>
      <c r="AD567" s="40"/>
    </row>
    <row r="568" spans="13:30">
      <c r="M568" s="8"/>
      <c r="N568" s="8"/>
      <c r="O568" s="40"/>
      <c r="P568" s="8"/>
      <c r="Q568" s="40"/>
      <c r="Z568" s="8"/>
      <c r="AA568" s="8"/>
      <c r="AB568" s="40"/>
      <c r="AC568" s="8"/>
      <c r="AD568" s="40"/>
    </row>
    <row r="569" spans="13:30">
      <c r="M569" s="8"/>
      <c r="N569" s="8"/>
      <c r="O569" s="40"/>
      <c r="P569" s="8"/>
      <c r="Q569" s="40"/>
      <c r="Z569" s="8"/>
      <c r="AA569" s="8"/>
      <c r="AB569" s="40"/>
      <c r="AC569" s="8"/>
      <c r="AD569" s="40"/>
    </row>
    <row r="570" spans="13:30">
      <c r="M570" s="8"/>
      <c r="N570" s="8"/>
      <c r="O570" s="40"/>
      <c r="P570" s="8"/>
      <c r="Q570" s="40"/>
      <c r="Z570" s="8"/>
      <c r="AA570" s="8"/>
      <c r="AB570" s="40"/>
      <c r="AC570" s="8"/>
      <c r="AD570" s="40"/>
    </row>
    <row r="571" spans="13:30">
      <c r="M571" s="8"/>
      <c r="N571" s="8"/>
      <c r="O571" s="40"/>
      <c r="P571" s="8"/>
      <c r="Q571" s="40"/>
      <c r="Z571" s="8"/>
      <c r="AA571" s="8"/>
      <c r="AB571" s="40"/>
      <c r="AC571" s="8"/>
      <c r="AD571" s="40"/>
    </row>
    <row r="572" spans="13:30">
      <c r="M572" s="8"/>
      <c r="N572" s="8"/>
      <c r="O572" s="40"/>
      <c r="P572" s="8"/>
      <c r="Q572" s="40"/>
      <c r="Z572" s="8"/>
      <c r="AA572" s="8"/>
      <c r="AB572" s="40"/>
      <c r="AC572" s="8"/>
      <c r="AD572" s="40"/>
    </row>
    <row r="573" spans="13:30">
      <c r="M573" s="8"/>
      <c r="N573" s="8"/>
      <c r="O573" s="40"/>
      <c r="P573" s="8"/>
      <c r="Q573" s="40"/>
      <c r="Z573" s="8"/>
      <c r="AA573" s="8"/>
      <c r="AB573" s="40"/>
      <c r="AC573" s="8"/>
      <c r="AD573" s="40"/>
    </row>
    <row r="574" spans="13:30">
      <c r="M574" s="8"/>
      <c r="N574" s="8"/>
      <c r="O574" s="40"/>
      <c r="P574" s="8"/>
      <c r="Q574" s="40"/>
      <c r="Z574" s="8"/>
      <c r="AA574" s="8"/>
      <c r="AB574" s="40"/>
      <c r="AC574" s="8"/>
      <c r="AD574" s="40"/>
    </row>
    <row r="575" spans="13:30">
      <c r="M575" s="8"/>
      <c r="N575" s="8"/>
      <c r="O575" s="40"/>
      <c r="P575" s="8"/>
      <c r="Q575" s="40"/>
      <c r="Z575" s="8"/>
      <c r="AA575" s="8"/>
      <c r="AB575" s="40"/>
      <c r="AC575" s="8"/>
      <c r="AD575" s="40"/>
    </row>
    <row r="576" spans="13:30">
      <c r="M576" s="8"/>
      <c r="N576" s="8"/>
      <c r="O576" s="40"/>
      <c r="P576" s="8"/>
      <c r="Q576" s="40"/>
      <c r="Z576" s="8"/>
      <c r="AA576" s="8"/>
      <c r="AB576" s="40"/>
      <c r="AC576" s="8"/>
      <c r="AD576" s="40"/>
    </row>
    <row r="577" spans="13:30">
      <c r="M577" s="8"/>
      <c r="N577" s="8"/>
      <c r="O577" s="40"/>
      <c r="P577" s="8"/>
      <c r="Q577" s="40"/>
      <c r="Z577" s="8"/>
      <c r="AA577" s="8"/>
      <c r="AB577" s="40"/>
      <c r="AC577" s="8"/>
      <c r="AD577" s="40"/>
    </row>
    <row r="578" spans="13:30">
      <c r="M578" s="8"/>
      <c r="N578" s="8"/>
      <c r="O578" s="40"/>
      <c r="P578" s="8"/>
      <c r="Q578" s="40"/>
      <c r="Z578" s="8"/>
      <c r="AA578" s="8"/>
      <c r="AB578" s="40"/>
      <c r="AC578" s="8"/>
      <c r="AD578" s="40"/>
    </row>
    <row r="579" spans="13:30">
      <c r="M579" s="8"/>
      <c r="N579" s="8"/>
      <c r="O579" s="40"/>
      <c r="P579" s="8"/>
      <c r="Q579" s="40"/>
      <c r="Z579" s="8"/>
      <c r="AA579" s="8"/>
      <c r="AB579" s="40"/>
      <c r="AC579" s="8"/>
      <c r="AD579" s="40"/>
    </row>
    <row r="580" spans="13:30">
      <c r="M580" s="8"/>
      <c r="N580" s="8"/>
      <c r="O580" s="40"/>
      <c r="P580" s="8"/>
      <c r="Q580" s="40"/>
      <c r="Z580" s="8"/>
      <c r="AA580" s="8"/>
      <c r="AB580" s="40"/>
      <c r="AC580" s="8"/>
      <c r="AD580" s="40"/>
    </row>
    <row r="581" spans="13:30">
      <c r="M581" s="8"/>
      <c r="N581" s="8"/>
      <c r="O581" s="40"/>
      <c r="P581" s="8"/>
      <c r="Q581" s="40"/>
      <c r="Z581" s="8"/>
      <c r="AA581" s="8"/>
      <c r="AB581" s="40"/>
      <c r="AC581" s="8"/>
      <c r="AD581" s="40"/>
    </row>
    <row r="582" spans="13:30">
      <c r="M582" s="8"/>
      <c r="N582" s="8"/>
      <c r="O582" s="40"/>
      <c r="P582" s="8"/>
      <c r="Q582" s="40"/>
      <c r="Z582" s="8"/>
      <c r="AA582" s="8"/>
      <c r="AB582" s="40"/>
      <c r="AC582" s="8"/>
      <c r="AD582" s="40"/>
    </row>
    <row r="583" spans="13:30">
      <c r="M583" s="8"/>
      <c r="N583" s="8"/>
      <c r="O583" s="40"/>
      <c r="P583" s="8"/>
      <c r="Q583" s="40"/>
      <c r="Z583" s="8"/>
      <c r="AA583" s="8"/>
      <c r="AB583" s="40"/>
      <c r="AC583" s="8"/>
      <c r="AD583" s="40"/>
    </row>
    <row r="584" spans="13:30">
      <c r="M584" s="8"/>
      <c r="N584" s="8"/>
      <c r="O584" s="40"/>
      <c r="P584" s="8"/>
      <c r="Q584" s="40"/>
      <c r="Z584" s="8"/>
      <c r="AA584" s="8"/>
      <c r="AB584" s="40"/>
      <c r="AC584" s="8"/>
      <c r="AD584" s="40"/>
    </row>
    <row r="585" spans="13:30">
      <c r="M585" s="8"/>
      <c r="N585" s="8"/>
      <c r="O585" s="40"/>
      <c r="P585" s="8"/>
      <c r="Q585" s="40"/>
      <c r="Z585" s="8"/>
      <c r="AA585" s="8"/>
      <c r="AB585" s="40"/>
      <c r="AC585" s="8"/>
      <c r="AD585" s="40"/>
    </row>
    <row r="586" spans="13:30">
      <c r="M586" s="8"/>
      <c r="N586" s="8"/>
      <c r="O586" s="40"/>
      <c r="P586" s="8"/>
      <c r="Q586" s="40"/>
      <c r="Z586" s="8"/>
      <c r="AA586" s="8"/>
      <c r="AB586" s="40"/>
      <c r="AC586" s="8"/>
      <c r="AD586" s="40"/>
    </row>
    <row r="587" spans="13:30">
      <c r="M587" s="8"/>
      <c r="N587" s="8"/>
      <c r="O587" s="40"/>
      <c r="P587" s="8"/>
      <c r="Q587" s="40"/>
      <c r="Z587" s="8"/>
      <c r="AA587" s="8"/>
      <c r="AB587" s="40"/>
      <c r="AC587" s="8"/>
      <c r="AD587" s="40"/>
    </row>
    <row r="588" spans="13:30">
      <c r="M588" s="8"/>
      <c r="N588" s="8"/>
      <c r="O588" s="40"/>
      <c r="P588" s="8"/>
      <c r="Q588" s="40"/>
      <c r="Z588" s="8"/>
      <c r="AA588" s="8"/>
      <c r="AB588" s="40"/>
      <c r="AC588" s="8"/>
      <c r="AD588" s="40"/>
    </row>
    <row r="589" spans="13:30">
      <c r="M589" s="8"/>
      <c r="N589" s="8"/>
      <c r="O589" s="40"/>
      <c r="P589" s="8"/>
      <c r="Q589" s="40"/>
      <c r="Z589" s="8"/>
      <c r="AA589" s="8"/>
      <c r="AB589" s="40"/>
      <c r="AC589" s="8"/>
      <c r="AD589" s="40"/>
    </row>
    <row r="590" spans="13:30">
      <c r="M590" s="8"/>
      <c r="N590" s="8"/>
      <c r="O590" s="40"/>
      <c r="P590" s="8"/>
      <c r="Q590" s="40"/>
      <c r="Z590" s="8"/>
      <c r="AA590" s="8"/>
      <c r="AB590" s="40"/>
      <c r="AC590" s="8"/>
      <c r="AD590" s="40"/>
    </row>
    <row r="591" spans="13:30">
      <c r="M591" s="8"/>
      <c r="N591" s="8"/>
      <c r="O591" s="40"/>
      <c r="P591" s="8"/>
      <c r="Q591" s="40"/>
      <c r="Z591" s="8"/>
      <c r="AA591" s="8"/>
      <c r="AB591" s="40"/>
      <c r="AC591" s="8"/>
      <c r="AD591" s="40"/>
    </row>
    <row r="592" spans="13:30">
      <c r="M592" s="8"/>
      <c r="N592" s="8"/>
      <c r="O592" s="40"/>
      <c r="P592" s="8"/>
      <c r="Q592" s="40"/>
      <c r="Z592" s="8"/>
      <c r="AA592" s="8"/>
      <c r="AB592" s="40"/>
      <c r="AC592" s="8"/>
      <c r="AD592" s="40"/>
    </row>
    <row r="593" spans="13:30">
      <c r="M593" s="8"/>
      <c r="N593" s="8"/>
      <c r="O593" s="40"/>
      <c r="P593" s="8"/>
      <c r="Q593" s="40"/>
      <c r="Z593" s="8"/>
      <c r="AA593" s="8"/>
      <c r="AB593" s="40"/>
      <c r="AC593" s="8"/>
      <c r="AD593" s="40"/>
    </row>
    <row r="594" spans="13:30">
      <c r="M594" s="8"/>
      <c r="N594" s="8"/>
      <c r="O594" s="40"/>
      <c r="P594" s="8"/>
      <c r="Q594" s="40"/>
      <c r="Z594" s="8"/>
      <c r="AA594" s="8"/>
      <c r="AB594" s="40"/>
      <c r="AC594" s="8"/>
      <c r="AD594" s="40"/>
    </row>
    <row r="595" spans="13:30">
      <c r="M595" s="8"/>
      <c r="N595" s="8"/>
      <c r="O595" s="40"/>
      <c r="P595" s="8"/>
      <c r="Q595" s="40"/>
      <c r="Z595" s="8"/>
      <c r="AA595" s="8"/>
      <c r="AB595" s="40"/>
      <c r="AC595" s="8"/>
      <c r="AD595" s="40"/>
    </row>
    <row r="596" spans="13:30">
      <c r="M596" s="8"/>
      <c r="N596" s="8"/>
      <c r="O596" s="40"/>
      <c r="P596" s="8"/>
      <c r="Q596" s="40"/>
      <c r="Z596" s="8"/>
      <c r="AA596" s="8"/>
      <c r="AB596" s="40"/>
      <c r="AC596" s="8"/>
      <c r="AD596" s="40"/>
    </row>
    <row r="597" spans="13:30">
      <c r="M597" s="8"/>
      <c r="N597" s="8"/>
      <c r="O597" s="40"/>
      <c r="P597" s="8"/>
      <c r="Q597" s="40"/>
      <c r="Z597" s="8"/>
      <c r="AA597" s="8"/>
      <c r="AB597" s="40"/>
      <c r="AC597" s="8"/>
      <c r="AD597" s="40"/>
    </row>
    <row r="598" spans="13:30">
      <c r="M598" s="8"/>
      <c r="N598" s="8"/>
      <c r="O598" s="40"/>
      <c r="P598" s="8"/>
      <c r="Q598" s="40"/>
      <c r="Z598" s="8"/>
      <c r="AA598" s="8"/>
      <c r="AB598" s="40"/>
      <c r="AC598" s="8"/>
      <c r="AD598" s="40"/>
    </row>
    <row r="599" spans="13:30">
      <c r="M599" s="8"/>
      <c r="N599" s="8"/>
      <c r="O599" s="40"/>
      <c r="P599" s="8"/>
      <c r="Q599" s="40"/>
      <c r="Z599" s="8"/>
      <c r="AA599" s="8"/>
      <c r="AB599" s="40"/>
      <c r="AC599" s="8"/>
      <c r="AD599" s="40"/>
    </row>
    <row r="600" spans="13:30">
      <c r="M600" s="8"/>
      <c r="N600" s="8"/>
      <c r="O600" s="40"/>
      <c r="P600" s="8"/>
      <c r="Q600" s="40"/>
      <c r="Z600" s="8"/>
      <c r="AA600" s="8"/>
      <c r="AB600" s="40"/>
      <c r="AC600" s="8"/>
      <c r="AD600" s="40"/>
    </row>
    <row r="601" spans="13:30">
      <c r="M601" s="8"/>
      <c r="N601" s="8"/>
      <c r="O601" s="40"/>
      <c r="P601" s="8"/>
      <c r="Q601" s="40"/>
      <c r="Z601" s="8"/>
      <c r="AA601" s="8"/>
      <c r="AB601" s="40"/>
      <c r="AC601" s="8"/>
      <c r="AD601" s="40"/>
    </row>
    <row r="602" spans="13:30">
      <c r="M602" s="8"/>
      <c r="N602" s="8"/>
      <c r="O602" s="40"/>
      <c r="P602" s="8"/>
      <c r="Q602" s="40"/>
      <c r="Z602" s="8"/>
      <c r="AA602" s="8"/>
      <c r="AB602" s="40"/>
      <c r="AC602" s="8"/>
      <c r="AD602" s="40"/>
    </row>
    <row r="603" spans="13:30">
      <c r="M603" s="8"/>
      <c r="N603" s="8"/>
      <c r="O603" s="40"/>
      <c r="P603" s="8"/>
      <c r="Q603" s="40"/>
      <c r="Z603" s="8"/>
      <c r="AA603" s="8"/>
      <c r="AB603" s="40"/>
      <c r="AC603" s="8"/>
      <c r="AD603" s="40"/>
    </row>
    <row r="604" spans="13:30">
      <c r="M604" s="8"/>
      <c r="N604" s="8"/>
      <c r="O604" s="40"/>
      <c r="P604" s="8"/>
      <c r="Q604" s="40"/>
      <c r="Z604" s="8"/>
      <c r="AA604" s="8"/>
      <c r="AB604" s="40"/>
      <c r="AC604" s="8"/>
      <c r="AD604" s="40"/>
    </row>
    <row r="605" spans="13:30">
      <c r="M605" s="8"/>
      <c r="N605" s="8"/>
      <c r="O605" s="40"/>
      <c r="P605" s="8"/>
      <c r="Q605" s="40"/>
      <c r="Z605" s="8"/>
      <c r="AA605" s="8"/>
      <c r="AB605" s="40"/>
      <c r="AC605" s="8"/>
      <c r="AD605" s="40"/>
    </row>
    <row r="606" spans="13:30">
      <c r="M606" s="8"/>
      <c r="N606" s="8"/>
      <c r="O606" s="40"/>
      <c r="P606" s="8"/>
      <c r="Q606" s="40"/>
      <c r="Z606" s="8"/>
      <c r="AA606" s="8"/>
      <c r="AB606" s="40"/>
      <c r="AC606" s="8"/>
      <c r="AD606" s="40"/>
    </row>
    <row r="607" spans="13:30">
      <c r="M607" s="8"/>
      <c r="N607" s="8"/>
      <c r="O607" s="40"/>
      <c r="P607" s="8"/>
      <c r="Q607" s="40"/>
      <c r="Z607" s="8"/>
      <c r="AA607" s="8"/>
      <c r="AB607" s="40"/>
      <c r="AC607" s="8"/>
      <c r="AD607" s="40"/>
    </row>
    <row r="608" spans="13:30">
      <c r="M608" s="8"/>
      <c r="N608" s="8"/>
      <c r="O608" s="40"/>
      <c r="P608" s="8"/>
      <c r="Q608" s="40"/>
      <c r="Z608" s="8"/>
      <c r="AA608" s="8"/>
      <c r="AB608" s="40"/>
      <c r="AC608" s="8"/>
      <c r="AD608" s="40"/>
    </row>
    <row r="609" spans="13:30">
      <c r="M609" s="8"/>
      <c r="N609" s="8"/>
      <c r="O609" s="40"/>
      <c r="P609" s="8"/>
      <c r="Q609" s="40"/>
      <c r="Z609" s="8"/>
      <c r="AA609" s="8"/>
      <c r="AB609" s="40"/>
      <c r="AC609" s="8"/>
      <c r="AD609" s="40"/>
    </row>
    <row r="610" spans="13:30">
      <c r="M610" s="8"/>
      <c r="N610" s="8"/>
      <c r="O610" s="40"/>
      <c r="P610" s="8"/>
      <c r="Q610" s="40"/>
      <c r="Z610" s="8"/>
      <c r="AA610" s="8"/>
      <c r="AB610" s="40"/>
      <c r="AC610" s="8"/>
      <c r="AD610" s="40"/>
    </row>
    <row r="611" spans="13:30">
      <c r="M611" s="8"/>
      <c r="N611" s="8"/>
      <c r="O611" s="40"/>
      <c r="P611" s="8"/>
      <c r="Q611" s="40"/>
      <c r="Z611" s="8"/>
      <c r="AA611" s="8"/>
      <c r="AB611" s="40"/>
      <c r="AC611" s="8"/>
      <c r="AD611" s="40"/>
    </row>
    <row r="612" spans="13:30">
      <c r="M612" s="8"/>
      <c r="N612" s="8"/>
      <c r="O612" s="40"/>
      <c r="P612" s="8"/>
      <c r="Q612" s="40"/>
      <c r="Z612" s="8"/>
      <c r="AA612" s="8"/>
      <c r="AB612" s="40"/>
      <c r="AC612" s="8"/>
      <c r="AD612" s="40"/>
    </row>
    <row r="613" spans="13:30">
      <c r="M613" s="8"/>
      <c r="N613" s="8"/>
      <c r="O613" s="40"/>
      <c r="P613" s="8"/>
      <c r="Q613" s="40"/>
      <c r="Z613" s="8"/>
      <c r="AA613" s="8"/>
      <c r="AB613" s="40"/>
      <c r="AC613" s="8"/>
      <c r="AD613" s="40"/>
    </row>
    <row r="614" spans="13:30">
      <c r="M614" s="8"/>
      <c r="N614" s="8"/>
      <c r="O614" s="40"/>
      <c r="P614" s="8"/>
      <c r="Q614" s="40"/>
      <c r="Z614" s="8"/>
      <c r="AA614" s="8"/>
      <c r="AB614" s="40"/>
      <c r="AC614" s="8"/>
      <c r="AD614" s="40"/>
    </row>
    <row r="615" spans="13:30">
      <c r="M615" s="8"/>
      <c r="N615" s="8"/>
      <c r="O615" s="40"/>
      <c r="P615" s="8"/>
      <c r="Q615" s="40"/>
      <c r="Z615" s="8"/>
      <c r="AA615" s="8"/>
      <c r="AB615" s="40"/>
      <c r="AC615" s="8"/>
      <c r="AD615" s="40"/>
    </row>
    <row r="616" spans="13:30">
      <c r="M616" s="8"/>
      <c r="N616" s="8"/>
      <c r="O616" s="40"/>
      <c r="P616" s="8"/>
      <c r="Q616" s="40"/>
      <c r="Z616" s="8"/>
      <c r="AA616" s="8"/>
      <c r="AB616" s="40"/>
      <c r="AC616" s="8"/>
      <c r="AD616" s="40"/>
    </row>
    <row r="617" spans="13:30">
      <c r="M617" s="8"/>
      <c r="N617" s="8"/>
      <c r="O617" s="40"/>
      <c r="P617" s="8"/>
      <c r="Q617" s="40"/>
      <c r="Z617" s="8"/>
      <c r="AA617" s="8"/>
      <c r="AB617" s="40"/>
      <c r="AC617" s="8"/>
      <c r="AD617" s="40"/>
    </row>
    <row r="618" spans="13:30">
      <c r="M618" s="8"/>
      <c r="N618" s="8"/>
      <c r="O618" s="40"/>
      <c r="P618" s="8"/>
      <c r="Q618" s="40"/>
      <c r="Z618" s="8"/>
      <c r="AA618" s="8"/>
      <c r="AB618" s="40"/>
      <c r="AC618" s="8"/>
      <c r="AD618" s="40"/>
    </row>
    <row r="619" spans="13:30">
      <c r="M619" s="8"/>
      <c r="N619" s="8"/>
      <c r="O619" s="40"/>
      <c r="P619" s="8"/>
      <c r="Q619" s="40"/>
      <c r="Z619" s="8"/>
      <c r="AA619" s="8"/>
      <c r="AB619" s="40"/>
      <c r="AC619" s="8"/>
      <c r="AD619" s="40"/>
    </row>
    <row r="620" spans="13:30">
      <c r="M620" s="8"/>
      <c r="N620" s="8"/>
      <c r="O620" s="40"/>
      <c r="P620" s="8"/>
      <c r="Q620" s="40"/>
      <c r="Z620" s="8"/>
      <c r="AA620" s="8"/>
      <c r="AB620" s="40"/>
      <c r="AC620" s="8"/>
      <c r="AD620" s="40"/>
    </row>
    <row r="621" spans="13:30">
      <c r="M621" s="8"/>
      <c r="N621" s="8"/>
      <c r="O621" s="40"/>
      <c r="P621" s="8"/>
      <c r="Q621" s="40"/>
      <c r="Z621" s="8"/>
      <c r="AA621" s="8"/>
      <c r="AB621" s="40"/>
      <c r="AC621" s="8"/>
      <c r="AD621" s="40"/>
    </row>
    <row r="622" spans="13:30">
      <c r="M622" s="8"/>
      <c r="N622" s="8"/>
      <c r="O622" s="40"/>
      <c r="P622" s="8"/>
      <c r="Q622" s="40"/>
      <c r="Z622" s="8"/>
      <c r="AA622" s="8"/>
      <c r="AB622" s="40"/>
      <c r="AC622" s="8"/>
      <c r="AD622" s="40"/>
    </row>
    <row r="623" spans="13:30">
      <c r="M623" s="8"/>
      <c r="N623" s="8"/>
      <c r="O623" s="40"/>
      <c r="P623" s="8"/>
      <c r="Q623" s="40"/>
      <c r="Z623" s="8"/>
      <c r="AA623" s="8"/>
      <c r="AB623" s="40"/>
      <c r="AC623" s="8"/>
      <c r="AD623" s="40"/>
    </row>
    <row r="624" spans="13:30">
      <c r="M624" s="8"/>
      <c r="N624" s="8"/>
      <c r="O624" s="40"/>
      <c r="P624" s="8"/>
      <c r="Q624" s="40"/>
      <c r="Z624" s="8"/>
      <c r="AA624" s="8"/>
      <c r="AB624" s="40"/>
      <c r="AC624" s="8"/>
      <c r="AD624" s="40"/>
    </row>
    <row r="625" spans="13:30">
      <c r="M625" s="8"/>
      <c r="N625" s="8"/>
      <c r="O625" s="40"/>
      <c r="P625" s="8"/>
      <c r="Q625" s="40"/>
      <c r="Z625" s="8"/>
      <c r="AA625" s="8"/>
      <c r="AB625" s="40"/>
      <c r="AC625" s="8"/>
      <c r="AD625" s="40"/>
    </row>
    <row r="626" spans="13:30">
      <c r="M626" s="8"/>
      <c r="N626" s="8"/>
      <c r="O626" s="40"/>
      <c r="P626" s="8"/>
      <c r="Q626" s="40"/>
      <c r="Z626" s="8"/>
      <c r="AA626" s="8"/>
      <c r="AB626" s="40"/>
      <c r="AC626" s="8"/>
      <c r="AD626" s="40"/>
    </row>
    <row r="627" spans="13:30">
      <c r="M627" s="8"/>
      <c r="N627" s="8"/>
      <c r="O627" s="40"/>
      <c r="P627" s="8"/>
      <c r="Q627" s="40"/>
      <c r="Z627" s="8"/>
      <c r="AA627" s="8"/>
      <c r="AB627" s="40"/>
      <c r="AC627" s="8"/>
      <c r="AD627" s="40"/>
    </row>
    <row r="628" spans="13:30">
      <c r="M628" s="8"/>
      <c r="N628" s="8"/>
      <c r="O628" s="40"/>
      <c r="P628" s="8"/>
      <c r="Q628" s="40"/>
      <c r="Z628" s="8"/>
      <c r="AA628" s="8"/>
      <c r="AB628" s="40"/>
      <c r="AC628" s="8"/>
      <c r="AD628" s="40"/>
    </row>
    <row r="629" spans="13:30">
      <c r="M629" s="8"/>
      <c r="N629" s="8"/>
      <c r="O629" s="40"/>
      <c r="P629" s="8"/>
      <c r="Q629" s="40"/>
      <c r="Z629" s="8"/>
      <c r="AA629" s="8"/>
      <c r="AB629" s="40"/>
      <c r="AC629" s="8"/>
      <c r="AD629" s="40"/>
    </row>
    <row r="630" spans="13:30">
      <c r="M630" s="8"/>
      <c r="N630" s="8"/>
      <c r="O630" s="40"/>
      <c r="P630" s="8"/>
      <c r="Q630" s="40"/>
      <c r="Z630" s="8"/>
      <c r="AA630" s="8"/>
      <c r="AB630" s="40"/>
      <c r="AC630" s="8"/>
      <c r="AD630" s="40"/>
    </row>
    <row r="631" spans="13:30">
      <c r="M631" s="8"/>
      <c r="N631" s="8"/>
      <c r="O631" s="40"/>
      <c r="P631" s="8"/>
      <c r="Q631" s="40"/>
      <c r="Z631" s="8"/>
      <c r="AA631" s="8"/>
      <c r="AB631" s="40"/>
      <c r="AC631" s="8"/>
      <c r="AD631" s="40"/>
    </row>
    <row r="632" spans="13:30">
      <c r="M632" s="8"/>
      <c r="N632" s="8"/>
      <c r="O632" s="40"/>
      <c r="P632" s="8"/>
      <c r="Q632" s="40"/>
      <c r="Z632" s="8"/>
      <c r="AA632" s="8"/>
      <c r="AB632" s="40"/>
      <c r="AC632" s="8"/>
      <c r="AD632" s="40"/>
    </row>
    <row r="633" spans="13:30">
      <c r="M633" s="8"/>
      <c r="N633" s="8"/>
      <c r="O633" s="40"/>
      <c r="P633" s="8"/>
      <c r="Q633" s="40"/>
      <c r="Z633" s="8"/>
      <c r="AA633" s="8"/>
      <c r="AB633" s="40"/>
      <c r="AC633" s="8"/>
      <c r="AD633" s="40"/>
    </row>
    <row r="634" spans="13:30">
      <c r="M634" s="8"/>
      <c r="N634" s="8"/>
      <c r="O634" s="40"/>
      <c r="P634" s="8"/>
      <c r="Q634" s="40"/>
      <c r="Z634" s="8"/>
      <c r="AA634" s="8"/>
      <c r="AB634" s="40"/>
      <c r="AC634" s="8"/>
      <c r="AD634" s="40"/>
    </row>
    <row r="635" spans="13:30">
      <c r="M635" s="8"/>
      <c r="N635" s="8"/>
      <c r="O635" s="40"/>
      <c r="P635" s="8"/>
      <c r="Q635" s="40"/>
      <c r="Z635" s="8"/>
      <c r="AA635" s="8"/>
      <c r="AB635" s="40"/>
      <c r="AC635" s="8"/>
      <c r="AD635" s="40"/>
    </row>
    <row r="636" spans="13:30">
      <c r="M636" s="8"/>
      <c r="N636" s="8"/>
      <c r="O636" s="40"/>
      <c r="P636" s="8"/>
      <c r="Q636" s="40"/>
      <c r="Z636" s="8"/>
      <c r="AA636" s="8"/>
      <c r="AB636" s="40"/>
      <c r="AC636" s="8"/>
      <c r="AD636" s="40"/>
    </row>
    <row r="637" spans="13:30">
      <c r="M637" s="8"/>
      <c r="N637" s="8"/>
      <c r="O637" s="40"/>
      <c r="P637" s="8"/>
      <c r="Q637" s="40"/>
      <c r="Z637" s="8"/>
      <c r="AA637" s="8"/>
      <c r="AB637" s="40"/>
      <c r="AC637" s="8"/>
      <c r="AD637" s="40"/>
    </row>
    <row r="638" spans="13:30">
      <c r="M638" s="8"/>
      <c r="N638" s="8"/>
      <c r="O638" s="40"/>
      <c r="P638" s="8"/>
      <c r="Q638" s="40"/>
      <c r="Z638" s="8"/>
      <c r="AA638" s="8"/>
      <c r="AB638" s="40"/>
      <c r="AC638" s="8"/>
      <c r="AD638" s="40"/>
    </row>
    <row r="639" spans="13:30">
      <c r="M639" s="8"/>
      <c r="N639" s="8"/>
      <c r="O639" s="40"/>
      <c r="P639" s="8"/>
      <c r="Q639" s="40"/>
      <c r="Z639" s="8"/>
      <c r="AA639" s="8"/>
      <c r="AB639" s="40"/>
      <c r="AC639" s="8"/>
      <c r="AD639" s="40"/>
    </row>
    <row r="640" spans="13:30">
      <c r="M640" s="8"/>
      <c r="N640" s="8"/>
      <c r="O640" s="40"/>
      <c r="P640" s="8"/>
      <c r="Q640" s="40"/>
      <c r="Z640" s="8"/>
      <c r="AA640" s="8"/>
      <c r="AB640" s="40"/>
      <c r="AC640" s="8"/>
      <c r="AD640" s="40"/>
    </row>
    <row r="641" spans="13:30">
      <c r="M641" s="8"/>
      <c r="N641" s="8"/>
      <c r="O641" s="40"/>
      <c r="P641" s="8"/>
      <c r="Q641" s="40"/>
      <c r="Z641" s="8"/>
      <c r="AA641" s="8"/>
      <c r="AB641" s="40"/>
      <c r="AC641" s="8"/>
      <c r="AD641" s="40"/>
    </row>
    <row r="642" spans="13:30">
      <c r="M642" s="8"/>
      <c r="N642" s="8"/>
      <c r="O642" s="40"/>
      <c r="P642" s="8"/>
      <c r="Q642" s="40"/>
      <c r="Z642" s="8"/>
      <c r="AA642" s="8"/>
      <c r="AB642" s="40"/>
      <c r="AC642" s="8"/>
      <c r="AD642" s="40"/>
    </row>
    <row r="643" spans="13:30">
      <c r="M643" s="8"/>
      <c r="N643" s="8"/>
      <c r="O643" s="40"/>
      <c r="P643" s="8"/>
      <c r="Q643" s="40"/>
      <c r="Z643" s="8"/>
      <c r="AA643" s="8"/>
      <c r="AB643" s="40"/>
      <c r="AC643" s="8"/>
      <c r="AD643" s="40"/>
    </row>
    <row r="644" spans="13:30">
      <c r="M644" s="8"/>
      <c r="N644" s="8"/>
      <c r="O644" s="40"/>
      <c r="P644" s="8"/>
      <c r="Q644" s="40"/>
      <c r="Z644" s="8"/>
      <c r="AA644" s="8"/>
      <c r="AB644" s="40"/>
      <c r="AC644" s="8"/>
      <c r="AD644" s="40"/>
    </row>
    <row r="645" spans="13:30">
      <c r="M645" s="8"/>
      <c r="N645" s="8"/>
      <c r="O645" s="40"/>
      <c r="P645" s="8"/>
      <c r="Q645" s="40"/>
      <c r="Z645" s="8"/>
      <c r="AA645" s="8"/>
      <c r="AB645" s="40"/>
      <c r="AC645" s="8"/>
      <c r="AD645" s="40"/>
    </row>
    <row r="646" spans="13:30">
      <c r="M646" s="8"/>
      <c r="N646" s="8"/>
      <c r="O646" s="40"/>
      <c r="P646" s="8"/>
      <c r="Q646" s="40"/>
      <c r="Z646" s="8"/>
      <c r="AA646" s="8"/>
      <c r="AB646" s="40"/>
      <c r="AC646" s="8"/>
      <c r="AD646" s="40"/>
    </row>
    <row r="647" spans="13:30">
      <c r="M647" s="8"/>
      <c r="N647" s="8"/>
      <c r="O647" s="40"/>
      <c r="P647" s="8"/>
      <c r="Q647" s="40"/>
      <c r="Z647" s="8"/>
      <c r="AA647" s="8"/>
      <c r="AB647" s="40"/>
      <c r="AC647" s="8"/>
      <c r="AD647" s="40"/>
    </row>
    <row r="648" spans="13:30">
      <c r="M648" s="8"/>
      <c r="N648" s="8"/>
      <c r="O648" s="40"/>
      <c r="P648" s="8"/>
      <c r="Q648" s="40"/>
      <c r="Z648" s="8"/>
      <c r="AA648" s="8"/>
      <c r="AB648" s="40"/>
      <c r="AC648" s="8"/>
      <c r="AD648" s="40"/>
    </row>
    <row r="649" spans="13:30">
      <c r="M649" s="8"/>
      <c r="N649" s="8"/>
      <c r="O649" s="40"/>
      <c r="P649" s="8"/>
      <c r="Q649" s="40"/>
      <c r="Z649" s="8"/>
      <c r="AA649" s="8"/>
      <c r="AB649" s="40"/>
      <c r="AC649" s="8"/>
      <c r="AD649" s="40"/>
    </row>
    <row r="650" spans="13:30">
      <c r="M650" s="8"/>
      <c r="N650" s="8"/>
      <c r="O650" s="40"/>
      <c r="P650" s="8"/>
      <c r="Q650" s="40"/>
      <c r="Z650" s="8"/>
      <c r="AA650" s="8"/>
      <c r="AB650" s="40"/>
      <c r="AC650" s="8"/>
      <c r="AD650" s="40"/>
    </row>
    <row r="651" spans="13:30">
      <c r="M651" s="8"/>
      <c r="N651" s="8"/>
      <c r="O651" s="40"/>
      <c r="P651" s="8"/>
      <c r="Q651" s="40"/>
      <c r="Z651" s="8"/>
      <c r="AA651" s="8"/>
      <c r="AB651" s="40"/>
      <c r="AC651" s="8"/>
      <c r="AD651" s="40"/>
    </row>
    <row r="652" spans="13:30">
      <c r="M652" s="8"/>
      <c r="N652" s="8"/>
      <c r="O652" s="40"/>
      <c r="P652" s="8"/>
      <c r="Q652" s="40"/>
      <c r="Z652" s="8"/>
      <c r="AA652" s="8"/>
      <c r="AB652" s="40"/>
      <c r="AC652" s="8"/>
      <c r="AD652" s="40"/>
    </row>
    <row r="653" spans="13:30">
      <c r="M653" s="8"/>
      <c r="N653" s="8"/>
      <c r="O653" s="40"/>
      <c r="P653" s="8"/>
      <c r="Q653" s="40"/>
      <c r="Z653" s="8"/>
      <c r="AA653" s="8"/>
      <c r="AB653" s="40"/>
      <c r="AC653" s="8"/>
      <c r="AD653" s="40"/>
    </row>
    <row r="654" spans="13:30">
      <c r="M654" s="8"/>
      <c r="N654" s="8"/>
      <c r="O654" s="40"/>
      <c r="P654" s="8"/>
      <c r="Q654" s="40"/>
      <c r="Z654" s="8"/>
      <c r="AA654" s="8"/>
      <c r="AB654" s="40"/>
      <c r="AC654" s="8"/>
      <c r="AD654" s="40"/>
    </row>
    <row r="655" spans="13:30">
      <c r="M655" s="8"/>
      <c r="N655" s="8"/>
      <c r="O655" s="40"/>
      <c r="P655" s="8"/>
      <c r="Q655" s="40"/>
      <c r="Z655" s="8"/>
      <c r="AA655" s="8"/>
      <c r="AB655" s="40"/>
      <c r="AC655" s="8"/>
      <c r="AD655" s="40"/>
    </row>
    <row r="656" spans="13:30">
      <c r="M656" s="8"/>
      <c r="N656" s="8"/>
      <c r="O656" s="40"/>
      <c r="P656" s="8"/>
      <c r="Q656" s="40"/>
      <c r="Z656" s="8"/>
      <c r="AA656" s="8"/>
      <c r="AB656" s="40"/>
      <c r="AC656" s="8"/>
      <c r="AD656" s="40"/>
    </row>
    <row r="657" spans="13:30">
      <c r="M657" s="8"/>
      <c r="N657" s="8"/>
      <c r="O657" s="40"/>
      <c r="P657" s="8"/>
      <c r="Q657" s="40"/>
      <c r="Z657" s="8"/>
      <c r="AA657" s="8"/>
      <c r="AB657" s="40"/>
      <c r="AC657" s="8"/>
      <c r="AD657" s="40"/>
    </row>
    <row r="658" spans="13:30">
      <c r="M658" s="8"/>
      <c r="N658" s="8"/>
      <c r="O658" s="40"/>
      <c r="P658" s="8"/>
      <c r="Q658" s="40"/>
      <c r="Z658" s="8"/>
      <c r="AA658" s="8"/>
      <c r="AB658" s="40"/>
      <c r="AC658" s="8"/>
      <c r="AD658" s="40"/>
    </row>
    <row r="659" spans="13:30">
      <c r="M659" s="8"/>
      <c r="N659" s="8"/>
      <c r="O659" s="40"/>
      <c r="P659" s="8"/>
      <c r="Q659" s="40"/>
      <c r="Z659" s="8"/>
      <c r="AA659" s="8"/>
      <c r="AB659" s="40"/>
      <c r="AC659" s="8"/>
      <c r="AD659" s="40"/>
    </row>
    <row r="660" spans="13:30">
      <c r="M660" s="8"/>
      <c r="N660" s="8"/>
      <c r="O660" s="40"/>
      <c r="P660" s="8"/>
      <c r="Q660" s="40"/>
      <c r="Z660" s="8"/>
      <c r="AA660" s="8"/>
      <c r="AB660" s="40"/>
      <c r="AC660" s="8"/>
      <c r="AD660" s="40"/>
    </row>
    <row r="661" spans="13:30">
      <c r="M661" s="8"/>
      <c r="N661" s="8"/>
      <c r="O661" s="40"/>
      <c r="P661" s="8"/>
      <c r="Q661" s="40"/>
      <c r="Z661" s="8"/>
      <c r="AA661" s="8"/>
      <c r="AB661" s="40"/>
      <c r="AC661" s="8"/>
      <c r="AD661" s="40"/>
    </row>
    <row r="662" spans="13:30">
      <c r="M662" s="8"/>
      <c r="N662" s="8"/>
      <c r="O662" s="40"/>
      <c r="P662" s="8"/>
      <c r="Q662" s="40"/>
      <c r="Z662" s="8"/>
      <c r="AA662" s="8"/>
      <c r="AB662" s="40"/>
      <c r="AC662" s="8"/>
      <c r="AD662" s="40"/>
    </row>
    <row r="663" spans="13:30">
      <c r="M663" s="8"/>
      <c r="N663" s="8"/>
      <c r="O663" s="40"/>
      <c r="P663" s="8"/>
      <c r="Q663" s="40"/>
      <c r="Z663" s="8"/>
      <c r="AA663" s="8"/>
      <c r="AB663" s="40"/>
      <c r="AC663" s="8"/>
      <c r="AD663" s="40"/>
    </row>
    <row r="664" spans="13:30">
      <c r="M664" s="8"/>
      <c r="N664" s="8"/>
      <c r="O664" s="40"/>
      <c r="P664" s="8"/>
      <c r="Q664" s="40"/>
      <c r="Z664" s="8"/>
      <c r="AA664" s="8"/>
      <c r="AB664" s="40"/>
      <c r="AC664" s="8"/>
      <c r="AD664" s="40"/>
    </row>
    <row r="665" spans="13:30">
      <c r="M665" s="8"/>
      <c r="N665" s="8"/>
      <c r="O665" s="40"/>
      <c r="P665" s="8"/>
      <c r="Q665" s="40"/>
      <c r="Z665" s="8"/>
      <c r="AA665" s="8"/>
      <c r="AB665" s="40"/>
      <c r="AC665" s="8"/>
      <c r="AD665" s="40"/>
    </row>
    <row r="666" spans="13:30">
      <c r="M666" s="8"/>
      <c r="N666" s="8"/>
      <c r="O666" s="40"/>
      <c r="P666" s="8"/>
      <c r="Q666" s="40"/>
      <c r="Z666" s="8"/>
      <c r="AA666" s="8"/>
      <c r="AB666" s="40"/>
      <c r="AC666" s="8"/>
      <c r="AD666" s="40"/>
    </row>
    <row r="667" spans="13:30">
      <c r="M667" s="8"/>
      <c r="N667" s="8"/>
      <c r="O667" s="40"/>
      <c r="P667" s="8"/>
      <c r="Q667" s="40"/>
      <c r="Z667" s="8"/>
      <c r="AA667" s="8"/>
      <c r="AB667" s="40"/>
      <c r="AC667" s="8"/>
      <c r="AD667" s="40"/>
    </row>
    <row r="668" spans="13:30">
      <c r="M668" s="8"/>
      <c r="N668" s="8"/>
      <c r="O668" s="40"/>
      <c r="P668" s="8"/>
      <c r="Q668" s="40"/>
      <c r="Z668" s="8"/>
      <c r="AA668" s="8"/>
      <c r="AB668" s="40"/>
      <c r="AC668" s="8"/>
      <c r="AD668" s="40"/>
    </row>
    <row r="669" spans="13:30">
      <c r="M669" s="8"/>
      <c r="N669" s="8"/>
      <c r="O669" s="40"/>
      <c r="P669" s="8"/>
      <c r="Q669" s="40"/>
      <c r="Z669" s="8"/>
      <c r="AA669" s="8"/>
      <c r="AB669" s="40"/>
      <c r="AC669" s="8"/>
      <c r="AD669" s="40"/>
    </row>
    <row r="670" spans="13:30">
      <c r="M670" s="8"/>
      <c r="N670" s="8"/>
      <c r="O670" s="40"/>
      <c r="P670" s="8"/>
      <c r="Q670" s="40"/>
      <c r="Z670" s="8"/>
      <c r="AA670" s="8"/>
      <c r="AB670" s="40"/>
      <c r="AC670" s="8"/>
      <c r="AD670" s="40"/>
    </row>
    <row r="671" spans="13:30">
      <c r="M671" s="8"/>
      <c r="N671" s="8"/>
      <c r="O671" s="40"/>
      <c r="P671" s="8"/>
      <c r="Q671" s="40"/>
      <c r="Z671" s="8"/>
      <c r="AA671" s="8"/>
      <c r="AB671" s="40"/>
      <c r="AC671" s="8"/>
      <c r="AD671" s="40"/>
    </row>
    <row r="672" spans="13:30">
      <c r="M672" s="8"/>
      <c r="N672" s="8"/>
      <c r="O672" s="40"/>
      <c r="P672" s="8"/>
      <c r="Q672" s="40"/>
      <c r="Z672" s="8"/>
      <c r="AA672" s="8"/>
      <c r="AB672" s="40"/>
      <c r="AC672" s="8"/>
      <c r="AD672" s="40"/>
    </row>
    <row r="673" spans="13:30">
      <c r="M673" s="8"/>
      <c r="N673" s="8"/>
      <c r="O673" s="40"/>
      <c r="P673" s="8"/>
      <c r="Q673" s="40"/>
      <c r="Z673" s="8"/>
      <c r="AA673" s="8"/>
      <c r="AB673" s="40"/>
      <c r="AC673" s="8"/>
      <c r="AD673" s="40"/>
    </row>
    <row r="674" spans="13:30">
      <c r="M674" s="8"/>
      <c r="N674" s="8"/>
      <c r="O674" s="40"/>
      <c r="P674" s="8"/>
      <c r="Q674" s="40"/>
      <c r="Z674" s="8"/>
      <c r="AA674" s="8"/>
      <c r="AB674" s="40"/>
      <c r="AC674" s="8"/>
      <c r="AD674" s="40"/>
    </row>
    <row r="675" spans="13:30">
      <c r="M675" s="8"/>
      <c r="N675" s="8"/>
      <c r="O675" s="40"/>
      <c r="P675" s="8"/>
      <c r="Q675" s="40"/>
      <c r="Z675" s="8"/>
      <c r="AA675" s="8"/>
      <c r="AB675" s="40"/>
      <c r="AC675" s="8"/>
      <c r="AD675" s="40"/>
    </row>
    <row r="676" spans="13:30">
      <c r="M676" s="8"/>
      <c r="N676" s="8"/>
      <c r="O676" s="40"/>
      <c r="P676" s="8"/>
      <c r="Q676" s="40"/>
      <c r="Z676" s="8"/>
      <c r="AA676" s="8"/>
      <c r="AB676" s="40"/>
      <c r="AC676" s="8"/>
      <c r="AD676" s="40"/>
    </row>
    <row r="677" spans="13:30">
      <c r="M677" s="8"/>
      <c r="N677" s="8"/>
      <c r="O677" s="40"/>
      <c r="P677" s="8"/>
      <c r="Q677" s="40"/>
      <c r="Z677" s="8"/>
      <c r="AA677" s="8"/>
      <c r="AB677" s="40"/>
      <c r="AC677" s="8"/>
      <c r="AD677" s="40"/>
    </row>
    <row r="678" spans="13:30">
      <c r="M678" s="8"/>
      <c r="N678" s="8"/>
      <c r="O678" s="40"/>
      <c r="P678" s="8"/>
      <c r="Q678" s="40"/>
      <c r="Z678" s="8"/>
      <c r="AA678" s="8"/>
      <c r="AB678" s="40"/>
      <c r="AC678" s="8"/>
      <c r="AD678" s="40"/>
    </row>
    <row r="679" spans="13:30">
      <c r="M679" s="8"/>
      <c r="N679" s="8"/>
      <c r="O679" s="40"/>
      <c r="P679" s="8"/>
      <c r="Q679" s="40"/>
      <c r="Z679" s="8"/>
      <c r="AA679" s="8"/>
      <c r="AB679" s="40"/>
      <c r="AC679" s="8"/>
      <c r="AD679" s="40"/>
    </row>
    <row r="680" spans="13:30">
      <c r="M680" s="8"/>
      <c r="N680" s="8"/>
      <c r="O680" s="40"/>
      <c r="P680" s="8"/>
      <c r="Q680" s="40"/>
      <c r="Z680" s="8"/>
      <c r="AA680" s="8"/>
      <c r="AB680" s="40"/>
      <c r="AC680" s="8"/>
      <c r="AD680" s="40"/>
    </row>
    <row r="681" spans="13:30">
      <c r="M681" s="8"/>
      <c r="N681" s="8"/>
      <c r="O681" s="40"/>
      <c r="P681" s="8"/>
      <c r="Q681" s="40"/>
      <c r="Z681" s="8"/>
      <c r="AA681" s="8"/>
      <c r="AB681" s="40"/>
      <c r="AC681" s="8"/>
      <c r="AD681" s="40"/>
    </row>
    <row r="682" spans="13:30">
      <c r="M682" s="8"/>
      <c r="N682" s="8"/>
      <c r="O682" s="40"/>
      <c r="P682" s="8"/>
      <c r="Q682" s="40"/>
      <c r="Z682" s="8"/>
      <c r="AA682" s="8"/>
      <c r="AB682" s="40"/>
      <c r="AC682" s="8"/>
      <c r="AD682" s="40"/>
    </row>
    <row r="683" spans="13:30">
      <c r="M683" s="8"/>
      <c r="N683" s="8"/>
      <c r="O683" s="40"/>
      <c r="P683" s="8"/>
      <c r="Q683" s="40"/>
      <c r="Z683" s="8"/>
      <c r="AA683" s="8"/>
      <c r="AB683" s="40"/>
      <c r="AC683" s="8"/>
      <c r="AD683" s="40"/>
    </row>
    <row r="684" spans="13:30">
      <c r="M684" s="8"/>
      <c r="N684" s="8"/>
      <c r="O684" s="40"/>
      <c r="P684" s="8"/>
      <c r="Q684" s="40"/>
      <c r="Z684" s="8"/>
      <c r="AA684" s="8"/>
      <c r="AB684" s="40"/>
      <c r="AC684" s="8"/>
      <c r="AD684" s="40"/>
    </row>
    <row r="685" spans="13:30">
      <c r="M685" s="8"/>
      <c r="N685" s="8"/>
      <c r="O685" s="40"/>
      <c r="P685" s="8"/>
      <c r="Q685" s="40"/>
      <c r="Z685" s="8"/>
      <c r="AA685" s="8"/>
      <c r="AB685" s="40"/>
      <c r="AC685" s="8"/>
      <c r="AD685" s="40"/>
    </row>
    <row r="686" spans="13:30">
      <c r="M686" s="8"/>
      <c r="N686" s="8"/>
      <c r="O686" s="40"/>
      <c r="P686" s="8"/>
      <c r="Q686" s="40"/>
      <c r="Z686" s="8"/>
      <c r="AA686" s="8"/>
      <c r="AB686" s="40"/>
      <c r="AC686" s="8"/>
      <c r="AD686" s="40"/>
    </row>
    <row r="687" spans="13:30">
      <c r="M687" s="8"/>
      <c r="N687" s="8"/>
      <c r="O687" s="40"/>
      <c r="P687" s="8"/>
      <c r="Q687" s="40"/>
      <c r="Z687" s="8"/>
      <c r="AA687" s="8"/>
      <c r="AB687" s="40"/>
      <c r="AC687" s="8"/>
      <c r="AD687" s="40"/>
    </row>
    <row r="688" spans="13:30">
      <c r="M688" s="8"/>
      <c r="N688" s="8"/>
      <c r="O688" s="40"/>
      <c r="P688" s="8"/>
      <c r="Q688" s="40"/>
      <c r="Z688" s="8"/>
      <c r="AA688" s="8"/>
      <c r="AB688" s="40"/>
      <c r="AC688" s="8"/>
      <c r="AD688" s="40"/>
    </row>
    <row r="689" spans="13:30">
      <c r="M689" s="8"/>
      <c r="N689" s="8"/>
      <c r="O689" s="40"/>
      <c r="P689" s="8"/>
      <c r="Q689" s="40"/>
      <c r="Z689" s="8"/>
      <c r="AA689" s="8"/>
      <c r="AB689" s="40"/>
      <c r="AC689" s="8"/>
      <c r="AD689" s="40"/>
    </row>
    <row r="690" spans="13:30">
      <c r="M690" s="8"/>
      <c r="N690" s="8"/>
      <c r="O690" s="40"/>
      <c r="P690" s="8"/>
      <c r="Q690" s="40"/>
      <c r="Z690" s="8"/>
      <c r="AA690" s="8"/>
      <c r="AB690" s="40"/>
      <c r="AC690" s="8"/>
      <c r="AD690" s="40"/>
    </row>
    <row r="691" spans="13:30">
      <c r="M691" s="8"/>
      <c r="N691" s="8"/>
      <c r="O691" s="40"/>
      <c r="P691" s="8"/>
      <c r="Q691" s="40"/>
      <c r="Z691" s="8"/>
      <c r="AA691" s="8"/>
      <c r="AB691" s="40"/>
      <c r="AC691" s="8"/>
      <c r="AD691" s="40"/>
    </row>
    <row r="692" spans="13:30">
      <c r="M692" s="8"/>
      <c r="N692" s="8"/>
      <c r="O692" s="40"/>
      <c r="P692" s="8"/>
      <c r="Q692" s="40"/>
      <c r="Z692" s="8"/>
      <c r="AA692" s="8"/>
      <c r="AB692" s="40"/>
      <c r="AC692" s="8"/>
      <c r="AD692" s="40"/>
    </row>
    <row r="693" spans="13:30">
      <c r="M693" s="8"/>
      <c r="N693" s="8"/>
      <c r="O693" s="40"/>
      <c r="P693" s="8"/>
      <c r="Q693" s="40"/>
      <c r="Z693" s="8"/>
      <c r="AA693" s="8"/>
      <c r="AB693" s="40"/>
      <c r="AC693" s="8"/>
      <c r="AD693" s="40"/>
    </row>
    <row r="694" spans="13:30">
      <c r="M694" s="8"/>
      <c r="N694" s="8"/>
      <c r="O694" s="40"/>
      <c r="P694" s="8"/>
      <c r="Q694" s="40"/>
      <c r="Z694" s="8"/>
      <c r="AA694" s="8"/>
      <c r="AB694" s="40"/>
      <c r="AC694" s="8"/>
      <c r="AD694" s="40"/>
    </row>
    <row r="695" spans="13:30">
      <c r="M695" s="8"/>
      <c r="N695" s="8"/>
      <c r="O695" s="40"/>
      <c r="P695" s="8"/>
      <c r="Q695" s="40"/>
      <c r="Z695" s="8"/>
      <c r="AA695" s="8"/>
      <c r="AB695" s="40"/>
      <c r="AC695" s="8"/>
      <c r="AD695" s="40"/>
    </row>
    <row r="696" spans="13:30">
      <c r="M696" s="8"/>
      <c r="N696" s="8"/>
      <c r="O696" s="40"/>
      <c r="P696" s="8"/>
      <c r="Q696" s="40"/>
      <c r="Z696" s="8"/>
      <c r="AA696" s="8"/>
      <c r="AB696" s="40"/>
      <c r="AC696" s="8"/>
      <c r="AD696" s="40"/>
    </row>
    <row r="697" spans="13:30">
      <c r="M697" s="8"/>
      <c r="N697" s="8"/>
      <c r="O697" s="40"/>
      <c r="P697" s="8"/>
      <c r="Q697" s="40"/>
      <c r="Z697" s="8"/>
      <c r="AA697" s="8"/>
      <c r="AB697" s="40"/>
      <c r="AC697" s="8"/>
      <c r="AD697" s="40"/>
    </row>
    <row r="698" spans="13:30">
      <c r="M698" s="8"/>
      <c r="N698" s="8"/>
      <c r="O698" s="40"/>
      <c r="P698" s="8"/>
      <c r="Q698" s="40"/>
      <c r="Z698" s="8"/>
      <c r="AA698" s="8"/>
      <c r="AB698" s="40"/>
      <c r="AC698" s="8"/>
      <c r="AD698" s="40"/>
    </row>
    <row r="699" spans="13:30">
      <c r="M699" s="8"/>
      <c r="N699" s="8"/>
      <c r="O699" s="40"/>
      <c r="P699" s="8"/>
      <c r="Q699" s="40"/>
      <c r="Z699" s="8"/>
      <c r="AA699" s="8"/>
      <c r="AB699" s="40"/>
      <c r="AC699" s="8"/>
      <c r="AD699" s="40"/>
    </row>
    <row r="700" spans="13:30">
      <c r="M700" s="8"/>
      <c r="N700" s="8"/>
      <c r="O700" s="40"/>
      <c r="P700" s="8"/>
      <c r="Q700" s="40"/>
      <c r="Z700" s="8"/>
      <c r="AA700" s="8"/>
      <c r="AB700" s="40"/>
      <c r="AC700" s="8"/>
      <c r="AD700" s="40"/>
    </row>
    <row r="701" spans="13:30">
      <c r="M701" s="8"/>
      <c r="N701" s="8"/>
      <c r="O701" s="40"/>
      <c r="P701" s="8"/>
      <c r="Q701" s="40"/>
      <c r="Z701" s="8"/>
      <c r="AA701" s="8"/>
      <c r="AB701" s="40"/>
      <c r="AC701" s="8"/>
      <c r="AD701" s="40"/>
    </row>
    <row r="702" spans="13:30">
      <c r="M702" s="8"/>
      <c r="N702" s="8"/>
      <c r="O702" s="40"/>
      <c r="P702" s="8"/>
      <c r="Q702" s="40"/>
      <c r="Z702" s="8"/>
      <c r="AA702" s="8"/>
      <c r="AB702" s="40"/>
      <c r="AC702" s="8"/>
      <c r="AD702" s="40"/>
    </row>
    <row r="703" spans="13:30">
      <c r="M703" s="8"/>
      <c r="N703" s="8"/>
      <c r="O703" s="40"/>
      <c r="P703" s="8"/>
      <c r="Q703" s="40"/>
      <c r="Z703" s="8"/>
      <c r="AA703" s="8"/>
      <c r="AB703" s="40"/>
      <c r="AC703" s="8"/>
      <c r="AD703" s="40"/>
    </row>
    <row r="704" spans="13:30">
      <c r="M704" s="8"/>
      <c r="N704" s="8"/>
      <c r="O704" s="40"/>
      <c r="P704" s="8"/>
      <c r="Q704" s="40"/>
      <c r="Z704" s="8"/>
      <c r="AA704" s="8"/>
      <c r="AB704" s="40"/>
      <c r="AC704" s="8"/>
      <c r="AD704" s="40"/>
    </row>
    <row r="705" spans="13:30">
      <c r="M705" s="8"/>
      <c r="N705" s="8"/>
      <c r="O705" s="40"/>
      <c r="P705" s="8"/>
      <c r="Q705" s="40"/>
      <c r="Z705" s="8"/>
      <c r="AA705" s="8"/>
      <c r="AB705" s="40"/>
      <c r="AC705" s="8"/>
      <c r="AD705" s="40"/>
    </row>
    <row r="706" spans="13:30">
      <c r="M706" s="8"/>
      <c r="N706" s="8"/>
      <c r="O706" s="40"/>
      <c r="P706" s="8"/>
      <c r="Q706" s="40"/>
      <c r="Z706" s="8"/>
      <c r="AA706" s="8"/>
      <c r="AB706" s="40"/>
      <c r="AC706" s="8"/>
      <c r="AD706" s="40"/>
    </row>
    <row r="707" spans="13:30">
      <c r="M707" s="8"/>
      <c r="N707" s="8"/>
      <c r="O707" s="40"/>
      <c r="P707" s="8"/>
      <c r="Q707" s="40"/>
      <c r="Z707" s="8"/>
      <c r="AA707" s="8"/>
      <c r="AB707" s="40"/>
      <c r="AC707" s="8"/>
      <c r="AD707" s="40"/>
    </row>
    <row r="708" spans="13:30">
      <c r="M708" s="8"/>
      <c r="N708" s="8"/>
      <c r="O708" s="40"/>
      <c r="P708" s="8"/>
      <c r="Q708" s="40"/>
      <c r="Z708" s="8"/>
      <c r="AA708" s="8"/>
      <c r="AB708" s="40"/>
      <c r="AC708" s="8"/>
      <c r="AD708" s="40"/>
    </row>
    <row r="709" spans="13:30">
      <c r="M709" s="8"/>
      <c r="N709" s="8"/>
      <c r="O709" s="40"/>
      <c r="P709" s="8"/>
      <c r="Q709" s="40"/>
      <c r="Z709" s="8"/>
      <c r="AA709" s="8"/>
      <c r="AB709" s="40"/>
      <c r="AC709" s="8"/>
      <c r="AD709" s="40"/>
    </row>
    <row r="710" spans="13:30">
      <c r="M710" s="8"/>
      <c r="N710" s="8"/>
      <c r="O710" s="40"/>
      <c r="P710" s="8"/>
      <c r="Q710" s="40"/>
      <c r="Z710" s="8"/>
      <c r="AA710" s="8"/>
      <c r="AB710" s="40"/>
      <c r="AC710" s="8"/>
      <c r="AD710" s="40"/>
    </row>
    <row r="711" spans="13:30">
      <c r="M711" s="8"/>
      <c r="N711" s="8"/>
      <c r="O711" s="40"/>
      <c r="P711" s="8"/>
      <c r="Q711" s="40"/>
      <c r="Z711" s="8"/>
      <c r="AA711" s="8"/>
      <c r="AB711" s="40"/>
      <c r="AC711" s="8"/>
      <c r="AD711" s="40"/>
    </row>
    <row r="712" spans="13:30">
      <c r="M712" s="8"/>
      <c r="N712" s="8"/>
      <c r="O712" s="40"/>
      <c r="P712" s="8"/>
      <c r="Q712" s="40"/>
      <c r="Z712" s="8"/>
      <c r="AA712" s="8"/>
      <c r="AB712" s="40"/>
      <c r="AC712" s="8"/>
      <c r="AD712" s="40"/>
    </row>
    <row r="713" spans="13:30">
      <c r="M713" s="8"/>
      <c r="N713" s="8"/>
      <c r="O713" s="40"/>
      <c r="P713" s="8"/>
      <c r="Q713" s="40"/>
      <c r="Z713" s="8"/>
      <c r="AA713" s="8"/>
      <c r="AB713" s="40"/>
      <c r="AC713" s="8"/>
      <c r="AD713" s="40"/>
    </row>
    <row r="714" spans="13:30">
      <c r="M714" s="8"/>
      <c r="N714" s="8"/>
      <c r="O714" s="40"/>
      <c r="P714" s="8"/>
      <c r="Q714" s="40"/>
      <c r="Z714" s="8"/>
      <c r="AA714" s="8"/>
      <c r="AB714" s="40"/>
      <c r="AC714" s="8"/>
      <c r="AD714" s="40"/>
    </row>
    <row r="715" spans="13:30">
      <c r="M715" s="8"/>
      <c r="N715" s="8"/>
      <c r="O715" s="40"/>
      <c r="P715" s="8"/>
      <c r="Q715" s="40"/>
      <c r="Z715" s="8"/>
      <c r="AA715" s="8"/>
      <c r="AB715" s="40"/>
      <c r="AC715" s="8"/>
      <c r="AD715" s="40"/>
    </row>
    <row r="716" spans="13:30">
      <c r="M716" s="8"/>
      <c r="N716" s="8"/>
      <c r="O716" s="40"/>
      <c r="P716" s="8"/>
      <c r="Q716" s="40"/>
      <c r="Z716" s="8"/>
      <c r="AA716" s="8"/>
      <c r="AB716" s="40"/>
      <c r="AC716" s="8"/>
      <c r="AD716" s="40"/>
    </row>
    <row r="717" spans="13:30">
      <c r="M717" s="8"/>
      <c r="N717" s="8"/>
      <c r="O717" s="40"/>
      <c r="P717" s="8"/>
      <c r="Q717" s="40"/>
      <c r="Z717" s="8"/>
      <c r="AA717" s="8"/>
      <c r="AB717" s="40"/>
      <c r="AC717" s="8"/>
      <c r="AD717" s="40"/>
    </row>
    <row r="718" spans="13:30">
      <c r="M718" s="8"/>
      <c r="N718" s="8"/>
      <c r="O718" s="40"/>
      <c r="P718" s="8"/>
      <c r="Q718" s="40"/>
      <c r="Z718" s="8"/>
      <c r="AA718" s="8"/>
      <c r="AB718" s="40"/>
      <c r="AC718" s="8"/>
      <c r="AD718" s="40"/>
    </row>
    <row r="719" spans="13:30">
      <c r="M719" s="8"/>
      <c r="N719" s="8"/>
      <c r="O719" s="40"/>
      <c r="P719" s="8"/>
      <c r="Q719" s="40"/>
      <c r="Z719" s="8"/>
      <c r="AA719" s="8"/>
      <c r="AB719" s="40"/>
      <c r="AC719" s="8"/>
      <c r="AD719" s="40"/>
    </row>
    <row r="720" spans="13:30">
      <c r="M720" s="8"/>
      <c r="N720" s="8"/>
      <c r="O720" s="40"/>
      <c r="P720" s="8"/>
      <c r="Q720" s="40"/>
      <c r="Z720" s="8"/>
      <c r="AA720" s="8"/>
      <c r="AB720" s="40"/>
      <c r="AC720" s="8"/>
      <c r="AD720" s="40"/>
    </row>
    <row r="721" spans="13:30">
      <c r="M721" s="8"/>
      <c r="N721" s="8"/>
      <c r="O721" s="40"/>
      <c r="P721" s="8"/>
      <c r="Q721" s="40"/>
      <c r="Z721" s="8"/>
      <c r="AA721" s="8"/>
      <c r="AB721" s="40"/>
      <c r="AC721" s="8"/>
      <c r="AD721" s="40"/>
    </row>
    <row r="722" spans="13:30">
      <c r="M722" s="8"/>
      <c r="N722" s="8"/>
      <c r="O722" s="40"/>
      <c r="P722" s="8"/>
      <c r="Q722" s="40"/>
      <c r="Z722" s="8"/>
      <c r="AA722" s="8"/>
      <c r="AB722" s="40"/>
      <c r="AC722" s="8"/>
      <c r="AD722" s="40"/>
    </row>
    <row r="723" spans="13:30">
      <c r="M723" s="8"/>
      <c r="N723" s="8"/>
      <c r="O723" s="40"/>
      <c r="P723" s="8"/>
      <c r="Q723" s="40"/>
      <c r="Z723" s="8"/>
      <c r="AA723" s="8"/>
      <c r="AB723" s="40"/>
      <c r="AC723" s="8"/>
      <c r="AD723" s="40"/>
    </row>
    <row r="724" spans="13:30">
      <c r="M724" s="8"/>
      <c r="N724" s="8"/>
      <c r="O724" s="40"/>
      <c r="P724" s="8"/>
      <c r="Q724" s="40"/>
      <c r="Z724" s="8"/>
      <c r="AA724" s="8"/>
      <c r="AB724" s="40"/>
      <c r="AC724" s="8"/>
      <c r="AD724" s="40"/>
    </row>
    <row r="725" spans="13:30">
      <c r="M725" s="8"/>
      <c r="N725" s="8"/>
      <c r="O725" s="40"/>
      <c r="P725" s="8"/>
      <c r="Q725" s="40"/>
      <c r="Z725" s="8"/>
      <c r="AA725" s="8"/>
      <c r="AB725" s="40"/>
      <c r="AC725" s="8"/>
      <c r="AD725" s="40"/>
    </row>
    <row r="726" spans="13:30">
      <c r="M726" s="8"/>
      <c r="N726" s="8"/>
      <c r="O726" s="40"/>
      <c r="P726" s="8"/>
      <c r="Q726" s="40"/>
      <c r="Z726" s="8"/>
      <c r="AA726" s="8"/>
      <c r="AB726" s="40"/>
      <c r="AC726" s="8"/>
      <c r="AD726" s="40"/>
    </row>
    <row r="727" spans="13:30">
      <c r="M727" s="8"/>
      <c r="N727" s="8"/>
      <c r="O727" s="40"/>
      <c r="P727" s="8"/>
      <c r="Q727" s="40"/>
      <c r="Z727" s="8"/>
      <c r="AA727" s="8"/>
      <c r="AB727" s="40"/>
      <c r="AC727" s="8"/>
      <c r="AD727" s="40"/>
    </row>
    <row r="728" spans="13:30">
      <c r="M728" s="8"/>
      <c r="N728" s="8"/>
      <c r="O728" s="40"/>
      <c r="P728" s="8"/>
      <c r="Q728" s="40"/>
      <c r="Z728" s="8"/>
      <c r="AA728" s="8"/>
      <c r="AB728" s="40"/>
      <c r="AC728" s="8"/>
      <c r="AD728" s="40"/>
    </row>
    <row r="729" spans="13:30">
      <c r="M729" s="8"/>
      <c r="N729" s="8"/>
      <c r="O729" s="40"/>
      <c r="P729" s="8"/>
      <c r="Q729" s="40"/>
      <c r="Z729" s="8"/>
      <c r="AA729" s="8"/>
      <c r="AB729" s="40"/>
      <c r="AC729" s="8"/>
      <c r="AD729" s="40"/>
    </row>
    <row r="730" spans="13:30">
      <c r="M730" s="8"/>
      <c r="N730" s="8"/>
      <c r="O730" s="40"/>
      <c r="P730" s="8"/>
      <c r="Q730" s="40"/>
      <c r="Z730" s="8"/>
      <c r="AA730" s="8"/>
      <c r="AB730" s="40"/>
      <c r="AC730" s="8"/>
      <c r="AD730" s="40"/>
    </row>
    <row r="731" spans="13:30">
      <c r="M731" s="8"/>
      <c r="N731" s="8"/>
      <c r="O731" s="40"/>
      <c r="P731" s="8"/>
      <c r="Q731" s="40"/>
      <c r="Z731" s="8"/>
      <c r="AA731" s="8"/>
      <c r="AB731" s="40"/>
      <c r="AC731" s="8"/>
      <c r="AD731" s="40"/>
    </row>
    <row r="732" spans="13:30">
      <c r="M732" s="8"/>
      <c r="N732" s="8"/>
      <c r="O732" s="40"/>
      <c r="P732" s="8"/>
      <c r="Q732" s="40"/>
      <c r="Z732" s="8"/>
      <c r="AA732" s="8"/>
      <c r="AB732" s="40"/>
      <c r="AC732" s="8"/>
      <c r="AD732" s="40"/>
    </row>
    <row r="733" spans="13:30">
      <c r="M733" s="8"/>
      <c r="N733" s="8"/>
      <c r="O733" s="40"/>
      <c r="P733" s="8"/>
      <c r="Q733" s="40"/>
      <c r="Z733" s="8"/>
      <c r="AA733" s="8"/>
      <c r="AB733" s="40"/>
      <c r="AC733" s="8"/>
      <c r="AD733" s="40"/>
    </row>
    <row r="734" spans="13:30">
      <c r="M734" s="8"/>
      <c r="N734" s="8"/>
      <c r="O734" s="40"/>
      <c r="P734" s="8"/>
      <c r="Q734" s="40"/>
      <c r="Z734" s="8"/>
      <c r="AA734" s="8"/>
      <c r="AB734" s="40"/>
      <c r="AC734" s="8"/>
      <c r="AD734" s="40"/>
    </row>
    <row r="735" spans="13:30">
      <c r="M735" s="8"/>
      <c r="N735" s="8"/>
      <c r="O735" s="40"/>
      <c r="P735" s="8"/>
      <c r="Q735" s="40"/>
      <c r="Z735" s="8"/>
      <c r="AA735" s="8"/>
      <c r="AB735" s="40"/>
      <c r="AC735" s="8"/>
      <c r="AD735" s="40"/>
    </row>
    <row r="736" spans="13:30">
      <c r="M736" s="8"/>
      <c r="N736" s="8"/>
      <c r="O736" s="40"/>
      <c r="P736" s="8"/>
      <c r="Q736" s="40"/>
      <c r="Z736" s="8"/>
      <c r="AA736" s="8"/>
      <c r="AB736" s="40"/>
      <c r="AC736" s="8"/>
      <c r="AD736" s="40"/>
    </row>
    <row r="737" spans="13:30">
      <c r="M737" s="8"/>
      <c r="N737" s="8"/>
      <c r="O737" s="40"/>
      <c r="P737" s="8"/>
      <c r="Q737" s="40"/>
      <c r="Z737" s="8"/>
      <c r="AA737" s="8"/>
      <c r="AB737" s="40"/>
      <c r="AC737" s="8"/>
      <c r="AD737" s="40"/>
    </row>
    <row r="738" spans="13:30">
      <c r="M738" s="8"/>
      <c r="N738" s="8"/>
      <c r="O738" s="40"/>
      <c r="P738" s="8"/>
      <c r="Q738" s="40"/>
      <c r="Z738" s="8"/>
      <c r="AA738" s="8"/>
      <c r="AB738" s="40"/>
      <c r="AC738" s="8"/>
      <c r="AD738" s="40"/>
    </row>
    <row r="739" spans="13:30">
      <c r="M739" s="8"/>
      <c r="N739" s="8"/>
      <c r="O739" s="40"/>
      <c r="P739" s="8"/>
      <c r="Q739" s="40"/>
      <c r="Z739" s="8"/>
      <c r="AA739" s="8"/>
      <c r="AB739" s="40"/>
      <c r="AC739" s="8"/>
      <c r="AD739" s="40"/>
    </row>
    <row r="740" spans="13:30">
      <c r="M740" s="8"/>
      <c r="N740" s="8"/>
      <c r="O740" s="40"/>
      <c r="P740" s="8"/>
      <c r="Q740" s="40"/>
      <c r="Z740" s="8"/>
      <c r="AA740" s="8"/>
      <c r="AB740" s="40"/>
      <c r="AC740" s="8"/>
      <c r="AD740" s="40"/>
    </row>
    <row r="741" spans="13:30">
      <c r="M741" s="8"/>
      <c r="N741" s="8"/>
      <c r="O741" s="40"/>
      <c r="P741" s="8"/>
      <c r="Q741" s="40"/>
      <c r="Z741" s="8"/>
      <c r="AA741" s="8"/>
      <c r="AB741" s="40"/>
      <c r="AC741" s="8"/>
      <c r="AD741" s="40"/>
    </row>
    <row r="742" spans="13:30">
      <c r="M742" s="8"/>
      <c r="N742" s="8"/>
      <c r="O742" s="40"/>
      <c r="P742" s="8"/>
      <c r="Q742" s="40"/>
      <c r="Z742" s="8"/>
      <c r="AA742" s="8"/>
      <c r="AB742" s="40"/>
      <c r="AC742" s="8"/>
      <c r="AD742" s="40"/>
    </row>
    <row r="743" spans="13:30">
      <c r="M743" s="8"/>
      <c r="N743" s="8"/>
      <c r="O743" s="40"/>
      <c r="P743" s="8"/>
      <c r="Q743" s="40"/>
      <c r="Z743" s="8"/>
      <c r="AA743" s="8"/>
      <c r="AB743" s="40"/>
      <c r="AC743" s="8"/>
      <c r="AD743" s="40"/>
    </row>
    <row r="744" spans="13:30">
      <c r="M744" s="8"/>
      <c r="N744" s="8"/>
      <c r="O744" s="40"/>
      <c r="P744" s="8"/>
      <c r="Q744" s="40"/>
      <c r="Z744" s="8"/>
      <c r="AA744" s="8"/>
      <c r="AB744" s="40"/>
      <c r="AC744" s="8"/>
      <c r="AD744" s="40"/>
    </row>
    <row r="745" spans="13:30">
      <c r="M745" s="8"/>
      <c r="N745" s="8"/>
      <c r="O745" s="40"/>
      <c r="P745" s="8"/>
      <c r="Q745" s="40"/>
      <c r="Z745" s="8"/>
      <c r="AA745" s="8"/>
      <c r="AB745" s="40"/>
      <c r="AC745" s="8"/>
      <c r="AD745" s="40"/>
    </row>
    <row r="746" spans="13:30">
      <c r="M746" s="8"/>
      <c r="N746" s="8"/>
      <c r="O746" s="40"/>
      <c r="P746" s="8"/>
      <c r="Q746" s="40"/>
      <c r="Z746" s="8"/>
      <c r="AA746" s="8"/>
      <c r="AB746" s="40"/>
      <c r="AC746" s="8"/>
      <c r="AD746" s="40"/>
    </row>
    <row r="747" spans="13:30">
      <c r="M747" s="8"/>
      <c r="N747" s="8"/>
      <c r="O747" s="40"/>
      <c r="P747" s="8"/>
      <c r="Q747" s="40"/>
      <c r="Z747" s="8"/>
      <c r="AA747" s="8"/>
      <c r="AB747" s="40"/>
      <c r="AC747" s="8"/>
      <c r="AD747" s="40"/>
    </row>
    <row r="748" spans="13:30">
      <c r="M748" s="8"/>
      <c r="N748" s="8"/>
      <c r="O748" s="40"/>
      <c r="P748" s="8"/>
      <c r="Q748" s="40"/>
      <c r="Z748" s="8"/>
      <c r="AA748" s="8"/>
      <c r="AB748" s="40"/>
      <c r="AC748" s="8"/>
      <c r="AD748" s="40"/>
    </row>
    <row r="749" spans="13:30">
      <c r="M749" s="8"/>
      <c r="N749" s="8"/>
      <c r="O749" s="40"/>
      <c r="P749" s="8"/>
      <c r="Q749" s="40"/>
      <c r="Z749" s="8"/>
      <c r="AA749" s="8"/>
      <c r="AB749" s="40"/>
      <c r="AC749" s="8"/>
      <c r="AD749" s="40"/>
    </row>
    <row r="750" spans="13:30">
      <c r="M750" s="8"/>
      <c r="N750" s="8"/>
      <c r="O750" s="40"/>
      <c r="P750" s="8"/>
      <c r="Q750" s="40"/>
      <c r="Z750" s="8"/>
      <c r="AA750" s="8"/>
      <c r="AB750" s="40"/>
      <c r="AC750" s="8"/>
      <c r="AD750" s="40"/>
    </row>
    <row r="751" spans="13:30">
      <c r="M751" s="8"/>
      <c r="N751" s="8"/>
      <c r="O751" s="40"/>
      <c r="P751" s="8"/>
      <c r="Q751" s="40"/>
      <c r="Z751" s="8"/>
      <c r="AA751" s="8"/>
      <c r="AB751" s="40"/>
      <c r="AC751" s="8"/>
      <c r="AD751" s="40"/>
    </row>
    <row r="752" spans="13:30">
      <c r="M752" s="8"/>
      <c r="N752" s="8"/>
      <c r="O752" s="40"/>
      <c r="P752" s="8"/>
      <c r="Q752" s="40"/>
      <c r="Z752" s="8"/>
      <c r="AA752" s="8"/>
      <c r="AB752" s="40"/>
      <c r="AC752" s="8"/>
      <c r="AD752" s="40"/>
    </row>
    <row r="753" spans="13:30">
      <c r="M753" s="8"/>
      <c r="N753" s="8"/>
      <c r="O753" s="40"/>
      <c r="P753" s="8"/>
      <c r="Q753" s="40"/>
      <c r="Z753" s="8"/>
      <c r="AA753" s="8"/>
      <c r="AB753" s="40"/>
      <c r="AC753" s="8"/>
      <c r="AD753" s="40"/>
    </row>
    <row r="754" spans="13:30">
      <c r="M754" s="8"/>
      <c r="N754" s="8"/>
      <c r="O754" s="40"/>
      <c r="P754" s="8"/>
      <c r="Q754" s="40"/>
      <c r="Z754" s="8"/>
      <c r="AA754" s="8"/>
      <c r="AB754" s="40"/>
      <c r="AC754" s="8"/>
      <c r="AD754" s="40"/>
    </row>
    <row r="755" spans="13:30">
      <c r="M755" s="8"/>
      <c r="N755" s="8"/>
      <c r="O755" s="40"/>
      <c r="P755" s="8"/>
      <c r="Q755" s="40"/>
      <c r="Z755" s="8"/>
      <c r="AA755" s="8"/>
      <c r="AB755" s="40"/>
      <c r="AC755" s="8"/>
      <c r="AD755" s="40"/>
    </row>
    <row r="756" spans="13:30">
      <c r="M756" s="8"/>
      <c r="N756" s="8"/>
      <c r="O756" s="40"/>
      <c r="P756" s="8"/>
      <c r="Q756" s="40"/>
      <c r="Z756" s="8"/>
      <c r="AA756" s="8"/>
      <c r="AB756" s="40"/>
      <c r="AC756" s="8"/>
      <c r="AD756" s="40"/>
    </row>
    <row r="757" spans="13:30">
      <c r="M757" s="8"/>
      <c r="N757" s="8"/>
      <c r="O757" s="40"/>
      <c r="P757" s="8"/>
      <c r="Q757" s="40"/>
      <c r="Z757" s="8"/>
      <c r="AA757" s="8"/>
      <c r="AB757" s="40"/>
      <c r="AC757" s="8"/>
      <c r="AD757" s="40"/>
    </row>
    <row r="758" spans="13:30">
      <c r="M758" s="8"/>
      <c r="N758" s="8"/>
      <c r="O758" s="40"/>
      <c r="P758" s="8"/>
      <c r="Q758" s="40"/>
      <c r="Z758" s="8"/>
      <c r="AA758" s="8"/>
      <c r="AB758" s="40"/>
      <c r="AC758" s="8"/>
      <c r="AD758" s="40"/>
    </row>
    <row r="759" spans="13:30">
      <c r="M759" s="8"/>
      <c r="N759" s="8"/>
      <c r="O759" s="40"/>
      <c r="P759" s="8"/>
      <c r="Q759" s="40"/>
      <c r="Z759" s="8"/>
      <c r="AA759" s="8"/>
      <c r="AB759" s="40"/>
      <c r="AC759" s="8"/>
      <c r="AD759" s="40"/>
    </row>
    <row r="760" spans="13:30">
      <c r="M760" s="8"/>
      <c r="N760" s="8"/>
      <c r="O760" s="40"/>
      <c r="P760" s="8"/>
      <c r="Q760" s="40"/>
      <c r="Z760" s="8"/>
      <c r="AA760" s="8"/>
      <c r="AB760" s="40"/>
      <c r="AC760" s="8"/>
      <c r="AD760" s="40"/>
    </row>
    <row r="761" spans="13:30">
      <c r="M761" s="8"/>
      <c r="N761" s="8"/>
      <c r="O761" s="40"/>
      <c r="P761" s="8"/>
      <c r="Q761" s="40"/>
      <c r="Z761" s="8"/>
      <c r="AA761" s="8"/>
      <c r="AB761" s="40"/>
      <c r="AC761" s="8"/>
      <c r="AD761" s="40"/>
    </row>
    <row r="762" spans="13:30">
      <c r="M762" s="8"/>
      <c r="N762" s="8"/>
      <c r="O762" s="40"/>
      <c r="P762" s="8"/>
      <c r="Q762" s="40"/>
      <c r="Z762" s="8"/>
      <c r="AA762" s="8"/>
      <c r="AB762" s="40"/>
      <c r="AC762" s="8"/>
      <c r="AD762" s="40"/>
    </row>
    <row r="763" spans="13:30">
      <c r="M763" s="8"/>
      <c r="N763" s="8"/>
      <c r="O763" s="40"/>
      <c r="P763" s="8"/>
      <c r="Q763" s="40"/>
      <c r="Z763" s="8"/>
      <c r="AA763" s="8"/>
      <c r="AB763" s="40"/>
      <c r="AC763" s="8"/>
      <c r="AD763" s="40"/>
    </row>
    <row r="764" spans="13:30">
      <c r="M764" s="8"/>
      <c r="N764" s="8"/>
      <c r="O764" s="40"/>
      <c r="P764" s="8"/>
      <c r="Q764" s="40"/>
      <c r="Z764" s="8"/>
      <c r="AA764" s="8"/>
      <c r="AB764" s="40"/>
      <c r="AC764" s="8"/>
      <c r="AD764" s="40"/>
    </row>
    <row r="765" spans="13:30">
      <c r="M765" s="8"/>
      <c r="N765" s="8"/>
      <c r="O765" s="40"/>
      <c r="P765" s="8"/>
      <c r="Q765" s="40"/>
      <c r="Z765" s="8"/>
      <c r="AA765" s="8"/>
      <c r="AB765" s="40"/>
      <c r="AC765" s="8"/>
      <c r="AD765" s="40"/>
    </row>
    <row r="766" spans="13:30">
      <c r="M766" s="8"/>
      <c r="N766" s="8"/>
      <c r="O766" s="40"/>
      <c r="P766" s="8"/>
      <c r="Q766" s="40"/>
      <c r="Z766" s="8"/>
      <c r="AA766" s="8"/>
      <c r="AB766" s="40"/>
      <c r="AC766" s="8"/>
      <c r="AD766" s="40"/>
    </row>
    <row r="767" spans="13:30">
      <c r="M767" s="8"/>
      <c r="N767" s="8"/>
      <c r="O767" s="40"/>
      <c r="P767" s="8"/>
      <c r="Q767" s="40"/>
      <c r="Z767" s="8"/>
      <c r="AA767" s="8"/>
      <c r="AB767" s="40"/>
      <c r="AC767" s="8"/>
      <c r="AD767" s="40"/>
    </row>
    <row r="768" spans="13:30">
      <c r="M768" s="8"/>
      <c r="N768" s="8"/>
      <c r="O768" s="40"/>
      <c r="P768" s="8"/>
      <c r="Q768" s="40"/>
      <c r="Z768" s="8"/>
      <c r="AA768" s="8"/>
      <c r="AB768" s="40"/>
      <c r="AC768" s="8"/>
      <c r="AD768" s="40"/>
    </row>
    <row r="769" spans="13:30">
      <c r="M769" s="8"/>
      <c r="N769" s="8"/>
      <c r="O769" s="40"/>
      <c r="P769" s="8"/>
      <c r="Q769" s="40"/>
      <c r="Z769" s="8"/>
      <c r="AA769" s="8"/>
      <c r="AB769" s="40"/>
      <c r="AC769" s="8"/>
      <c r="AD769" s="40"/>
    </row>
    <row r="770" spans="13:30">
      <c r="M770" s="8"/>
      <c r="N770" s="8"/>
      <c r="O770" s="40"/>
      <c r="P770" s="8"/>
      <c r="Q770" s="40"/>
      <c r="Z770" s="8"/>
      <c r="AA770" s="8"/>
      <c r="AB770" s="40"/>
      <c r="AC770" s="8"/>
      <c r="AD770" s="40"/>
    </row>
    <row r="771" spans="13:30">
      <c r="M771" s="8"/>
      <c r="N771" s="8"/>
      <c r="O771" s="40"/>
      <c r="P771" s="8"/>
      <c r="Q771" s="40"/>
      <c r="Z771" s="8"/>
      <c r="AA771" s="8"/>
      <c r="AB771" s="40"/>
      <c r="AC771" s="8"/>
      <c r="AD771" s="40"/>
    </row>
    <row r="772" spans="13:30">
      <c r="M772" s="8"/>
      <c r="N772" s="8"/>
      <c r="O772" s="40"/>
      <c r="P772" s="8"/>
      <c r="Q772" s="40"/>
      <c r="Z772" s="8"/>
      <c r="AA772" s="8"/>
      <c r="AB772" s="40"/>
      <c r="AC772" s="8"/>
      <c r="AD772" s="40"/>
    </row>
    <row r="773" spans="13:30">
      <c r="M773" s="8"/>
      <c r="N773" s="8"/>
      <c r="O773" s="40"/>
      <c r="P773" s="8"/>
      <c r="Q773" s="40"/>
      <c r="Z773" s="8"/>
      <c r="AA773" s="8"/>
      <c r="AB773" s="40"/>
      <c r="AC773" s="8"/>
      <c r="AD773" s="40"/>
    </row>
    <row r="774" spans="13:30">
      <c r="M774" s="8"/>
      <c r="N774" s="8"/>
      <c r="O774" s="40"/>
      <c r="P774" s="8"/>
      <c r="Q774" s="40"/>
      <c r="Z774" s="8"/>
      <c r="AA774" s="8"/>
      <c r="AB774" s="40"/>
      <c r="AC774" s="8"/>
      <c r="AD774" s="40"/>
    </row>
    <row r="775" spans="13:30">
      <c r="M775" s="8"/>
      <c r="N775" s="8"/>
      <c r="O775" s="40"/>
      <c r="P775" s="8"/>
      <c r="Q775" s="40"/>
      <c r="Z775" s="8"/>
      <c r="AA775" s="8"/>
      <c r="AB775" s="40"/>
      <c r="AC775" s="8"/>
      <c r="AD775" s="40"/>
    </row>
    <row r="776" spans="13:30">
      <c r="M776" s="8"/>
      <c r="N776" s="8"/>
      <c r="O776" s="40"/>
      <c r="P776" s="8"/>
      <c r="Q776" s="40"/>
      <c r="Z776" s="8"/>
      <c r="AA776" s="8"/>
      <c r="AB776" s="40"/>
      <c r="AC776" s="8"/>
      <c r="AD776" s="40"/>
    </row>
    <row r="777" spans="13:30">
      <c r="M777" s="8"/>
      <c r="N777" s="8"/>
      <c r="O777" s="40"/>
      <c r="P777" s="8"/>
      <c r="Q777" s="40"/>
      <c r="Z777" s="8"/>
      <c r="AA777" s="8"/>
      <c r="AB777" s="40"/>
      <c r="AC777" s="8"/>
      <c r="AD777" s="40"/>
    </row>
    <row r="778" spans="13:30">
      <c r="M778" s="8"/>
      <c r="N778" s="8"/>
      <c r="O778" s="40"/>
      <c r="P778" s="8"/>
      <c r="Q778" s="40"/>
      <c r="Z778" s="8"/>
      <c r="AA778" s="8"/>
      <c r="AB778" s="40"/>
      <c r="AC778" s="8"/>
      <c r="AD778" s="40"/>
    </row>
    <row r="779" spans="13:30">
      <c r="M779" s="8"/>
      <c r="N779" s="8"/>
      <c r="O779" s="40"/>
      <c r="P779" s="8"/>
      <c r="Q779" s="40"/>
      <c r="Z779" s="8"/>
      <c r="AA779" s="8"/>
      <c r="AB779" s="40"/>
      <c r="AC779" s="8"/>
      <c r="AD779" s="40"/>
    </row>
    <row r="780" spans="13:30">
      <c r="M780" s="8"/>
      <c r="N780" s="8"/>
      <c r="O780" s="40"/>
      <c r="P780" s="8"/>
      <c r="Q780" s="40"/>
      <c r="Z780" s="8"/>
      <c r="AA780" s="8"/>
      <c r="AB780" s="40"/>
      <c r="AC780" s="8"/>
      <c r="AD780" s="40"/>
    </row>
    <row r="781" spans="13:30">
      <c r="M781" s="8"/>
      <c r="N781" s="8"/>
      <c r="O781" s="40"/>
      <c r="P781" s="8"/>
      <c r="Q781" s="40"/>
      <c r="Z781" s="8"/>
      <c r="AA781" s="8"/>
      <c r="AB781" s="40"/>
      <c r="AC781" s="8"/>
      <c r="AD781" s="40"/>
    </row>
    <row r="782" spans="13:30">
      <c r="M782" s="8"/>
      <c r="N782" s="8"/>
      <c r="O782" s="40"/>
      <c r="P782" s="8"/>
      <c r="Q782" s="40"/>
      <c r="Z782" s="8"/>
      <c r="AA782" s="8"/>
      <c r="AB782" s="40"/>
      <c r="AC782" s="8"/>
      <c r="AD782" s="40"/>
    </row>
    <row r="783" spans="13:30">
      <c r="M783" s="8"/>
      <c r="N783" s="8"/>
      <c r="O783" s="40"/>
      <c r="P783" s="8"/>
      <c r="Q783" s="40"/>
      <c r="Z783" s="8"/>
      <c r="AA783" s="8"/>
      <c r="AB783" s="40"/>
      <c r="AC783" s="8"/>
      <c r="AD783" s="40"/>
    </row>
    <row r="784" spans="13:30">
      <c r="M784" s="8"/>
      <c r="N784" s="8"/>
      <c r="O784" s="40"/>
      <c r="P784" s="8"/>
      <c r="Q784" s="40"/>
      <c r="Z784" s="8"/>
      <c r="AA784" s="8"/>
      <c r="AB784" s="40"/>
      <c r="AC784" s="8"/>
      <c r="AD784" s="40"/>
    </row>
    <row r="785" spans="13:30">
      <c r="M785" s="8"/>
      <c r="N785" s="8"/>
      <c r="O785" s="40"/>
      <c r="P785" s="8"/>
      <c r="Q785" s="40"/>
      <c r="Z785" s="8"/>
      <c r="AA785" s="8"/>
      <c r="AB785" s="40"/>
      <c r="AC785" s="8"/>
      <c r="AD785" s="40"/>
    </row>
    <row r="786" spans="13:30">
      <c r="M786" s="8"/>
      <c r="N786" s="8"/>
      <c r="O786" s="40"/>
      <c r="P786" s="8"/>
      <c r="Q786" s="40"/>
      <c r="Z786" s="8"/>
      <c r="AA786" s="8"/>
      <c r="AB786" s="40"/>
      <c r="AC786" s="8"/>
      <c r="AD786" s="40"/>
    </row>
    <row r="787" spans="13:30">
      <c r="M787" s="8"/>
      <c r="N787" s="8"/>
      <c r="O787" s="40"/>
      <c r="P787" s="8"/>
      <c r="Q787" s="40"/>
      <c r="Z787" s="8"/>
      <c r="AA787" s="8"/>
      <c r="AB787" s="40"/>
      <c r="AC787" s="8"/>
      <c r="AD787" s="40"/>
    </row>
    <row r="788" spans="13:30">
      <c r="M788" s="8"/>
      <c r="N788" s="8"/>
      <c r="O788" s="40"/>
      <c r="P788" s="8"/>
      <c r="Q788" s="40"/>
      <c r="Z788" s="8"/>
      <c r="AA788" s="8"/>
      <c r="AB788" s="40"/>
      <c r="AC788" s="8"/>
      <c r="AD788" s="40"/>
    </row>
    <row r="789" spans="13:30">
      <c r="M789" s="8"/>
      <c r="N789" s="8"/>
      <c r="O789" s="40"/>
      <c r="P789" s="8"/>
      <c r="Q789" s="40"/>
      <c r="Z789" s="8"/>
      <c r="AA789" s="8"/>
      <c r="AB789" s="40"/>
      <c r="AC789" s="8"/>
      <c r="AD789" s="40"/>
    </row>
    <row r="790" spans="13:30">
      <c r="M790" s="8"/>
      <c r="N790" s="8"/>
      <c r="O790" s="40"/>
      <c r="P790" s="8"/>
      <c r="Q790" s="40"/>
      <c r="Z790" s="8"/>
      <c r="AA790" s="8"/>
      <c r="AB790" s="40"/>
      <c r="AC790" s="8"/>
      <c r="AD790" s="40"/>
    </row>
    <row r="791" spans="13:30">
      <c r="M791" s="8"/>
      <c r="N791" s="8"/>
      <c r="O791" s="40"/>
      <c r="P791" s="8"/>
      <c r="Q791" s="40"/>
      <c r="Z791" s="8"/>
      <c r="AA791" s="8"/>
      <c r="AB791" s="40"/>
      <c r="AC791" s="8"/>
      <c r="AD791" s="40"/>
    </row>
    <row r="792" spans="13:30">
      <c r="M792" s="8"/>
      <c r="N792" s="8"/>
      <c r="O792" s="40"/>
      <c r="P792" s="8"/>
      <c r="Q792" s="40"/>
      <c r="Z792" s="8"/>
      <c r="AA792" s="8"/>
      <c r="AB792" s="40"/>
      <c r="AC792" s="8"/>
      <c r="AD792" s="40"/>
    </row>
    <row r="793" spans="13:30">
      <c r="M793" s="8"/>
      <c r="N793" s="8"/>
      <c r="O793" s="40"/>
      <c r="P793" s="8"/>
      <c r="Q793" s="40"/>
      <c r="Z793" s="8"/>
      <c r="AA793" s="8"/>
      <c r="AB793" s="40"/>
      <c r="AC793" s="8"/>
      <c r="AD793" s="40"/>
    </row>
    <row r="794" spans="13:30">
      <c r="M794" s="8"/>
      <c r="N794" s="8"/>
      <c r="O794" s="40"/>
      <c r="P794" s="8"/>
      <c r="Q794" s="40"/>
      <c r="Z794" s="8"/>
      <c r="AA794" s="8"/>
      <c r="AB794" s="40"/>
      <c r="AC794" s="8"/>
      <c r="AD794" s="40"/>
    </row>
    <row r="795" spans="13:30">
      <c r="M795" s="8"/>
      <c r="N795" s="8"/>
      <c r="O795" s="40"/>
      <c r="P795" s="8"/>
      <c r="Q795" s="40"/>
      <c r="Z795" s="8"/>
      <c r="AA795" s="8"/>
      <c r="AB795" s="40"/>
      <c r="AC795" s="8"/>
      <c r="AD795" s="40"/>
    </row>
    <row r="796" spans="13:30">
      <c r="M796" s="8"/>
      <c r="N796" s="8"/>
      <c r="O796" s="40"/>
      <c r="P796" s="8"/>
      <c r="Q796" s="40"/>
      <c r="Z796" s="8"/>
      <c r="AA796" s="8"/>
      <c r="AB796" s="40"/>
      <c r="AC796" s="8"/>
      <c r="AD796" s="40"/>
    </row>
    <row r="797" spans="13:30">
      <c r="M797" s="8"/>
      <c r="N797" s="8"/>
      <c r="O797" s="40"/>
      <c r="P797" s="8"/>
      <c r="Q797" s="40"/>
      <c r="Z797" s="8"/>
      <c r="AA797" s="8"/>
      <c r="AB797" s="40"/>
      <c r="AC797" s="8"/>
      <c r="AD797" s="40"/>
    </row>
    <row r="798" spans="13:30">
      <c r="M798" s="8"/>
      <c r="N798" s="8"/>
      <c r="O798" s="40"/>
      <c r="P798" s="8"/>
      <c r="Q798" s="40"/>
      <c r="Z798" s="8"/>
      <c r="AA798" s="8"/>
      <c r="AB798" s="40"/>
      <c r="AC798" s="8"/>
      <c r="AD798" s="40"/>
    </row>
    <row r="799" spans="13:30">
      <c r="M799" s="8"/>
      <c r="N799" s="8"/>
      <c r="O799" s="40"/>
      <c r="P799" s="8"/>
      <c r="Q799" s="40"/>
      <c r="Z799" s="8"/>
      <c r="AA799" s="8"/>
      <c r="AB799" s="40"/>
      <c r="AC799" s="8"/>
      <c r="AD799" s="40"/>
    </row>
    <row r="800" spans="13:30">
      <c r="M800" s="8"/>
      <c r="N800" s="8"/>
      <c r="O800" s="40"/>
      <c r="P800" s="8"/>
      <c r="Q800" s="40"/>
      <c r="Z800" s="8"/>
      <c r="AA800" s="8"/>
      <c r="AB800" s="40"/>
      <c r="AC800" s="8"/>
      <c r="AD800" s="40"/>
    </row>
    <row r="801" spans="13:30">
      <c r="M801" s="8"/>
      <c r="N801" s="8"/>
      <c r="O801" s="40"/>
      <c r="P801" s="8"/>
      <c r="Q801" s="40"/>
      <c r="Z801" s="8"/>
      <c r="AA801" s="8"/>
      <c r="AB801" s="40"/>
      <c r="AC801" s="8"/>
      <c r="AD801" s="40"/>
    </row>
    <row r="802" spans="13:30">
      <c r="M802" s="8"/>
      <c r="N802" s="8"/>
      <c r="O802" s="40"/>
      <c r="P802" s="8"/>
      <c r="Q802" s="40"/>
      <c r="Z802" s="8"/>
      <c r="AA802" s="8"/>
      <c r="AB802" s="40"/>
      <c r="AC802" s="8"/>
      <c r="AD802" s="40"/>
    </row>
    <row r="803" spans="13:30">
      <c r="M803" s="8"/>
      <c r="N803" s="8"/>
      <c r="O803" s="40"/>
      <c r="P803" s="8"/>
      <c r="Q803" s="40"/>
      <c r="Z803" s="8"/>
      <c r="AA803" s="8"/>
      <c r="AB803" s="40"/>
      <c r="AC803" s="8"/>
      <c r="AD803" s="40"/>
    </row>
    <row r="804" spans="13:30">
      <c r="M804" s="8"/>
      <c r="N804" s="8"/>
      <c r="O804" s="40"/>
      <c r="P804" s="8"/>
      <c r="Q804" s="40"/>
      <c r="Z804" s="8"/>
      <c r="AA804" s="8"/>
      <c r="AB804" s="40"/>
      <c r="AC804" s="8"/>
      <c r="AD804" s="40"/>
    </row>
    <row r="805" spans="13:30">
      <c r="M805" s="8"/>
      <c r="N805" s="8"/>
      <c r="O805" s="40"/>
      <c r="P805" s="8"/>
      <c r="Q805" s="40"/>
      <c r="Z805" s="8"/>
      <c r="AA805" s="8"/>
      <c r="AB805" s="40"/>
      <c r="AC805" s="8"/>
      <c r="AD805" s="40"/>
    </row>
    <row r="806" spans="13:30">
      <c r="M806" s="8"/>
      <c r="N806" s="8"/>
      <c r="O806" s="40"/>
      <c r="P806" s="8"/>
      <c r="Q806" s="40"/>
      <c r="Z806" s="8"/>
      <c r="AA806" s="8"/>
      <c r="AB806" s="40"/>
      <c r="AC806" s="8"/>
      <c r="AD806" s="40"/>
    </row>
    <row r="807" spans="13:30">
      <c r="M807" s="8"/>
      <c r="N807" s="8"/>
      <c r="O807" s="40"/>
      <c r="P807" s="8"/>
      <c r="Q807" s="40"/>
      <c r="Z807" s="8"/>
      <c r="AA807" s="8"/>
      <c r="AB807" s="40"/>
      <c r="AC807" s="8"/>
      <c r="AD807" s="40"/>
    </row>
    <row r="808" spans="13:30">
      <c r="M808" s="8"/>
      <c r="N808" s="8"/>
      <c r="O808" s="40"/>
      <c r="P808" s="8"/>
      <c r="Q808" s="40"/>
      <c r="Z808" s="8"/>
      <c r="AA808" s="8"/>
      <c r="AB808" s="40"/>
      <c r="AC808" s="8"/>
      <c r="AD808" s="40"/>
    </row>
    <row r="809" spans="13:30">
      <c r="M809" s="8"/>
      <c r="N809" s="8"/>
      <c r="O809" s="40"/>
      <c r="P809" s="8"/>
      <c r="Q809" s="40"/>
      <c r="Z809" s="8"/>
      <c r="AA809" s="8"/>
      <c r="AB809" s="40"/>
      <c r="AC809" s="8"/>
      <c r="AD809" s="40"/>
    </row>
    <row r="810" spans="13:30">
      <c r="M810" s="8"/>
      <c r="N810" s="8"/>
      <c r="O810" s="40"/>
      <c r="P810" s="8"/>
      <c r="Q810" s="40"/>
      <c r="Z810" s="8"/>
      <c r="AA810" s="8"/>
      <c r="AB810" s="40"/>
      <c r="AC810" s="8"/>
      <c r="AD810" s="40"/>
    </row>
    <row r="811" spans="13:30">
      <c r="M811" s="8"/>
      <c r="N811" s="8"/>
      <c r="O811" s="40"/>
      <c r="P811" s="8"/>
      <c r="Q811" s="40"/>
      <c r="Z811" s="8"/>
      <c r="AA811" s="8"/>
      <c r="AB811" s="40"/>
      <c r="AC811" s="8"/>
      <c r="AD811" s="40"/>
    </row>
    <row r="812" spans="13:30">
      <c r="M812" s="8"/>
      <c r="N812" s="8"/>
      <c r="O812" s="40"/>
      <c r="P812" s="8"/>
      <c r="Q812" s="40"/>
      <c r="Z812" s="8"/>
      <c r="AA812" s="8"/>
      <c r="AB812" s="40"/>
      <c r="AC812" s="8"/>
      <c r="AD812" s="40"/>
    </row>
    <row r="813" spans="13:30">
      <c r="M813" s="8"/>
      <c r="N813" s="8"/>
      <c r="O813" s="40"/>
      <c r="P813" s="8"/>
      <c r="Q813" s="40"/>
      <c r="Z813" s="8"/>
      <c r="AA813" s="8"/>
      <c r="AB813" s="40"/>
      <c r="AC813" s="8"/>
      <c r="AD813" s="40"/>
    </row>
    <row r="814" spans="13:30">
      <c r="M814" s="8"/>
      <c r="N814" s="8"/>
      <c r="O814" s="40"/>
      <c r="P814" s="8"/>
      <c r="Q814" s="40"/>
      <c r="Z814" s="8"/>
      <c r="AA814" s="8"/>
      <c r="AB814" s="40"/>
      <c r="AC814" s="8"/>
      <c r="AD814" s="40"/>
    </row>
    <row r="815" spans="13:30">
      <c r="M815" s="8"/>
      <c r="N815" s="8"/>
      <c r="O815" s="40"/>
      <c r="P815" s="8"/>
      <c r="Q815" s="40"/>
      <c r="Z815" s="8"/>
      <c r="AA815" s="8"/>
      <c r="AB815" s="40"/>
      <c r="AC815" s="8"/>
      <c r="AD815" s="40"/>
    </row>
    <row r="816" spans="13:30">
      <c r="M816" s="8"/>
      <c r="N816" s="8"/>
      <c r="O816" s="40"/>
      <c r="P816" s="8"/>
      <c r="Q816" s="40"/>
      <c r="Z816" s="8"/>
      <c r="AA816" s="8"/>
      <c r="AB816" s="40"/>
      <c r="AC816" s="8"/>
      <c r="AD816" s="40"/>
    </row>
    <row r="817" spans="13:30">
      <c r="M817" s="8"/>
      <c r="N817" s="8"/>
      <c r="O817" s="40"/>
      <c r="P817" s="8"/>
      <c r="Q817" s="40"/>
      <c r="Z817" s="8"/>
      <c r="AA817" s="8"/>
      <c r="AB817" s="40"/>
      <c r="AC817" s="8"/>
      <c r="AD817" s="40"/>
    </row>
    <row r="818" spans="13:30">
      <c r="M818" s="8"/>
      <c r="N818" s="8"/>
      <c r="O818" s="40"/>
      <c r="P818" s="8"/>
      <c r="Q818" s="40"/>
      <c r="Z818" s="8"/>
      <c r="AA818" s="8"/>
      <c r="AB818" s="40"/>
      <c r="AC818" s="8"/>
      <c r="AD818" s="40"/>
    </row>
    <row r="819" spans="13:30">
      <c r="M819" s="8"/>
      <c r="N819" s="8"/>
      <c r="O819" s="40"/>
      <c r="P819" s="8"/>
      <c r="Q819" s="40"/>
      <c r="Z819" s="8"/>
      <c r="AA819" s="8"/>
      <c r="AB819" s="40"/>
      <c r="AC819" s="8"/>
      <c r="AD819" s="40"/>
    </row>
    <row r="820" spans="13:30">
      <c r="M820" s="8"/>
      <c r="N820" s="8"/>
      <c r="O820" s="40"/>
      <c r="P820" s="8"/>
      <c r="Q820" s="40"/>
      <c r="Z820" s="8"/>
      <c r="AA820" s="8"/>
      <c r="AB820" s="40"/>
      <c r="AC820" s="8"/>
      <c r="AD820" s="40"/>
    </row>
    <row r="821" spans="13:30">
      <c r="M821" s="8"/>
      <c r="N821" s="8"/>
      <c r="O821" s="40"/>
      <c r="P821" s="8"/>
      <c r="Q821" s="40"/>
      <c r="Z821" s="8"/>
      <c r="AA821" s="8"/>
      <c r="AB821" s="40"/>
      <c r="AC821" s="8"/>
      <c r="AD821" s="40"/>
    </row>
    <row r="822" spans="13:30">
      <c r="M822" s="8"/>
      <c r="N822" s="8"/>
      <c r="O822" s="40"/>
      <c r="P822" s="8"/>
      <c r="Q822" s="40"/>
      <c r="Z822" s="8"/>
      <c r="AA822" s="8"/>
      <c r="AB822" s="40"/>
      <c r="AC822" s="8"/>
      <c r="AD822" s="40"/>
    </row>
    <row r="823" spans="13:30">
      <c r="M823" s="8"/>
      <c r="N823" s="8"/>
      <c r="O823" s="40"/>
      <c r="P823" s="8"/>
      <c r="Q823" s="40"/>
      <c r="Z823" s="8"/>
      <c r="AA823" s="8"/>
      <c r="AB823" s="40"/>
      <c r="AC823" s="8"/>
      <c r="AD823" s="40"/>
    </row>
    <row r="824" spans="13:30">
      <c r="M824" s="8"/>
      <c r="N824" s="8"/>
      <c r="O824" s="40"/>
      <c r="P824" s="8"/>
      <c r="Q824" s="40"/>
      <c r="Z824" s="8"/>
      <c r="AA824" s="8"/>
      <c r="AB824" s="40"/>
      <c r="AC824" s="8"/>
      <c r="AD824" s="40"/>
    </row>
    <row r="825" spans="13:30">
      <c r="M825" s="8"/>
      <c r="N825" s="8"/>
      <c r="O825" s="40"/>
      <c r="P825" s="8"/>
      <c r="Q825" s="40"/>
      <c r="Z825" s="8"/>
      <c r="AA825" s="8"/>
      <c r="AB825" s="40"/>
      <c r="AC825" s="8"/>
      <c r="AD825" s="40"/>
    </row>
    <row r="826" spans="13:30">
      <c r="M826" s="8"/>
      <c r="N826" s="8"/>
      <c r="O826" s="40"/>
      <c r="P826" s="8"/>
      <c r="Q826" s="40"/>
      <c r="Z826" s="8"/>
      <c r="AA826" s="8"/>
      <c r="AB826" s="40"/>
      <c r="AC826" s="8"/>
      <c r="AD826" s="40"/>
    </row>
    <row r="827" spans="13:30">
      <c r="M827" s="8"/>
      <c r="N827" s="8"/>
      <c r="O827" s="40"/>
      <c r="P827" s="8"/>
      <c r="Q827" s="40"/>
      <c r="Z827" s="8"/>
      <c r="AA827" s="8"/>
      <c r="AB827" s="40"/>
      <c r="AC827" s="8"/>
      <c r="AD827" s="40"/>
    </row>
    <row r="828" spans="13:30">
      <c r="M828" s="8"/>
      <c r="N828" s="8"/>
      <c r="O828" s="40"/>
      <c r="P828" s="8"/>
      <c r="Q828" s="40"/>
      <c r="Z828" s="8"/>
      <c r="AA828" s="8"/>
      <c r="AB828" s="40"/>
      <c r="AC828" s="8"/>
      <c r="AD828" s="40"/>
    </row>
    <row r="829" spans="13:30">
      <c r="M829" s="8"/>
      <c r="N829" s="8"/>
      <c r="O829" s="40"/>
      <c r="P829" s="8"/>
      <c r="Q829" s="40"/>
      <c r="Z829" s="8"/>
      <c r="AA829" s="8"/>
      <c r="AB829" s="40"/>
      <c r="AC829" s="8"/>
      <c r="AD829" s="40"/>
    </row>
    <row r="830" spans="13:30">
      <c r="M830" s="8"/>
      <c r="N830" s="8"/>
      <c r="O830" s="40"/>
      <c r="P830" s="8"/>
      <c r="Q830" s="40"/>
      <c r="Z830" s="8"/>
      <c r="AA830" s="8"/>
      <c r="AB830" s="40"/>
      <c r="AC830" s="8"/>
      <c r="AD830" s="40"/>
    </row>
    <row r="831" spans="13:30">
      <c r="M831" s="8"/>
      <c r="N831" s="8"/>
      <c r="O831" s="40"/>
      <c r="P831" s="8"/>
      <c r="Q831" s="40"/>
      <c r="Z831" s="8"/>
      <c r="AA831" s="8"/>
      <c r="AB831" s="40"/>
      <c r="AC831" s="8"/>
      <c r="AD831" s="40"/>
    </row>
    <row r="832" spans="13:30">
      <c r="M832" s="8"/>
      <c r="N832" s="8"/>
      <c r="O832" s="40"/>
      <c r="P832" s="8"/>
      <c r="Q832" s="40"/>
      <c r="Z832" s="8"/>
      <c r="AA832" s="8"/>
      <c r="AB832" s="40"/>
      <c r="AC832" s="8"/>
      <c r="AD832" s="40"/>
    </row>
    <row r="833" spans="13:30">
      <c r="M833" s="8"/>
      <c r="N833" s="8"/>
      <c r="O833" s="40"/>
      <c r="P833" s="8"/>
      <c r="Q833" s="40"/>
      <c r="Z833" s="8"/>
      <c r="AA833" s="8"/>
      <c r="AB833" s="40"/>
      <c r="AC833" s="8"/>
      <c r="AD833" s="40"/>
    </row>
    <row r="834" spans="13:30">
      <c r="M834" s="8"/>
      <c r="N834" s="8"/>
      <c r="O834" s="40"/>
      <c r="P834" s="8"/>
      <c r="Q834" s="40"/>
      <c r="Z834" s="8"/>
      <c r="AA834" s="8"/>
      <c r="AB834" s="40"/>
      <c r="AC834" s="8"/>
      <c r="AD834" s="40"/>
    </row>
    <row r="835" spans="13:30">
      <c r="M835" s="8"/>
      <c r="N835" s="8"/>
      <c r="O835" s="40"/>
      <c r="P835" s="8"/>
      <c r="Q835" s="40"/>
      <c r="Z835" s="8"/>
      <c r="AA835" s="8"/>
      <c r="AB835" s="40"/>
      <c r="AC835" s="8"/>
      <c r="AD835" s="40"/>
    </row>
    <row r="836" spans="13:30">
      <c r="M836" s="8"/>
      <c r="N836" s="8"/>
      <c r="O836" s="40"/>
      <c r="P836" s="8"/>
      <c r="Q836" s="40"/>
      <c r="Z836" s="8"/>
      <c r="AA836" s="8"/>
      <c r="AB836" s="40"/>
      <c r="AC836" s="8"/>
      <c r="AD836" s="40"/>
    </row>
    <row r="837" spans="13:30">
      <c r="M837" s="8"/>
      <c r="N837" s="8"/>
      <c r="O837" s="40"/>
      <c r="P837" s="8"/>
      <c r="Q837" s="40"/>
      <c r="Z837" s="8"/>
      <c r="AA837" s="8"/>
      <c r="AB837" s="40"/>
      <c r="AC837" s="8"/>
      <c r="AD837" s="40"/>
    </row>
    <row r="838" spans="13:30">
      <c r="M838" s="8"/>
      <c r="N838" s="8"/>
      <c r="O838" s="40"/>
      <c r="P838" s="8"/>
      <c r="Q838" s="40"/>
      <c r="Z838" s="8"/>
      <c r="AA838" s="8"/>
      <c r="AB838" s="40"/>
      <c r="AC838" s="8"/>
      <c r="AD838" s="40"/>
    </row>
    <row r="839" spans="13:30">
      <c r="M839" s="8"/>
      <c r="N839" s="8"/>
      <c r="O839" s="40"/>
      <c r="P839" s="8"/>
      <c r="Q839" s="40"/>
      <c r="Z839" s="8"/>
      <c r="AA839" s="8"/>
      <c r="AB839" s="40"/>
      <c r="AC839" s="8"/>
      <c r="AD839" s="40"/>
    </row>
    <row r="840" spans="13:30">
      <c r="M840" s="8"/>
      <c r="N840" s="8"/>
      <c r="O840" s="40"/>
      <c r="P840" s="8"/>
      <c r="Q840" s="40"/>
      <c r="Z840" s="8"/>
      <c r="AA840" s="8"/>
      <c r="AB840" s="40"/>
      <c r="AC840" s="8"/>
      <c r="AD840" s="40"/>
    </row>
    <row r="841" spans="13:30">
      <c r="M841" s="8"/>
      <c r="N841" s="8"/>
      <c r="O841" s="40"/>
      <c r="P841" s="8"/>
      <c r="Q841" s="40"/>
      <c r="Z841" s="8"/>
      <c r="AA841" s="8"/>
      <c r="AB841" s="40"/>
      <c r="AC841" s="8"/>
      <c r="AD841" s="40"/>
    </row>
    <row r="842" spans="13:30">
      <c r="M842" s="8"/>
      <c r="N842" s="8"/>
      <c r="O842" s="40"/>
      <c r="P842" s="8"/>
      <c r="Q842" s="40"/>
      <c r="Z842" s="8"/>
      <c r="AA842" s="8"/>
      <c r="AB842" s="40"/>
      <c r="AC842" s="8"/>
      <c r="AD842" s="40"/>
    </row>
    <row r="843" spans="13:30">
      <c r="M843" s="8"/>
      <c r="N843" s="8"/>
      <c r="O843" s="40"/>
      <c r="P843" s="8"/>
      <c r="Q843" s="40"/>
      <c r="Z843" s="8"/>
      <c r="AA843" s="8"/>
      <c r="AB843" s="40"/>
      <c r="AC843" s="8"/>
      <c r="AD843" s="40"/>
    </row>
    <row r="844" spans="13:30">
      <c r="M844" s="8"/>
      <c r="N844" s="8"/>
      <c r="O844" s="40"/>
      <c r="P844" s="8"/>
      <c r="Q844" s="40"/>
      <c r="Z844" s="8"/>
      <c r="AA844" s="8"/>
      <c r="AB844" s="40"/>
      <c r="AC844" s="8"/>
      <c r="AD844" s="40"/>
    </row>
    <row r="845" spans="13:30">
      <c r="M845" s="8"/>
      <c r="N845" s="8"/>
      <c r="O845" s="40"/>
      <c r="P845" s="8"/>
      <c r="Q845" s="40"/>
      <c r="Z845" s="8"/>
      <c r="AA845" s="8"/>
      <c r="AB845" s="40"/>
      <c r="AC845" s="8"/>
      <c r="AD845" s="40"/>
    </row>
    <row r="846" spans="13:30">
      <c r="M846" s="8"/>
      <c r="N846" s="8"/>
      <c r="O846" s="40"/>
      <c r="P846" s="8"/>
      <c r="Q846" s="40"/>
      <c r="Z846" s="8"/>
      <c r="AA846" s="8"/>
      <c r="AB846" s="40"/>
      <c r="AC846" s="8"/>
      <c r="AD846" s="40"/>
    </row>
    <row r="847" spans="13:30">
      <c r="M847" s="8"/>
      <c r="N847" s="8"/>
      <c r="O847" s="40"/>
      <c r="P847" s="8"/>
      <c r="Q847" s="40"/>
      <c r="Z847" s="8"/>
      <c r="AA847" s="8"/>
      <c r="AB847" s="40"/>
      <c r="AC847" s="8"/>
      <c r="AD847" s="40"/>
    </row>
    <row r="848" spans="13:30">
      <c r="M848" s="8"/>
      <c r="N848" s="8"/>
      <c r="O848" s="40"/>
      <c r="P848" s="8"/>
      <c r="Q848" s="40"/>
      <c r="Z848" s="8"/>
      <c r="AA848" s="8"/>
      <c r="AB848" s="40"/>
      <c r="AC848" s="8"/>
      <c r="AD848" s="40"/>
    </row>
    <row r="849" spans="13:30">
      <c r="M849" s="8"/>
      <c r="N849" s="8"/>
      <c r="O849" s="40"/>
      <c r="P849" s="8"/>
      <c r="Q849" s="40"/>
      <c r="Z849" s="8"/>
      <c r="AA849" s="8"/>
      <c r="AB849" s="40"/>
      <c r="AC849" s="8"/>
      <c r="AD849" s="40"/>
    </row>
    <row r="850" spans="13:30">
      <c r="M850" s="8"/>
      <c r="N850" s="8"/>
      <c r="O850" s="40"/>
      <c r="P850" s="8"/>
      <c r="Q850" s="40"/>
      <c r="Z850" s="8"/>
      <c r="AA850" s="8"/>
      <c r="AB850" s="40"/>
      <c r="AC850" s="8"/>
      <c r="AD850" s="40"/>
    </row>
    <row r="851" spans="13:30">
      <c r="M851" s="8"/>
      <c r="N851" s="8"/>
      <c r="O851" s="40"/>
      <c r="P851" s="8"/>
      <c r="Q851" s="40"/>
      <c r="Z851" s="8"/>
      <c r="AA851" s="8"/>
      <c r="AB851" s="40"/>
      <c r="AC851" s="8"/>
      <c r="AD851" s="40"/>
    </row>
    <row r="852" spans="13:30">
      <c r="M852" s="8"/>
      <c r="N852" s="8"/>
      <c r="O852" s="40"/>
      <c r="P852" s="8"/>
      <c r="Q852" s="40"/>
      <c r="Z852" s="8"/>
      <c r="AA852" s="8"/>
      <c r="AB852" s="40"/>
      <c r="AC852" s="8"/>
      <c r="AD852" s="40"/>
    </row>
    <row r="853" spans="13:30">
      <c r="M853" s="8"/>
      <c r="N853" s="8"/>
      <c r="O853" s="40"/>
      <c r="P853" s="8"/>
      <c r="Q853" s="40"/>
      <c r="Z853" s="8"/>
      <c r="AA853" s="8"/>
      <c r="AB853" s="40"/>
      <c r="AC853" s="8"/>
      <c r="AD853" s="40"/>
    </row>
    <row r="854" spans="13:30">
      <c r="M854" s="8"/>
      <c r="N854" s="8"/>
      <c r="O854" s="40"/>
      <c r="P854" s="8"/>
      <c r="Q854" s="40"/>
      <c r="Z854" s="8"/>
      <c r="AA854" s="8"/>
      <c r="AB854" s="40"/>
      <c r="AC854" s="8"/>
      <c r="AD854" s="40"/>
    </row>
    <row r="855" spans="13:30">
      <c r="M855" s="8"/>
      <c r="N855" s="8"/>
      <c r="O855" s="40"/>
      <c r="P855" s="8"/>
      <c r="Q855" s="40"/>
      <c r="Z855" s="8"/>
      <c r="AA855" s="8"/>
      <c r="AB855" s="40"/>
      <c r="AC855" s="8"/>
      <c r="AD855" s="40"/>
    </row>
    <row r="856" spans="13:30">
      <c r="M856" s="8"/>
      <c r="N856" s="8"/>
      <c r="O856" s="40"/>
      <c r="P856" s="8"/>
      <c r="Q856" s="40"/>
      <c r="Z856" s="8"/>
      <c r="AA856" s="8"/>
      <c r="AB856" s="40"/>
      <c r="AC856" s="8"/>
      <c r="AD856" s="40"/>
    </row>
    <row r="857" spans="13:30">
      <c r="M857" s="8"/>
      <c r="N857" s="8"/>
      <c r="O857" s="40"/>
      <c r="P857" s="8"/>
      <c r="Q857" s="40"/>
      <c r="Z857" s="8"/>
      <c r="AA857" s="8"/>
      <c r="AB857" s="40"/>
      <c r="AC857" s="8"/>
      <c r="AD857" s="40"/>
    </row>
    <row r="858" spans="13:30">
      <c r="M858" s="8"/>
      <c r="N858" s="8"/>
      <c r="O858" s="40"/>
      <c r="P858" s="8"/>
      <c r="Q858" s="40"/>
      <c r="Z858" s="8"/>
      <c r="AA858" s="8"/>
      <c r="AB858" s="40"/>
      <c r="AC858" s="8"/>
      <c r="AD858" s="40"/>
    </row>
    <row r="859" spans="13:30">
      <c r="M859" s="8"/>
      <c r="N859" s="8"/>
      <c r="O859" s="40"/>
      <c r="P859" s="8"/>
      <c r="Q859" s="40"/>
      <c r="Z859" s="8"/>
      <c r="AA859" s="8"/>
      <c r="AB859" s="40"/>
      <c r="AC859" s="8"/>
      <c r="AD859" s="40"/>
    </row>
    <row r="860" spans="13:30">
      <c r="M860" s="8"/>
      <c r="N860" s="8"/>
      <c r="O860" s="40"/>
      <c r="P860" s="8"/>
      <c r="Q860" s="40"/>
      <c r="Z860" s="8"/>
      <c r="AA860" s="8"/>
      <c r="AB860" s="40"/>
      <c r="AC860" s="8"/>
      <c r="AD860" s="40"/>
    </row>
    <row r="861" spans="13:30">
      <c r="M861" s="8"/>
      <c r="N861" s="8"/>
      <c r="O861" s="40"/>
      <c r="P861" s="8"/>
      <c r="Q861" s="40"/>
      <c r="Z861" s="8"/>
      <c r="AA861" s="8"/>
      <c r="AB861" s="40"/>
      <c r="AC861" s="8"/>
      <c r="AD861" s="40"/>
    </row>
    <row r="862" spans="13:30">
      <c r="M862" s="8"/>
      <c r="N862" s="8"/>
      <c r="O862" s="40"/>
      <c r="P862" s="8"/>
      <c r="Q862" s="40"/>
      <c r="Z862" s="8"/>
      <c r="AA862" s="8"/>
      <c r="AB862" s="40"/>
      <c r="AC862" s="8"/>
      <c r="AD862" s="40"/>
    </row>
    <row r="863" spans="13:30">
      <c r="M863" s="8"/>
      <c r="N863" s="8"/>
      <c r="O863" s="40"/>
      <c r="P863" s="8"/>
      <c r="Q863" s="40"/>
      <c r="Z863" s="8"/>
      <c r="AA863" s="8"/>
      <c r="AB863" s="40"/>
      <c r="AC863" s="8"/>
      <c r="AD863" s="40"/>
    </row>
    <row r="864" spans="13:30">
      <c r="M864" s="8"/>
      <c r="N864" s="8"/>
      <c r="O864" s="40"/>
      <c r="P864" s="8"/>
      <c r="Q864" s="40"/>
      <c r="Z864" s="8"/>
      <c r="AA864" s="8"/>
      <c r="AB864" s="40"/>
      <c r="AC864" s="8"/>
      <c r="AD864" s="40"/>
    </row>
    <row r="865" spans="13:30">
      <c r="M865" s="8"/>
      <c r="N865" s="8"/>
      <c r="O865" s="40"/>
      <c r="P865" s="8"/>
      <c r="Q865" s="40"/>
      <c r="Z865" s="8"/>
      <c r="AA865" s="8"/>
      <c r="AB865" s="40"/>
      <c r="AC865" s="8"/>
      <c r="AD865" s="40"/>
    </row>
    <row r="866" spans="13:30">
      <c r="M866" s="8"/>
      <c r="N866" s="8"/>
      <c r="O866" s="40"/>
      <c r="P866" s="8"/>
      <c r="Q866" s="40"/>
      <c r="Z866" s="8"/>
      <c r="AA866" s="8"/>
      <c r="AB866" s="40"/>
      <c r="AC866" s="8"/>
      <c r="AD866" s="40"/>
    </row>
    <row r="867" spans="13:30">
      <c r="M867" s="8"/>
      <c r="N867" s="8"/>
      <c r="O867" s="40"/>
      <c r="P867" s="8"/>
      <c r="Q867" s="40"/>
      <c r="Z867" s="8"/>
      <c r="AA867" s="8"/>
      <c r="AB867" s="40"/>
      <c r="AC867" s="8"/>
      <c r="AD867" s="40"/>
    </row>
    <row r="868" spans="13:30">
      <c r="M868" s="8"/>
      <c r="N868" s="8"/>
      <c r="O868" s="40"/>
      <c r="P868" s="8"/>
      <c r="Q868" s="40"/>
      <c r="Z868" s="8"/>
      <c r="AA868" s="8"/>
      <c r="AB868" s="40"/>
      <c r="AC868" s="8"/>
      <c r="AD868" s="40"/>
    </row>
    <row r="869" spans="13:30">
      <c r="M869" s="8"/>
      <c r="N869" s="8"/>
      <c r="O869" s="40"/>
      <c r="P869" s="8"/>
      <c r="Q869" s="40"/>
      <c r="Z869" s="8"/>
      <c r="AA869" s="8"/>
      <c r="AB869" s="40"/>
      <c r="AC869" s="8"/>
      <c r="AD869" s="40"/>
    </row>
    <row r="870" spans="13:30">
      <c r="M870" s="8"/>
      <c r="N870" s="8"/>
      <c r="O870" s="40"/>
      <c r="P870" s="8"/>
      <c r="Q870" s="40"/>
      <c r="Z870" s="8"/>
      <c r="AA870" s="8"/>
      <c r="AB870" s="40"/>
      <c r="AC870" s="8"/>
      <c r="AD870" s="40"/>
    </row>
    <row r="871" spans="13:30">
      <c r="M871" s="8"/>
      <c r="N871" s="8"/>
      <c r="O871" s="40"/>
      <c r="P871" s="8"/>
      <c r="Q871" s="40"/>
      <c r="Z871" s="8"/>
      <c r="AA871" s="8"/>
      <c r="AB871" s="40"/>
      <c r="AC871" s="8"/>
      <c r="AD871" s="40"/>
    </row>
    <row r="872" spans="13:30">
      <c r="M872" s="8"/>
      <c r="N872" s="8"/>
      <c r="O872" s="40"/>
      <c r="P872" s="8"/>
      <c r="Q872" s="40"/>
      <c r="Z872" s="8"/>
      <c r="AA872" s="8"/>
      <c r="AB872" s="40"/>
      <c r="AC872" s="8"/>
      <c r="AD872" s="40"/>
    </row>
    <row r="873" spans="13:30">
      <c r="M873" s="8"/>
      <c r="N873" s="8"/>
      <c r="O873" s="40"/>
      <c r="P873" s="8"/>
      <c r="Q873" s="40"/>
      <c r="Z873" s="8"/>
      <c r="AA873" s="8"/>
      <c r="AB873" s="40"/>
      <c r="AC873" s="8"/>
      <c r="AD873" s="40"/>
    </row>
    <row r="874" spans="13:30">
      <c r="M874" s="8"/>
      <c r="N874" s="8"/>
      <c r="O874" s="40"/>
      <c r="P874" s="8"/>
      <c r="Q874" s="40"/>
      <c r="Z874" s="8"/>
      <c r="AA874" s="8"/>
      <c r="AB874" s="40"/>
      <c r="AC874" s="8"/>
      <c r="AD874" s="40"/>
    </row>
    <row r="875" spans="13:30">
      <c r="M875" s="8"/>
      <c r="N875" s="8"/>
      <c r="O875" s="40"/>
      <c r="P875" s="8"/>
      <c r="Q875" s="40"/>
      <c r="Z875" s="8"/>
      <c r="AA875" s="8"/>
      <c r="AB875" s="40"/>
      <c r="AC875" s="8"/>
      <c r="AD875" s="40"/>
    </row>
    <row r="876" spans="13:30">
      <c r="M876" s="8"/>
      <c r="N876" s="8"/>
      <c r="O876" s="40"/>
      <c r="P876" s="8"/>
      <c r="Q876" s="40"/>
      <c r="Z876" s="8"/>
      <c r="AA876" s="8"/>
      <c r="AB876" s="40"/>
      <c r="AC876" s="8"/>
      <c r="AD876" s="40"/>
    </row>
    <row r="877" spans="13:30">
      <c r="M877" s="8"/>
      <c r="N877" s="8"/>
      <c r="O877" s="40"/>
      <c r="P877" s="8"/>
      <c r="Q877" s="40"/>
      <c r="Z877" s="8"/>
      <c r="AA877" s="8"/>
      <c r="AB877" s="40"/>
      <c r="AC877" s="8"/>
      <c r="AD877" s="40"/>
    </row>
    <row r="878" spans="13:30">
      <c r="M878" s="8"/>
      <c r="N878" s="8"/>
      <c r="O878" s="40"/>
      <c r="P878" s="8"/>
      <c r="Q878" s="40"/>
      <c r="Z878" s="8"/>
      <c r="AA878" s="8"/>
      <c r="AB878" s="40"/>
      <c r="AC878" s="8"/>
      <c r="AD878" s="40"/>
    </row>
    <row r="879" spans="13:30">
      <c r="M879" s="8"/>
      <c r="N879" s="8"/>
      <c r="O879" s="40"/>
      <c r="P879" s="8"/>
      <c r="Q879" s="40"/>
      <c r="Z879" s="8"/>
      <c r="AA879" s="8"/>
      <c r="AB879" s="40"/>
      <c r="AC879" s="8"/>
      <c r="AD879" s="40"/>
    </row>
    <row r="880" spans="13:30">
      <c r="M880" s="8"/>
      <c r="N880" s="8"/>
      <c r="O880" s="40"/>
      <c r="P880" s="8"/>
      <c r="Q880" s="40"/>
      <c r="Z880" s="8"/>
      <c r="AA880" s="8"/>
      <c r="AB880" s="40"/>
      <c r="AC880" s="8"/>
      <c r="AD880" s="40"/>
    </row>
    <row r="881" spans="13:30">
      <c r="M881" s="8"/>
      <c r="N881" s="8"/>
      <c r="O881" s="40"/>
      <c r="P881" s="8"/>
      <c r="Q881" s="40"/>
      <c r="Z881" s="8"/>
      <c r="AA881" s="8"/>
      <c r="AB881" s="40"/>
      <c r="AC881" s="8"/>
      <c r="AD881" s="40"/>
    </row>
    <row r="882" spans="13:30">
      <c r="M882" s="8"/>
      <c r="N882" s="8"/>
      <c r="O882" s="40"/>
      <c r="P882" s="8"/>
      <c r="Q882" s="40"/>
      <c r="Z882" s="8"/>
      <c r="AA882" s="8"/>
      <c r="AB882" s="40"/>
      <c r="AC882" s="8"/>
      <c r="AD882" s="40"/>
    </row>
    <row r="883" spans="13:30">
      <c r="M883" s="8"/>
      <c r="N883" s="8"/>
      <c r="O883" s="40"/>
      <c r="P883" s="8"/>
      <c r="Q883" s="40"/>
      <c r="Z883" s="8"/>
      <c r="AA883" s="8"/>
      <c r="AB883" s="40"/>
      <c r="AC883" s="8"/>
      <c r="AD883" s="40"/>
    </row>
    <row r="884" spans="13:30">
      <c r="M884" s="8"/>
      <c r="N884" s="8"/>
      <c r="O884" s="40"/>
      <c r="P884" s="8"/>
      <c r="Q884" s="40"/>
      <c r="Z884" s="8"/>
      <c r="AA884" s="8"/>
      <c r="AB884" s="40"/>
      <c r="AC884" s="8"/>
      <c r="AD884" s="40"/>
    </row>
    <row r="885" spans="13:30">
      <c r="M885" s="8"/>
      <c r="N885" s="8"/>
      <c r="O885" s="40"/>
      <c r="P885" s="8"/>
      <c r="Q885" s="40"/>
      <c r="Z885" s="8"/>
      <c r="AA885" s="8"/>
      <c r="AB885" s="40"/>
      <c r="AC885" s="8"/>
      <c r="AD885" s="40"/>
    </row>
    <row r="886" spans="13:30">
      <c r="M886" s="8"/>
      <c r="N886" s="8"/>
      <c r="O886" s="40"/>
      <c r="P886" s="8"/>
      <c r="Q886" s="40"/>
      <c r="Z886" s="8"/>
      <c r="AA886" s="8"/>
      <c r="AB886" s="40"/>
      <c r="AC886" s="8"/>
      <c r="AD886" s="40"/>
    </row>
    <row r="887" spans="13:30">
      <c r="M887" s="8"/>
      <c r="N887" s="8"/>
      <c r="O887" s="40"/>
      <c r="P887" s="8"/>
      <c r="Q887" s="40"/>
      <c r="Z887" s="8"/>
      <c r="AA887" s="8"/>
      <c r="AB887" s="40"/>
      <c r="AC887" s="8"/>
      <c r="AD887" s="40"/>
    </row>
    <row r="888" spans="13:30">
      <c r="M888" s="8"/>
      <c r="N888" s="8"/>
      <c r="O888" s="40"/>
      <c r="P888" s="8"/>
      <c r="Q888" s="40"/>
      <c r="Z888" s="8"/>
      <c r="AA888" s="8"/>
      <c r="AB888" s="40"/>
      <c r="AC888" s="8"/>
      <c r="AD888" s="40"/>
    </row>
    <row r="889" spans="13:30">
      <c r="M889" s="8"/>
      <c r="N889" s="8"/>
      <c r="O889" s="40"/>
      <c r="P889" s="8"/>
      <c r="Q889" s="40"/>
      <c r="Z889" s="8"/>
      <c r="AA889" s="8"/>
      <c r="AB889" s="40"/>
      <c r="AC889" s="8"/>
      <c r="AD889" s="40"/>
    </row>
    <row r="890" spans="13:30">
      <c r="M890" s="8"/>
      <c r="N890" s="8"/>
      <c r="O890" s="40"/>
      <c r="P890" s="8"/>
      <c r="Q890" s="40"/>
      <c r="Z890" s="8"/>
      <c r="AA890" s="8"/>
      <c r="AB890" s="40"/>
      <c r="AC890" s="8"/>
      <c r="AD890" s="40"/>
    </row>
    <row r="891" spans="13:30">
      <c r="M891" s="8"/>
      <c r="N891" s="8"/>
      <c r="O891" s="40"/>
      <c r="P891" s="8"/>
      <c r="Q891" s="40"/>
      <c r="Z891" s="8"/>
      <c r="AA891" s="8"/>
      <c r="AB891" s="40"/>
      <c r="AC891" s="8"/>
      <c r="AD891" s="40"/>
    </row>
    <row r="892" spans="13:30">
      <c r="M892" s="8"/>
      <c r="N892" s="8"/>
      <c r="O892" s="40"/>
      <c r="P892" s="8"/>
      <c r="Q892" s="40"/>
      <c r="Z892" s="8"/>
      <c r="AA892" s="8"/>
      <c r="AB892" s="40"/>
      <c r="AC892" s="8"/>
      <c r="AD892" s="40"/>
    </row>
    <row r="893" spans="13:30">
      <c r="M893" s="8"/>
      <c r="N893" s="8"/>
      <c r="O893" s="40"/>
      <c r="P893" s="8"/>
      <c r="Q893" s="40"/>
      <c r="Z893" s="8"/>
      <c r="AA893" s="8"/>
      <c r="AB893" s="40"/>
      <c r="AC893" s="8"/>
      <c r="AD893" s="40"/>
    </row>
    <row r="894" spans="13:30">
      <c r="M894" s="8"/>
      <c r="N894" s="8"/>
      <c r="O894" s="40"/>
      <c r="P894" s="8"/>
      <c r="Q894" s="40"/>
      <c r="Z894" s="8"/>
      <c r="AA894" s="8"/>
      <c r="AB894" s="40"/>
      <c r="AC894" s="8"/>
      <c r="AD894" s="40"/>
    </row>
    <row r="895" spans="13:30">
      <c r="M895" s="8"/>
      <c r="N895" s="8"/>
      <c r="O895" s="40"/>
      <c r="P895" s="8"/>
      <c r="Q895" s="40"/>
      <c r="Z895" s="8"/>
      <c r="AA895" s="8"/>
      <c r="AB895" s="40"/>
      <c r="AC895" s="8"/>
      <c r="AD895" s="40"/>
    </row>
    <row r="896" spans="13:30">
      <c r="M896" s="8"/>
      <c r="N896" s="8"/>
      <c r="O896" s="40"/>
      <c r="P896" s="8"/>
      <c r="Q896" s="40"/>
      <c r="Z896" s="8"/>
      <c r="AA896" s="8"/>
      <c r="AB896" s="40"/>
      <c r="AC896" s="8"/>
      <c r="AD896" s="40"/>
    </row>
    <row r="897" spans="13:30">
      <c r="M897" s="8"/>
      <c r="N897" s="8"/>
      <c r="O897" s="40"/>
      <c r="P897" s="8"/>
      <c r="Q897" s="40"/>
      <c r="Z897" s="8"/>
      <c r="AA897" s="8"/>
      <c r="AB897" s="40"/>
      <c r="AC897" s="8"/>
      <c r="AD897" s="40"/>
    </row>
    <row r="898" spans="13:30">
      <c r="M898" s="8"/>
      <c r="N898" s="8"/>
      <c r="O898" s="40"/>
      <c r="P898" s="8"/>
      <c r="Q898" s="40"/>
      <c r="Z898" s="8"/>
      <c r="AA898" s="8"/>
      <c r="AB898" s="40"/>
      <c r="AC898" s="8"/>
      <c r="AD898" s="40"/>
    </row>
    <row r="899" spans="13:30">
      <c r="M899" s="8"/>
      <c r="N899" s="8"/>
      <c r="O899" s="40"/>
      <c r="P899" s="8"/>
      <c r="Q899" s="40"/>
      <c r="Z899" s="8"/>
      <c r="AA899" s="8"/>
      <c r="AB899" s="40"/>
      <c r="AC899" s="8"/>
      <c r="AD899" s="40"/>
    </row>
    <row r="900" spans="13:30">
      <c r="M900" s="8"/>
      <c r="N900" s="8"/>
      <c r="O900" s="40"/>
      <c r="P900" s="8"/>
      <c r="Q900" s="40"/>
      <c r="Z900" s="8"/>
      <c r="AA900" s="8"/>
      <c r="AB900" s="40"/>
      <c r="AC900" s="8"/>
      <c r="AD900" s="40"/>
    </row>
    <row r="901" spans="13:30">
      <c r="M901" s="8"/>
      <c r="N901" s="8"/>
      <c r="O901" s="40"/>
      <c r="P901" s="8"/>
      <c r="Q901" s="40"/>
      <c r="Z901" s="8"/>
      <c r="AA901" s="8"/>
      <c r="AB901" s="40"/>
      <c r="AC901" s="8"/>
      <c r="AD901" s="40"/>
    </row>
    <row r="902" spans="13:30">
      <c r="M902" s="8"/>
      <c r="N902" s="8"/>
      <c r="O902" s="40"/>
      <c r="P902" s="8"/>
      <c r="Q902" s="40"/>
      <c r="Z902" s="8"/>
      <c r="AA902" s="8"/>
      <c r="AB902" s="40"/>
      <c r="AC902" s="8"/>
      <c r="AD902" s="40"/>
    </row>
    <row r="903" spans="13:30">
      <c r="M903" s="8"/>
      <c r="N903" s="8"/>
      <c r="O903" s="40"/>
      <c r="P903" s="8"/>
      <c r="Q903" s="40"/>
      <c r="Z903" s="8"/>
      <c r="AA903" s="8"/>
      <c r="AB903" s="40"/>
      <c r="AC903" s="8"/>
      <c r="AD903" s="40"/>
    </row>
    <row r="904" spans="13:30">
      <c r="M904" s="8"/>
      <c r="N904" s="8"/>
      <c r="O904" s="40"/>
      <c r="P904" s="8"/>
      <c r="Q904" s="40"/>
      <c r="Z904" s="8"/>
      <c r="AA904" s="8"/>
      <c r="AB904" s="40"/>
      <c r="AC904" s="8"/>
      <c r="AD904" s="40"/>
    </row>
    <row r="905" spans="13:30">
      <c r="M905" s="8"/>
      <c r="N905" s="8"/>
      <c r="O905" s="40"/>
      <c r="P905" s="8"/>
      <c r="Q905" s="40"/>
      <c r="Z905" s="8"/>
      <c r="AA905" s="8"/>
      <c r="AB905" s="40"/>
      <c r="AC905" s="8"/>
      <c r="AD905" s="40"/>
    </row>
    <row r="906" spans="13:30">
      <c r="M906" s="8"/>
      <c r="N906" s="8"/>
      <c r="O906" s="40"/>
      <c r="P906" s="8"/>
      <c r="Q906" s="40"/>
      <c r="Z906" s="8"/>
      <c r="AA906" s="8"/>
      <c r="AB906" s="40"/>
      <c r="AC906" s="8"/>
      <c r="AD906" s="40"/>
    </row>
    <row r="907" spans="13:30">
      <c r="M907" s="8"/>
      <c r="N907" s="8"/>
      <c r="O907" s="40"/>
      <c r="P907" s="8"/>
      <c r="Q907" s="40"/>
      <c r="Z907" s="8"/>
      <c r="AA907" s="8"/>
      <c r="AB907" s="40"/>
      <c r="AC907" s="8"/>
      <c r="AD907" s="40"/>
    </row>
    <row r="908" spans="13:30">
      <c r="M908" s="8"/>
      <c r="N908" s="8"/>
      <c r="O908" s="40"/>
      <c r="P908" s="8"/>
      <c r="Q908" s="40"/>
      <c r="Z908" s="8"/>
      <c r="AA908" s="8"/>
      <c r="AB908" s="40"/>
      <c r="AC908" s="8"/>
      <c r="AD908" s="40"/>
    </row>
    <row r="909" spans="13:30">
      <c r="M909" s="8"/>
      <c r="N909" s="8"/>
      <c r="O909" s="40"/>
      <c r="P909" s="8"/>
      <c r="Q909" s="40"/>
      <c r="Z909" s="8"/>
      <c r="AA909" s="8"/>
      <c r="AB909" s="40"/>
      <c r="AC909" s="8"/>
      <c r="AD909" s="40"/>
    </row>
    <row r="910" spans="13:30">
      <c r="M910" s="8"/>
      <c r="N910" s="8"/>
      <c r="O910" s="40"/>
      <c r="P910" s="8"/>
      <c r="Q910" s="40"/>
      <c r="Z910" s="8"/>
      <c r="AA910" s="8"/>
      <c r="AB910" s="40"/>
      <c r="AC910" s="8"/>
      <c r="AD910" s="40"/>
    </row>
    <row r="911" spans="13:30">
      <c r="M911" s="8"/>
      <c r="N911" s="8"/>
      <c r="O911" s="40"/>
      <c r="P911" s="8"/>
      <c r="Q911" s="40"/>
      <c r="Z911" s="8"/>
      <c r="AA911" s="8"/>
      <c r="AB911" s="40"/>
      <c r="AC911" s="8"/>
      <c r="AD911" s="40"/>
    </row>
    <row r="912" spans="13:30">
      <c r="M912" s="8"/>
      <c r="N912" s="8"/>
      <c r="O912" s="40"/>
      <c r="P912" s="8"/>
      <c r="Q912" s="40"/>
      <c r="Z912" s="8"/>
      <c r="AA912" s="8"/>
      <c r="AB912" s="40"/>
      <c r="AC912" s="8"/>
      <c r="AD912" s="40"/>
    </row>
    <row r="913" spans="13:30">
      <c r="M913" s="8"/>
      <c r="N913" s="8"/>
      <c r="O913" s="40"/>
      <c r="P913" s="8"/>
      <c r="Q913" s="40"/>
      <c r="Z913" s="8"/>
      <c r="AA913" s="8"/>
      <c r="AB913" s="40"/>
      <c r="AC913" s="8"/>
      <c r="AD913" s="40"/>
    </row>
    <row r="914" spans="13:30">
      <c r="M914" s="8"/>
      <c r="N914" s="8"/>
      <c r="O914" s="40"/>
      <c r="P914" s="8"/>
      <c r="Q914" s="40"/>
      <c r="Z914" s="8"/>
      <c r="AA914" s="8"/>
      <c r="AB914" s="40"/>
      <c r="AC914" s="8"/>
      <c r="AD914" s="40"/>
    </row>
    <row r="915" spans="13:30">
      <c r="M915" s="8"/>
      <c r="N915" s="8"/>
      <c r="O915" s="40"/>
      <c r="P915" s="8"/>
      <c r="Q915" s="40"/>
      <c r="Z915" s="8"/>
      <c r="AA915" s="8"/>
      <c r="AB915" s="40"/>
      <c r="AC915" s="8"/>
      <c r="AD915" s="40"/>
    </row>
    <row r="916" spans="13:30">
      <c r="M916" s="8"/>
      <c r="N916" s="8"/>
      <c r="O916" s="40"/>
      <c r="P916" s="8"/>
      <c r="Q916" s="40"/>
      <c r="Z916" s="8"/>
      <c r="AA916" s="8"/>
      <c r="AB916" s="40"/>
      <c r="AC916" s="8"/>
      <c r="AD916" s="40"/>
    </row>
    <row r="917" spans="13:30">
      <c r="M917" s="8"/>
      <c r="N917" s="8"/>
      <c r="O917" s="40"/>
      <c r="P917" s="8"/>
      <c r="Q917" s="40"/>
      <c r="Z917" s="8"/>
      <c r="AA917" s="8"/>
      <c r="AB917" s="40"/>
      <c r="AC917" s="8"/>
      <c r="AD917" s="40"/>
    </row>
    <row r="918" spans="13:30">
      <c r="M918" s="8"/>
      <c r="N918" s="8"/>
      <c r="O918" s="40"/>
      <c r="P918" s="8"/>
      <c r="Q918" s="40"/>
      <c r="Z918" s="8"/>
      <c r="AA918" s="8"/>
      <c r="AB918" s="40"/>
      <c r="AC918" s="8"/>
      <c r="AD918" s="40"/>
    </row>
    <row r="919" spans="13:30">
      <c r="M919" s="8"/>
      <c r="N919" s="8"/>
      <c r="O919" s="40"/>
      <c r="P919" s="8"/>
      <c r="Q919" s="40"/>
      <c r="Z919" s="8"/>
      <c r="AA919" s="8"/>
      <c r="AB919" s="40"/>
      <c r="AC919" s="8"/>
      <c r="AD919" s="40"/>
    </row>
    <row r="920" spans="13:30">
      <c r="M920" s="8"/>
      <c r="N920" s="8"/>
      <c r="O920" s="40"/>
      <c r="P920" s="8"/>
      <c r="Q920" s="40"/>
      <c r="Z920" s="8"/>
      <c r="AA920" s="8"/>
      <c r="AB920" s="40"/>
      <c r="AC920" s="8"/>
      <c r="AD920" s="40"/>
    </row>
    <row r="921" spans="13:30">
      <c r="M921" s="8"/>
      <c r="N921" s="8"/>
      <c r="O921" s="40"/>
      <c r="P921" s="8"/>
      <c r="Q921" s="40"/>
      <c r="Z921" s="8"/>
      <c r="AA921" s="8"/>
      <c r="AB921" s="40"/>
      <c r="AC921" s="8"/>
      <c r="AD921" s="40"/>
    </row>
    <row r="922" spans="13:30">
      <c r="M922" s="8"/>
      <c r="N922" s="8"/>
      <c r="O922" s="40"/>
      <c r="P922" s="8"/>
      <c r="Q922" s="40"/>
      <c r="Z922" s="8"/>
      <c r="AA922" s="8"/>
      <c r="AB922" s="40"/>
      <c r="AC922" s="8"/>
      <c r="AD922" s="40"/>
    </row>
    <row r="923" spans="13:30">
      <c r="M923" s="8"/>
      <c r="N923" s="8"/>
      <c r="O923" s="40"/>
      <c r="P923" s="8"/>
      <c r="Q923" s="40"/>
      <c r="Z923" s="8"/>
      <c r="AA923" s="8"/>
      <c r="AB923" s="40"/>
      <c r="AC923" s="8"/>
      <c r="AD923" s="40"/>
    </row>
    <row r="924" spans="13:30">
      <c r="M924" s="8"/>
      <c r="N924" s="8"/>
      <c r="O924" s="40"/>
      <c r="P924" s="8"/>
      <c r="Q924" s="40"/>
      <c r="Z924" s="8"/>
      <c r="AA924" s="8"/>
      <c r="AB924" s="40"/>
      <c r="AC924" s="8"/>
      <c r="AD924" s="40"/>
    </row>
    <row r="925" spans="13:30">
      <c r="M925" s="8"/>
      <c r="N925" s="8"/>
      <c r="O925" s="40"/>
      <c r="P925" s="8"/>
      <c r="Q925" s="40"/>
      <c r="Z925" s="8"/>
      <c r="AA925" s="8"/>
      <c r="AB925" s="40"/>
      <c r="AC925" s="8"/>
      <c r="AD925" s="40"/>
    </row>
    <row r="926" spans="13:30">
      <c r="M926" s="8"/>
      <c r="N926" s="8"/>
      <c r="O926" s="40"/>
      <c r="P926" s="8"/>
      <c r="Q926" s="40"/>
      <c r="Z926" s="8"/>
      <c r="AA926" s="8"/>
      <c r="AB926" s="40"/>
      <c r="AC926" s="8"/>
      <c r="AD926" s="40"/>
    </row>
    <row r="927" spans="13:30">
      <c r="M927" s="8"/>
      <c r="N927" s="8"/>
      <c r="O927" s="40"/>
      <c r="P927" s="8"/>
      <c r="Q927" s="40"/>
      <c r="Z927" s="8"/>
      <c r="AA927" s="8"/>
      <c r="AB927" s="40"/>
      <c r="AC927" s="8"/>
      <c r="AD927" s="40"/>
    </row>
    <row r="928" spans="13:30">
      <c r="M928" s="8"/>
      <c r="N928" s="8"/>
      <c r="O928" s="40"/>
      <c r="P928" s="8"/>
      <c r="Q928" s="40"/>
      <c r="Z928" s="8"/>
      <c r="AA928" s="8"/>
      <c r="AB928" s="40"/>
      <c r="AC928" s="8"/>
      <c r="AD928" s="40"/>
    </row>
    <row r="929" spans="13:30">
      <c r="M929" s="8"/>
      <c r="N929" s="8"/>
      <c r="O929" s="40"/>
      <c r="P929" s="8"/>
      <c r="Q929" s="40"/>
      <c r="Z929" s="8"/>
      <c r="AA929" s="8"/>
      <c r="AB929" s="40"/>
      <c r="AC929" s="8"/>
      <c r="AD929" s="40"/>
    </row>
    <row r="930" spans="13:30">
      <c r="M930" s="8"/>
      <c r="N930" s="8"/>
      <c r="O930" s="40"/>
      <c r="P930" s="8"/>
      <c r="Q930" s="40"/>
      <c r="Z930" s="8"/>
      <c r="AA930" s="8"/>
      <c r="AB930" s="40"/>
      <c r="AC930" s="8"/>
      <c r="AD930" s="40"/>
    </row>
    <row r="931" spans="13:30">
      <c r="M931" s="8"/>
      <c r="N931" s="8"/>
      <c r="O931" s="40"/>
      <c r="P931" s="8"/>
      <c r="Q931" s="40"/>
      <c r="Z931" s="8"/>
      <c r="AA931" s="8"/>
      <c r="AB931" s="40"/>
      <c r="AC931" s="8"/>
      <c r="AD931" s="40"/>
    </row>
    <row r="932" spans="13:30">
      <c r="M932" s="8"/>
      <c r="N932" s="8"/>
      <c r="O932" s="40"/>
      <c r="P932" s="8"/>
      <c r="Q932" s="40"/>
      <c r="Z932" s="8"/>
      <c r="AA932" s="8"/>
      <c r="AB932" s="40"/>
      <c r="AC932" s="8"/>
      <c r="AD932" s="40"/>
    </row>
    <row r="933" spans="13:30">
      <c r="M933" s="8"/>
      <c r="N933" s="8"/>
      <c r="O933" s="40"/>
      <c r="P933" s="8"/>
      <c r="Q933" s="40"/>
      <c r="Z933" s="8"/>
      <c r="AA933" s="8"/>
      <c r="AB933" s="40"/>
      <c r="AC933" s="8"/>
      <c r="AD933" s="40"/>
    </row>
    <row r="934" spans="13:30">
      <c r="M934" s="8"/>
      <c r="N934" s="8"/>
      <c r="O934" s="40"/>
      <c r="P934" s="8"/>
      <c r="Q934" s="40"/>
      <c r="Z934" s="8"/>
      <c r="AA934" s="8"/>
      <c r="AB934" s="40"/>
      <c r="AC934" s="8"/>
      <c r="AD934" s="40"/>
    </row>
    <row r="935" spans="13:30">
      <c r="M935" s="8"/>
      <c r="N935" s="8"/>
      <c r="O935" s="40"/>
      <c r="P935" s="8"/>
      <c r="Q935" s="40"/>
      <c r="Z935" s="8"/>
      <c r="AA935" s="8"/>
      <c r="AB935" s="40"/>
      <c r="AC935" s="8"/>
      <c r="AD935" s="40"/>
    </row>
    <row r="936" spans="13:30">
      <c r="M936" s="8"/>
      <c r="N936" s="8"/>
      <c r="O936" s="40"/>
      <c r="P936" s="8"/>
      <c r="Q936" s="40"/>
      <c r="Z936" s="8"/>
      <c r="AA936" s="8"/>
      <c r="AB936" s="40"/>
      <c r="AC936" s="8"/>
      <c r="AD936" s="40"/>
    </row>
    <row r="937" spans="13:30">
      <c r="M937" s="8"/>
      <c r="N937" s="8"/>
      <c r="O937" s="40"/>
      <c r="P937" s="8"/>
      <c r="Q937" s="40"/>
      <c r="Z937" s="8"/>
      <c r="AA937" s="8"/>
      <c r="AB937" s="40"/>
      <c r="AC937" s="8"/>
      <c r="AD937" s="40"/>
    </row>
    <row r="938" spans="13:30">
      <c r="M938" s="8"/>
      <c r="N938" s="8"/>
      <c r="O938" s="40"/>
      <c r="P938" s="8"/>
      <c r="Q938" s="40"/>
      <c r="Z938" s="8"/>
      <c r="AA938" s="8"/>
      <c r="AB938" s="40"/>
      <c r="AC938" s="8"/>
      <c r="AD938" s="40"/>
    </row>
    <row r="939" spans="13:30">
      <c r="M939" s="8"/>
      <c r="N939" s="8"/>
      <c r="O939" s="40"/>
      <c r="P939" s="8"/>
      <c r="Q939" s="40"/>
      <c r="Z939" s="8"/>
      <c r="AA939" s="8"/>
      <c r="AB939" s="40"/>
      <c r="AC939" s="8"/>
      <c r="AD939" s="40"/>
    </row>
    <row r="940" spans="13:30">
      <c r="M940" s="8"/>
      <c r="N940" s="8"/>
      <c r="O940" s="40"/>
      <c r="P940" s="8"/>
      <c r="Q940" s="40"/>
      <c r="Z940" s="8"/>
      <c r="AA940" s="8"/>
      <c r="AB940" s="40"/>
      <c r="AC940" s="8"/>
      <c r="AD940" s="40"/>
    </row>
    <row r="941" spans="13:30">
      <c r="M941" s="8"/>
      <c r="N941" s="8"/>
      <c r="O941" s="40"/>
      <c r="P941" s="8"/>
      <c r="Q941" s="40"/>
      <c r="Z941" s="8"/>
      <c r="AA941" s="8"/>
      <c r="AB941" s="40"/>
      <c r="AC941" s="8"/>
      <c r="AD941" s="40"/>
    </row>
    <row r="942" spans="13:30">
      <c r="M942" s="8"/>
      <c r="N942" s="8"/>
      <c r="O942" s="40"/>
      <c r="P942" s="8"/>
      <c r="Q942" s="40"/>
      <c r="Z942" s="8"/>
      <c r="AA942" s="8"/>
      <c r="AB942" s="40"/>
      <c r="AC942" s="8"/>
      <c r="AD942" s="40"/>
    </row>
    <row r="943" spans="13:30">
      <c r="M943" s="8"/>
      <c r="N943" s="8"/>
      <c r="O943" s="40"/>
      <c r="P943" s="8"/>
      <c r="Q943" s="40"/>
      <c r="Z943" s="8"/>
      <c r="AA943" s="8"/>
      <c r="AB943" s="40"/>
      <c r="AC943" s="8"/>
      <c r="AD943" s="40"/>
    </row>
    <row r="944" spans="13:30">
      <c r="M944" s="8"/>
      <c r="N944" s="8"/>
      <c r="O944" s="40"/>
      <c r="P944" s="8"/>
      <c r="Q944" s="40"/>
      <c r="Z944" s="8"/>
      <c r="AA944" s="8"/>
      <c r="AB944" s="40"/>
      <c r="AC944" s="8"/>
      <c r="AD944" s="40"/>
    </row>
    <row r="945" spans="13:30">
      <c r="M945" s="8"/>
      <c r="N945" s="8"/>
      <c r="O945" s="40"/>
      <c r="P945" s="8"/>
      <c r="Q945" s="40"/>
      <c r="Z945" s="8"/>
      <c r="AA945" s="8"/>
      <c r="AB945" s="40"/>
      <c r="AC945" s="8"/>
      <c r="AD945" s="40"/>
    </row>
    <row r="946" spans="13:30">
      <c r="M946" s="8"/>
      <c r="N946" s="8"/>
      <c r="O946" s="40"/>
      <c r="P946" s="8"/>
      <c r="Q946" s="40"/>
      <c r="Z946" s="8"/>
      <c r="AA946" s="8"/>
      <c r="AB946" s="40"/>
      <c r="AC946" s="8"/>
      <c r="AD946" s="40"/>
    </row>
    <row r="947" spans="13:30">
      <c r="M947" s="8"/>
      <c r="N947" s="8"/>
      <c r="O947" s="40"/>
      <c r="P947" s="8"/>
      <c r="Q947" s="40"/>
      <c r="Z947" s="8"/>
      <c r="AA947" s="8"/>
      <c r="AB947" s="40"/>
      <c r="AC947" s="8"/>
      <c r="AD947" s="40"/>
    </row>
    <row r="948" spans="13:30">
      <c r="M948" s="8"/>
      <c r="N948" s="8"/>
      <c r="O948" s="40"/>
      <c r="P948" s="8"/>
      <c r="Q948" s="40"/>
      <c r="Z948" s="8"/>
      <c r="AA948" s="8"/>
      <c r="AB948" s="40"/>
      <c r="AC948" s="8"/>
      <c r="AD948" s="40"/>
    </row>
    <row r="949" spans="13:30">
      <c r="M949" s="8"/>
      <c r="N949" s="8"/>
      <c r="O949" s="40"/>
      <c r="P949" s="8"/>
      <c r="Q949" s="40"/>
      <c r="Z949" s="8"/>
      <c r="AA949" s="8"/>
      <c r="AB949" s="40"/>
      <c r="AC949" s="8"/>
      <c r="AD949" s="40"/>
    </row>
    <row r="950" spans="13:30">
      <c r="M950" s="8"/>
      <c r="N950" s="8"/>
      <c r="O950" s="40"/>
      <c r="P950" s="8"/>
      <c r="Q950" s="40"/>
      <c r="Z950" s="8"/>
      <c r="AA950" s="8"/>
      <c r="AB950" s="40"/>
      <c r="AC950" s="8"/>
      <c r="AD950" s="40"/>
    </row>
    <row r="951" spans="13:30">
      <c r="M951" s="8"/>
      <c r="N951" s="8"/>
      <c r="O951" s="40"/>
      <c r="P951" s="8"/>
      <c r="Q951" s="40"/>
      <c r="Z951" s="8"/>
      <c r="AA951" s="8"/>
      <c r="AB951" s="40"/>
      <c r="AC951" s="8"/>
      <c r="AD951" s="40"/>
    </row>
    <row r="952" spans="13:30">
      <c r="M952" s="8"/>
      <c r="N952" s="8"/>
      <c r="O952" s="40"/>
      <c r="P952" s="8"/>
      <c r="Q952" s="40"/>
      <c r="Z952" s="8"/>
      <c r="AA952" s="8"/>
      <c r="AB952" s="40"/>
      <c r="AC952" s="8"/>
      <c r="AD952" s="40"/>
    </row>
    <row r="953" spans="13:30">
      <c r="M953" s="8"/>
      <c r="N953" s="8"/>
      <c r="O953" s="40"/>
      <c r="P953" s="8"/>
      <c r="Q953" s="40"/>
      <c r="Z953" s="8"/>
      <c r="AA953" s="8"/>
      <c r="AB953" s="40"/>
      <c r="AC953" s="8"/>
      <c r="AD953" s="40"/>
    </row>
    <row r="954" spans="13:30">
      <c r="M954" s="8"/>
      <c r="N954" s="8"/>
      <c r="O954" s="40"/>
      <c r="P954" s="8"/>
      <c r="Q954" s="40"/>
      <c r="Z954" s="8"/>
      <c r="AA954" s="8"/>
      <c r="AB954" s="40"/>
      <c r="AC954" s="8"/>
      <c r="AD954" s="40"/>
    </row>
    <row r="955" spans="13:30">
      <c r="M955" s="8"/>
      <c r="N955" s="8"/>
      <c r="O955" s="40"/>
      <c r="P955" s="8"/>
      <c r="Q955" s="40"/>
      <c r="Z955" s="8"/>
      <c r="AA955" s="8"/>
      <c r="AB955" s="40"/>
      <c r="AC955" s="8"/>
      <c r="AD955" s="40"/>
    </row>
    <row r="956" spans="13:30">
      <c r="M956" s="8"/>
      <c r="N956" s="8"/>
      <c r="O956" s="40"/>
      <c r="P956" s="8"/>
      <c r="Q956" s="40"/>
      <c r="Z956" s="8"/>
      <c r="AA956" s="8"/>
      <c r="AB956" s="40"/>
      <c r="AC956" s="8"/>
      <c r="AD956" s="40"/>
    </row>
    <row r="957" spans="13:30">
      <c r="M957" s="8"/>
      <c r="N957" s="8"/>
      <c r="O957" s="40"/>
      <c r="P957" s="8"/>
      <c r="Q957" s="40"/>
      <c r="Z957" s="8"/>
      <c r="AA957" s="8"/>
      <c r="AB957" s="40"/>
      <c r="AC957" s="8"/>
      <c r="AD957" s="40"/>
    </row>
    <row r="958" spans="13:30">
      <c r="M958" s="8"/>
      <c r="N958" s="8"/>
      <c r="O958" s="40"/>
      <c r="P958" s="8"/>
      <c r="Q958" s="40"/>
      <c r="Z958" s="8"/>
      <c r="AA958" s="8"/>
      <c r="AB958" s="40"/>
      <c r="AC958" s="8"/>
      <c r="AD958" s="40"/>
    </row>
    <row r="959" spans="13:30">
      <c r="M959" s="8"/>
      <c r="N959" s="8"/>
      <c r="O959" s="40"/>
      <c r="P959" s="8"/>
      <c r="Q959" s="40"/>
      <c r="Z959" s="8"/>
      <c r="AA959" s="8"/>
      <c r="AB959" s="40"/>
      <c r="AC959" s="8"/>
      <c r="AD959" s="40"/>
    </row>
    <row r="960" spans="13:30">
      <c r="M960" s="8"/>
      <c r="N960" s="8"/>
      <c r="O960" s="40"/>
      <c r="P960" s="8"/>
      <c r="Q960" s="40"/>
      <c r="Z960" s="8"/>
      <c r="AA960" s="8"/>
      <c r="AB960" s="40"/>
      <c r="AC960" s="8"/>
      <c r="AD960" s="40"/>
    </row>
    <row r="961" spans="13:30">
      <c r="M961" s="8"/>
      <c r="N961" s="8"/>
      <c r="O961" s="40"/>
      <c r="P961" s="8"/>
      <c r="Q961" s="40"/>
      <c r="Z961" s="8"/>
      <c r="AA961" s="8"/>
      <c r="AB961" s="40"/>
      <c r="AC961" s="8"/>
      <c r="AD961" s="40"/>
    </row>
    <row r="962" spans="13:30">
      <c r="M962" s="8"/>
      <c r="N962" s="8"/>
      <c r="O962" s="40"/>
      <c r="P962" s="8"/>
      <c r="Q962" s="40"/>
      <c r="Z962" s="8"/>
      <c r="AA962" s="8"/>
      <c r="AB962" s="40"/>
      <c r="AC962" s="8"/>
      <c r="AD962" s="40"/>
    </row>
    <row r="963" spans="13:30">
      <c r="M963" s="8"/>
      <c r="N963" s="8"/>
      <c r="O963" s="40"/>
      <c r="P963" s="8"/>
      <c r="Q963" s="40"/>
      <c r="Z963" s="8"/>
      <c r="AA963" s="8"/>
      <c r="AB963" s="40"/>
      <c r="AC963" s="8"/>
      <c r="AD963" s="40"/>
    </row>
    <row r="964" spans="13:30">
      <c r="M964" s="8"/>
      <c r="N964" s="8"/>
      <c r="O964" s="40"/>
      <c r="P964" s="8"/>
      <c r="Q964" s="40"/>
      <c r="Z964" s="8"/>
      <c r="AA964" s="8"/>
      <c r="AB964" s="40"/>
      <c r="AC964" s="8"/>
      <c r="AD964" s="40"/>
    </row>
    <row r="965" spans="13:30">
      <c r="M965" s="8"/>
      <c r="N965" s="8"/>
      <c r="O965" s="40"/>
      <c r="P965" s="8"/>
      <c r="Q965" s="40"/>
      <c r="Z965" s="8"/>
      <c r="AA965" s="8"/>
      <c r="AB965" s="40"/>
      <c r="AC965" s="8"/>
      <c r="AD965" s="40"/>
    </row>
    <row r="966" spans="13:30">
      <c r="M966" s="8"/>
      <c r="N966" s="8"/>
      <c r="O966" s="40"/>
      <c r="P966" s="8"/>
      <c r="Q966" s="40"/>
      <c r="Z966" s="8"/>
      <c r="AA966" s="8"/>
      <c r="AB966" s="40"/>
      <c r="AC966" s="8"/>
      <c r="AD966" s="40"/>
    </row>
    <row r="967" spans="13:30">
      <c r="M967" s="8"/>
      <c r="N967" s="8"/>
      <c r="O967" s="40"/>
      <c r="P967" s="8"/>
      <c r="Q967" s="40"/>
      <c r="Z967" s="8"/>
      <c r="AA967" s="8"/>
      <c r="AB967" s="40"/>
      <c r="AC967" s="8"/>
      <c r="AD967" s="40"/>
    </row>
    <row r="968" spans="13:30">
      <c r="M968" s="8"/>
      <c r="N968" s="8"/>
      <c r="O968" s="40"/>
      <c r="P968" s="8"/>
      <c r="Q968" s="40"/>
      <c r="Z968" s="8"/>
      <c r="AA968" s="8"/>
      <c r="AB968" s="40"/>
      <c r="AC968" s="8"/>
      <c r="AD968" s="40"/>
    </row>
    <row r="969" spans="13:30">
      <c r="M969" s="8"/>
      <c r="N969" s="8"/>
      <c r="O969" s="40"/>
      <c r="P969" s="8"/>
      <c r="Q969" s="40"/>
      <c r="Z969" s="8"/>
      <c r="AA969" s="8"/>
      <c r="AB969" s="40"/>
      <c r="AC969" s="8"/>
      <c r="AD969" s="40"/>
    </row>
    <row r="970" spans="13:30">
      <c r="M970" s="8"/>
      <c r="N970" s="8"/>
      <c r="O970" s="40"/>
      <c r="P970" s="8"/>
      <c r="Q970" s="40"/>
      <c r="Z970" s="8"/>
      <c r="AA970" s="8"/>
      <c r="AB970" s="40"/>
      <c r="AC970" s="8"/>
      <c r="AD970" s="40"/>
    </row>
    <row r="971" spans="13:30">
      <c r="M971" s="8"/>
      <c r="N971" s="8"/>
      <c r="O971" s="40"/>
      <c r="P971" s="8"/>
      <c r="Q971" s="40"/>
      <c r="Z971" s="8"/>
      <c r="AA971" s="8"/>
      <c r="AB971" s="40"/>
      <c r="AC971" s="8"/>
      <c r="AD971" s="40"/>
    </row>
    <row r="972" spans="13:30">
      <c r="M972" s="8"/>
      <c r="N972" s="8"/>
      <c r="O972" s="40"/>
      <c r="P972" s="8"/>
      <c r="Q972" s="40"/>
      <c r="Z972" s="8"/>
      <c r="AA972" s="8"/>
      <c r="AB972" s="40"/>
      <c r="AC972" s="8"/>
      <c r="AD972" s="40"/>
    </row>
    <row r="973" spans="13:30">
      <c r="M973" s="8"/>
      <c r="N973" s="8"/>
      <c r="O973" s="40"/>
      <c r="P973" s="8"/>
      <c r="Q973" s="40"/>
      <c r="Z973" s="8"/>
      <c r="AA973" s="8"/>
      <c r="AB973" s="40"/>
      <c r="AC973" s="8"/>
      <c r="AD973" s="40"/>
    </row>
    <row r="974" spans="13:30">
      <c r="M974" s="8"/>
      <c r="N974" s="8"/>
      <c r="O974" s="40"/>
      <c r="P974" s="8"/>
      <c r="Q974" s="40"/>
      <c r="Z974" s="8"/>
      <c r="AA974" s="8"/>
      <c r="AB974" s="40"/>
      <c r="AC974" s="8"/>
      <c r="AD974" s="40"/>
    </row>
    <row r="975" spans="13:30">
      <c r="M975" s="8"/>
      <c r="N975" s="8"/>
      <c r="O975" s="40"/>
      <c r="P975" s="8"/>
      <c r="Q975" s="40"/>
      <c r="Z975" s="8"/>
      <c r="AA975" s="8"/>
      <c r="AB975" s="40"/>
      <c r="AC975" s="8"/>
      <c r="AD975" s="40"/>
    </row>
    <row r="976" spans="13:30">
      <c r="M976" s="8"/>
      <c r="N976" s="8"/>
      <c r="O976" s="40"/>
      <c r="P976" s="8"/>
      <c r="Q976" s="40"/>
      <c r="Z976" s="8"/>
      <c r="AA976" s="8"/>
      <c r="AB976" s="40"/>
      <c r="AC976" s="8"/>
      <c r="AD976" s="40"/>
    </row>
    <row r="977" spans="13:30">
      <c r="M977" s="8"/>
      <c r="N977" s="8"/>
      <c r="O977" s="40"/>
      <c r="P977" s="8"/>
      <c r="Q977" s="40"/>
      <c r="Z977" s="8"/>
      <c r="AA977" s="8"/>
      <c r="AB977" s="40"/>
      <c r="AC977" s="8"/>
      <c r="AD977" s="40"/>
    </row>
    <row r="978" spans="13:30">
      <c r="M978" s="8"/>
      <c r="N978" s="8"/>
      <c r="O978" s="40"/>
      <c r="P978" s="8"/>
      <c r="Q978" s="40"/>
      <c r="Z978" s="8"/>
      <c r="AA978" s="8"/>
      <c r="AB978" s="40"/>
      <c r="AC978" s="8"/>
      <c r="AD978" s="40"/>
    </row>
    <row r="979" spans="13:30">
      <c r="M979" s="8"/>
      <c r="N979" s="8"/>
      <c r="O979" s="40"/>
      <c r="P979" s="8"/>
      <c r="Q979" s="40"/>
      <c r="Z979" s="8"/>
      <c r="AA979" s="8"/>
      <c r="AB979" s="40"/>
      <c r="AC979" s="8"/>
      <c r="AD979" s="40"/>
    </row>
    <row r="980" spans="13:30">
      <c r="M980" s="8"/>
      <c r="N980" s="8"/>
      <c r="O980" s="40"/>
      <c r="P980" s="8"/>
      <c r="Q980" s="40"/>
      <c r="Z980" s="8"/>
      <c r="AA980" s="8"/>
      <c r="AB980" s="40"/>
      <c r="AC980" s="8"/>
      <c r="AD980" s="40"/>
    </row>
    <row r="981" spans="13:30">
      <c r="M981" s="8"/>
      <c r="N981" s="8"/>
      <c r="O981" s="40"/>
      <c r="P981" s="8"/>
      <c r="Q981" s="40"/>
      <c r="Z981" s="8"/>
      <c r="AA981" s="8"/>
      <c r="AB981" s="40"/>
      <c r="AC981" s="8"/>
      <c r="AD981" s="40"/>
    </row>
    <row r="982" spans="13:30">
      <c r="P982" s="8"/>
      <c r="Q982" s="40"/>
      <c r="AC982" s="8"/>
      <c r="AD982" s="40"/>
    </row>
    <row r="983" spans="13:30">
      <c r="P983" s="8"/>
      <c r="Q983" s="40"/>
      <c r="AC983" s="8"/>
      <c r="AD983" s="40"/>
    </row>
    <row r="984" spans="13:30">
      <c r="P984" s="8"/>
      <c r="Q984" s="40"/>
      <c r="AC984" s="8"/>
      <c r="AD984" s="40"/>
    </row>
    <row r="985" spans="13:30">
      <c r="P985" s="8"/>
      <c r="Q985" s="40"/>
      <c r="AC985" s="8"/>
      <c r="AD985" s="40"/>
    </row>
    <row r="986" spans="13:30">
      <c r="P986" s="8"/>
      <c r="Q986" s="40"/>
      <c r="AC986" s="8"/>
      <c r="AD986" s="40"/>
    </row>
    <row r="987" spans="13:30">
      <c r="P987" s="8"/>
      <c r="Q987" s="40"/>
      <c r="AC987" s="8"/>
      <c r="AD987" s="40"/>
    </row>
    <row r="988" spans="13:30">
      <c r="P988" s="8"/>
      <c r="Q988" s="40"/>
      <c r="AC988" s="8"/>
      <c r="AD988" s="40"/>
    </row>
    <row r="989" spans="13:30">
      <c r="P989" s="8"/>
      <c r="Q989" s="40"/>
      <c r="AC989" s="8"/>
      <c r="AD989" s="40"/>
    </row>
    <row r="990" spans="13:30">
      <c r="P990" s="8"/>
      <c r="Q990" s="40"/>
      <c r="AC990" s="8"/>
      <c r="AD990" s="40"/>
    </row>
    <row r="991" spans="13:30">
      <c r="P991" s="8"/>
      <c r="Q991" s="40"/>
      <c r="AC991" s="8"/>
      <c r="AD991" s="40"/>
    </row>
    <row r="992" spans="13:30">
      <c r="P992" s="8"/>
      <c r="Q992" s="40"/>
      <c r="AC992" s="8"/>
      <c r="AD992" s="40"/>
    </row>
    <row r="993" spans="16:30">
      <c r="P993" s="8"/>
      <c r="Q993" s="40"/>
      <c r="AC993" s="8"/>
      <c r="AD993" s="40"/>
    </row>
    <row r="994" spans="16:30">
      <c r="P994" s="8"/>
      <c r="Q994" s="40"/>
      <c r="AC994" s="8"/>
      <c r="AD994" s="40"/>
    </row>
    <row r="995" spans="16:30">
      <c r="P995" s="8"/>
      <c r="Q995" s="40"/>
      <c r="AC995" s="8"/>
      <c r="AD995" s="40"/>
    </row>
    <row r="996" spans="16:30">
      <c r="P996" s="8"/>
      <c r="Q996" s="40"/>
      <c r="AC996" s="8"/>
      <c r="AD996" s="40"/>
    </row>
    <row r="997" spans="16:30">
      <c r="P997" s="8"/>
      <c r="Q997" s="40"/>
      <c r="AC997" s="8"/>
      <c r="AD997" s="40"/>
    </row>
    <row r="998" spans="16:30">
      <c r="P998" s="8"/>
      <c r="Q998" s="40"/>
      <c r="AC998" s="8"/>
      <c r="AD998" s="40"/>
    </row>
    <row r="999" spans="16:30">
      <c r="P999" s="8"/>
      <c r="Q999" s="40"/>
      <c r="AC999" s="8"/>
      <c r="AD999" s="40"/>
    </row>
  </sheetData>
  <autoFilter ref="A1:AH115" xr:uid="{00000000-0009-0000-0000-000002000000}">
    <filterColumn colId="7">
      <filters>
        <filter val="ENANDES+"/>
      </filters>
    </filterColumn>
  </autoFilter>
  <pageMargins left="0.7" right="0.7" top="0.75" bottom="0.75" header="0" footer="0"/>
  <pageSetup scale="6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/>
  </sheetViews>
  <sheetFormatPr baseColWidth="10" defaultColWidth="12.625" defaultRowHeight="15" customHeight="1"/>
  <cols>
    <col min="1" max="1" width="18.375" customWidth="1"/>
    <col min="2" max="5" width="10.625" customWidth="1"/>
    <col min="6" max="6" width="16.125" customWidth="1"/>
    <col min="7" max="9" width="10.625" customWidth="1"/>
    <col min="10" max="10" width="16.125" customWidth="1"/>
    <col min="11" max="26" width="10.625" customWidth="1"/>
  </cols>
  <sheetData>
    <row r="1" spans="1:11" ht="14.25" customHeight="1">
      <c r="A1" s="10" t="s">
        <v>149</v>
      </c>
      <c r="F1" s="10" t="s">
        <v>37</v>
      </c>
      <c r="J1" s="10" t="s">
        <v>150</v>
      </c>
    </row>
    <row r="2" spans="1:11" ht="14.25" customHeight="1">
      <c r="A2" s="10" t="s">
        <v>52</v>
      </c>
      <c r="B2" s="10" t="str">
        <f t="shared" ref="B2:B54" si="0">VLOOKUP(A2,$F$2:$G$48,2,FALSE)</f>
        <v>SI</v>
      </c>
      <c r="F2" s="10" t="s">
        <v>45</v>
      </c>
      <c r="G2" s="10" t="s">
        <v>152</v>
      </c>
      <c r="J2" s="10" t="s">
        <v>52</v>
      </c>
      <c r="K2" s="10" t="s">
        <v>152</v>
      </c>
    </row>
    <row r="3" spans="1:11" ht="14.25" customHeight="1">
      <c r="A3" s="10" t="s">
        <v>57</v>
      </c>
      <c r="B3" s="10" t="e">
        <f t="shared" si="0"/>
        <v>#N/A</v>
      </c>
      <c r="C3" s="10" t="s">
        <v>153</v>
      </c>
      <c r="F3" s="10" t="s">
        <v>52</v>
      </c>
      <c r="G3" s="10" t="s">
        <v>152</v>
      </c>
      <c r="J3" s="10" t="s">
        <v>57</v>
      </c>
      <c r="K3" s="10" t="s">
        <v>152</v>
      </c>
    </row>
    <row r="4" spans="1:11" ht="14.25" customHeight="1">
      <c r="A4" s="10" t="s">
        <v>55</v>
      </c>
      <c r="B4" s="10" t="str">
        <f t="shared" si="0"/>
        <v>SI</v>
      </c>
      <c r="F4" s="10" t="s">
        <v>55</v>
      </c>
      <c r="G4" s="10" t="s">
        <v>152</v>
      </c>
      <c r="J4" s="10" t="s">
        <v>55</v>
      </c>
      <c r="K4" s="10" t="s">
        <v>152</v>
      </c>
    </row>
    <row r="5" spans="1:11" ht="14.25" customHeight="1">
      <c r="A5" s="10" t="s">
        <v>56</v>
      </c>
      <c r="B5" s="10" t="str">
        <f t="shared" si="0"/>
        <v>SI</v>
      </c>
      <c r="F5" s="10" t="s">
        <v>56</v>
      </c>
      <c r="G5" s="10" t="s">
        <v>152</v>
      </c>
      <c r="J5" s="10" t="s">
        <v>56</v>
      </c>
      <c r="K5" s="10" t="s">
        <v>152</v>
      </c>
    </row>
    <row r="6" spans="1:11" ht="14.25" customHeight="1">
      <c r="A6" s="10" t="s">
        <v>38</v>
      </c>
      <c r="B6" s="10" t="str">
        <f t="shared" si="0"/>
        <v>SI</v>
      </c>
      <c r="F6" s="10" t="s">
        <v>38</v>
      </c>
      <c r="G6" s="10" t="s">
        <v>152</v>
      </c>
      <c r="J6" s="10" t="s">
        <v>38</v>
      </c>
      <c r="K6" s="10" t="s">
        <v>152</v>
      </c>
    </row>
    <row r="7" spans="1:11" ht="14.25" customHeight="1">
      <c r="A7" s="10" t="s">
        <v>60</v>
      </c>
      <c r="B7" s="10" t="e">
        <f t="shared" si="0"/>
        <v>#N/A</v>
      </c>
      <c r="C7" s="10" t="s">
        <v>153</v>
      </c>
      <c r="F7" s="10" t="s">
        <v>58</v>
      </c>
      <c r="G7" s="10" t="s">
        <v>152</v>
      </c>
      <c r="J7" s="10" t="s">
        <v>60</v>
      </c>
      <c r="K7" s="10" t="s">
        <v>152</v>
      </c>
    </row>
    <row r="8" spans="1:11" ht="14.25" customHeight="1">
      <c r="A8" s="10" t="s">
        <v>58</v>
      </c>
      <c r="B8" s="10" t="str">
        <f t="shared" si="0"/>
        <v>SI</v>
      </c>
      <c r="F8" s="10" t="s">
        <v>59</v>
      </c>
      <c r="G8" s="10" t="s">
        <v>152</v>
      </c>
      <c r="J8" s="10" t="s">
        <v>58</v>
      </c>
      <c r="K8" s="10" t="s">
        <v>152</v>
      </c>
    </row>
    <row r="9" spans="1:11" ht="14.25" customHeight="1">
      <c r="A9" s="10" t="s">
        <v>65</v>
      </c>
      <c r="B9" s="10" t="e">
        <f t="shared" si="0"/>
        <v>#N/A</v>
      </c>
      <c r="C9" s="10" t="s">
        <v>153</v>
      </c>
      <c r="F9" s="10" t="s">
        <v>32</v>
      </c>
      <c r="G9" s="10" t="s">
        <v>152</v>
      </c>
      <c r="J9" s="10" t="s">
        <v>65</v>
      </c>
      <c r="K9" s="10" t="s">
        <v>152</v>
      </c>
    </row>
    <row r="10" spans="1:11" ht="14.25" customHeight="1">
      <c r="A10" s="10" t="s">
        <v>59</v>
      </c>
      <c r="B10" s="10" t="str">
        <f t="shared" si="0"/>
        <v>SI</v>
      </c>
      <c r="F10" s="10" t="s">
        <v>61</v>
      </c>
      <c r="G10" s="10" t="s">
        <v>152</v>
      </c>
      <c r="J10" s="10" t="s">
        <v>59</v>
      </c>
      <c r="K10" s="10" t="s">
        <v>152</v>
      </c>
    </row>
    <row r="11" spans="1:11" ht="14.25" customHeight="1">
      <c r="A11" s="10" t="s">
        <v>32</v>
      </c>
      <c r="B11" s="10" t="str">
        <f t="shared" si="0"/>
        <v>SI</v>
      </c>
      <c r="F11" s="10" t="s">
        <v>64</v>
      </c>
      <c r="G11" s="10" t="s">
        <v>152</v>
      </c>
      <c r="J11" s="10" t="s">
        <v>32</v>
      </c>
      <c r="K11" s="10" t="s">
        <v>152</v>
      </c>
    </row>
    <row r="12" spans="1:11" ht="14.25" customHeight="1">
      <c r="A12" s="10" t="s">
        <v>61</v>
      </c>
      <c r="B12" s="10" t="str">
        <f t="shared" si="0"/>
        <v>SI</v>
      </c>
      <c r="F12" s="10" t="s">
        <v>67</v>
      </c>
      <c r="G12" s="10" t="s">
        <v>152</v>
      </c>
      <c r="J12" s="10" t="s">
        <v>61</v>
      </c>
      <c r="K12" s="10" t="s">
        <v>152</v>
      </c>
    </row>
    <row r="13" spans="1:11" ht="14.25" customHeight="1">
      <c r="A13" s="10" t="s">
        <v>64</v>
      </c>
      <c r="B13" s="10" t="str">
        <f t="shared" si="0"/>
        <v>SI</v>
      </c>
      <c r="F13" s="10" t="s">
        <v>68</v>
      </c>
      <c r="G13" s="10" t="s">
        <v>152</v>
      </c>
      <c r="J13" s="10" t="s">
        <v>64</v>
      </c>
      <c r="K13" s="10" t="s">
        <v>152</v>
      </c>
    </row>
    <row r="14" spans="1:11" ht="14.25" customHeight="1">
      <c r="A14" s="10" t="s">
        <v>67</v>
      </c>
      <c r="B14" s="10" t="str">
        <f t="shared" si="0"/>
        <v>SI</v>
      </c>
      <c r="F14" s="10" t="s">
        <v>70</v>
      </c>
      <c r="G14" s="10" t="s">
        <v>152</v>
      </c>
      <c r="J14" s="10" t="s">
        <v>67</v>
      </c>
      <c r="K14" s="10" t="s">
        <v>152</v>
      </c>
    </row>
    <row r="15" spans="1:11" ht="14.25" customHeight="1">
      <c r="A15" s="10" t="s">
        <v>68</v>
      </c>
      <c r="B15" s="10" t="str">
        <f t="shared" si="0"/>
        <v>SI</v>
      </c>
      <c r="F15" s="10" t="s">
        <v>71</v>
      </c>
      <c r="G15" s="10" t="s">
        <v>152</v>
      </c>
      <c r="J15" s="10" t="s">
        <v>68</v>
      </c>
      <c r="K15" s="10" t="s">
        <v>152</v>
      </c>
    </row>
    <row r="16" spans="1:11" ht="14.25" customHeight="1">
      <c r="A16" s="10" t="s">
        <v>70</v>
      </c>
      <c r="B16" s="10" t="str">
        <f t="shared" si="0"/>
        <v>SI</v>
      </c>
      <c r="F16" s="10" t="s">
        <v>72</v>
      </c>
      <c r="G16" s="10" t="s">
        <v>152</v>
      </c>
      <c r="J16" s="10" t="s">
        <v>70</v>
      </c>
      <c r="K16" s="10" t="s">
        <v>152</v>
      </c>
    </row>
    <row r="17" spans="1:11" ht="14.25" customHeight="1">
      <c r="A17" s="10" t="s">
        <v>71</v>
      </c>
      <c r="B17" s="10" t="str">
        <f t="shared" si="0"/>
        <v>SI</v>
      </c>
      <c r="F17" s="10" t="s">
        <v>73</v>
      </c>
      <c r="G17" s="10" t="s">
        <v>152</v>
      </c>
      <c r="J17" s="10" t="s">
        <v>71</v>
      </c>
      <c r="K17" s="10" t="s">
        <v>152</v>
      </c>
    </row>
    <row r="18" spans="1:11" ht="14.25" customHeight="1">
      <c r="A18" s="10" t="s">
        <v>72</v>
      </c>
      <c r="B18" s="10" t="str">
        <f t="shared" si="0"/>
        <v>SI</v>
      </c>
      <c r="F18" s="10" t="s">
        <v>74</v>
      </c>
      <c r="G18" s="10" t="s">
        <v>152</v>
      </c>
      <c r="J18" s="10" t="s">
        <v>72</v>
      </c>
      <c r="K18" s="10" t="s">
        <v>152</v>
      </c>
    </row>
    <row r="19" spans="1:11" ht="14.25" customHeight="1">
      <c r="A19" s="10" t="s">
        <v>73</v>
      </c>
      <c r="B19" s="10" t="str">
        <f t="shared" si="0"/>
        <v>SI</v>
      </c>
      <c r="F19" s="10" t="s">
        <v>75</v>
      </c>
      <c r="G19" s="10" t="s">
        <v>152</v>
      </c>
      <c r="J19" s="10" t="s">
        <v>73</v>
      </c>
      <c r="K19" s="10" t="s">
        <v>152</v>
      </c>
    </row>
    <row r="20" spans="1:11" ht="14.25" customHeight="1">
      <c r="A20" s="10" t="s">
        <v>74</v>
      </c>
      <c r="B20" s="10" t="str">
        <f t="shared" si="0"/>
        <v>SI</v>
      </c>
      <c r="F20" s="10" t="s">
        <v>76</v>
      </c>
      <c r="G20" s="10" t="s">
        <v>152</v>
      </c>
      <c r="J20" s="10" t="s">
        <v>74</v>
      </c>
      <c r="K20" s="10" t="s">
        <v>152</v>
      </c>
    </row>
    <row r="21" spans="1:11" ht="14.25" customHeight="1">
      <c r="A21" s="10" t="s">
        <v>75</v>
      </c>
      <c r="B21" s="10" t="str">
        <f t="shared" si="0"/>
        <v>SI</v>
      </c>
      <c r="F21" s="10" t="s">
        <v>79</v>
      </c>
      <c r="G21" s="10" t="s">
        <v>152</v>
      </c>
      <c r="J21" s="10" t="s">
        <v>75</v>
      </c>
      <c r="K21" s="10" t="s">
        <v>152</v>
      </c>
    </row>
    <row r="22" spans="1:11" ht="14.25" customHeight="1">
      <c r="A22" s="10" t="s">
        <v>83</v>
      </c>
      <c r="B22" s="10" t="e">
        <f t="shared" si="0"/>
        <v>#N/A</v>
      </c>
      <c r="C22" s="10" t="s">
        <v>153</v>
      </c>
      <c r="F22" s="10" t="s">
        <v>80</v>
      </c>
      <c r="G22" s="10" t="s">
        <v>152</v>
      </c>
      <c r="J22" s="10" t="s">
        <v>83</v>
      </c>
      <c r="K22" s="10" t="s">
        <v>152</v>
      </c>
    </row>
    <row r="23" spans="1:11" ht="14.25" customHeight="1">
      <c r="A23" s="10" t="s">
        <v>76</v>
      </c>
      <c r="B23" s="10" t="str">
        <f t="shared" si="0"/>
        <v>SI</v>
      </c>
      <c r="F23" s="10" t="s">
        <v>81</v>
      </c>
      <c r="G23" s="10" t="s">
        <v>152</v>
      </c>
      <c r="J23" s="10" t="s">
        <v>76</v>
      </c>
      <c r="K23" s="10" t="s">
        <v>152</v>
      </c>
    </row>
    <row r="24" spans="1:11" ht="14.25" customHeight="1">
      <c r="A24" s="10" t="s">
        <v>79</v>
      </c>
      <c r="B24" s="10" t="str">
        <f t="shared" si="0"/>
        <v>SI</v>
      </c>
      <c r="F24" s="10" t="s">
        <v>82</v>
      </c>
      <c r="G24" s="10" t="s">
        <v>152</v>
      </c>
      <c r="J24" s="10" t="s">
        <v>79</v>
      </c>
      <c r="K24" s="10" t="s">
        <v>152</v>
      </c>
    </row>
    <row r="25" spans="1:11" ht="14.25" customHeight="1">
      <c r="A25" s="10" t="s">
        <v>80</v>
      </c>
      <c r="B25" s="10" t="str">
        <f t="shared" si="0"/>
        <v>SI</v>
      </c>
      <c r="F25" s="10" t="s">
        <v>84</v>
      </c>
      <c r="G25" s="10" t="s">
        <v>152</v>
      </c>
      <c r="J25" s="10" t="s">
        <v>80</v>
      </c>
      <c r="K25" s="10" t="s">
        <v>152</v>
      </c>
    </row>
    <row r="26" spans="1:11" ht="14.25" customHeight="1">
      <c r="A26" s="10" t="s">
        <v>81</v>
      </c>
      <c r="B26" s="10" t="str">
        <f t="shared" si="0"/>
        <v>SI</v>
      </c>
      <c r="F26" s="10" t="s">
        <v>87</v>
      </c>
      <c r="G26" s="10" t="s">
        <v>152</v>
      </c>
      <c r="J26" s="10" t="s">
        <v>81</v>
      </c>
      <c r="K26" s="10" t="s">
        <v>152</v>
      </c>
    </row>
    <row r="27" spans="1:11" ht="14.25" customHeight="1">
      <c r="A27" s="10" t="s">
        <v>91</v>
      </c>
      <c r="B27" s="10" t="e">
        <f t="shared" si="0"/>
        <v>#N/A</v>
      </c>
      <c r="C27" s="10" t="s">
        <v>153</v>
      </c>
      <c r="F27" s="10" t="s">
        <v>88</v>
      </c>
      <c r="G27" s="10" t="s">
        <v>152</v>
      </c>
      <c r="J27" s="10" t="s">
        <v>91</v>
      </c>
      <c r="K27" s="10" t="s">
        <v>152</v>
      </c>
    </row>
    <row r="28" spans="1:11" ht="14.25" customHeight="1">
      <c r="A28" s="10" t="s">
        <v>93</v>
      </c>
      <c r="B28" s="10" t="e">
        <f t="shared" si="0"/>
        <v>#N/A</v>
      </c>
      <c r="C28" s="10" t="s">
        <v>153</v>
      </c>
      <c r="F28" s="10" t="s">
        <v>89</v>
      </c>
      <c r="G28" s="10" t="s">
        <v>152</v>
      </c>
      <c r="J28" s="10" t="s">
        <v>93</v>
      </c>
      <c r="K28" s="10" t="s">
        <v>152</v>
      </c>
    </row>
    <row r="29" spans="1:11" ht="14.25" customHeight="1">
      <c r="A29" s="10" t="s">
        <v>82</v>
      </c>
      <c r="B29" s="10" t="str">
        <f t="shared" si="0"/>
        <v>SI</v>
      </c>
      <c r="F29" s="10" t="s">
        <v>90</v>
      </c>
      <c r="G29" s="10" t="s">
        <v>152</v>
      </c>
      <c r="J29" s="10" t="s">
        <v>82</v>
      </c>
      <c r="K29" s="10" t="s">
        <v>152</v>
      </c>
    </row>
    <row r="30" spans="1:11" ht="14.25" customHeight="1">
      <c r="A30" s="10" t="s">
        <v>84</v>
      </c>
      <c r="B30" s="10" t="str">
        <f t="shared" si="0"/>
        <v>SI</v>
      </c>
      <c r="F30" s="10" t="s">
        <v>92</v>
      </c>
      <c r="G30" s="10" t="s">
        <v>152</v>
      </c>
      <c r="J30" s="10" t="s">
        <v>84</v>
      </c>
      <c r="K30" s="10" t="s">
        <v>152</v>
      </c>
    </row>
    <row r="31" spans="1:11" ht="14.25" customHeight="1">
      <c r="A31" s="10" t="s">
        <v>87</v>
      </c>
      <c r="B31" s="10" t="str">
        <f t="shared" si="0"/>
        <v>SI</v>
      </c>
      <c r="F31" s="10" t="s">
        <v>94</v>
      </c>
      <c r="G31" s="10" t="s">
        <v>152</v>
      </c>
      <c r="J31" s="10" t="s">
        <v>87</v>
      </c>
      <c r="K31" s="10" t="s">
        <v>152</v>
      </c>
    </row>
    <row r="32" spans="1:11" ht="14.25" customHeight="1">
      <c r="A32" s="10" t="s">
        <v>88</v>
      </c>
      <c r="B32" s="10" t="str">
        <f t="shared" si="0"/>
        <v>SI</v>
      </c>
      <c r="F32" s="10" t="s">
        <v>95</v>
      </c>
      <c r="G32" s="10" t="s">
        <v>152</v>
      </c>
      <c r="J32" s="10" t="s">
        <v>88</v>
      </c>
      <c r="K32" s="10" t="s">
        <v>152</v>
      </c>
    </row>
    <row r="33" spans="1:11" ht="14.25" customHeight="1">
      <c r="A33" s="10" t="s">
        <v>89</v>
      </c>
      <c r="B33" s="10" t="str">
        <f t="shared" si="0"/>
        <v>SI</v>
      </c>
      <c r="F33" s="10" t="s">
        <v>96</v>
      </c>
      <c r="G33" s="10" t="s">
        <v>152</v>
      </c>
      <c r="J33" s="10" t="s">
        <v>89</v>
      </c>
      <c r="K33" s="10" t="s">
        <v>152</v>
      </c>
    </row>
    <row r="34" spans="1:11" ht="14.25" customHeight="1">
      <c r="A34" s="10" t="s">
        <v>90</v>
      </c>
      <c r="B34" s="10" t="str">
        <f t="shared" si="0"/>
        <v>SI</v>
      </c>
      <c r="F34" s="10" t="s">
        <v>97</v>
      </c>
      <c r="G34" s="10" t="s">
        <v>152</v>
      </c>
      <c r="J34" s="10" t="s">
        <v>90</v>
      </c>
      <c r="K34" s="10" t="s">
        <v>152</v>
      </c>
    </row>
    <row r="35" spans="1:11" ht="14.25" customHeight="1">
      <c r="A35" s="10" t="s">
        <v>92</v>
      </c>
      <c r="B35" s="10" t="str">
        <f t="shared" si="0"/>
        <v>SI</v>
      </c>
      <c r="F35" s="10" t="s">
        <v>100</v>
      </c>
      <c r="G35" s="10" t="s">
        <v>152</v>
      </c>
      <c r="J35" s="10" t="s">
        <v>92</v>
      </c>
      <c r="K35" s="10" t="s">
        <v>152</v>
      </c>
    </row>
    <row r="36" spans="1:11" ht="14.25" customHeight="1">
      <c r="A36" s="10" t="s">
        <v>94</v>
      </c>
      <c r="B36" s="10" t="str">
        <f t="shared" si="0"/>
        <v>SI</v>
      </c>
      <c r="F36" s="10" t="s">
        <v>101</v>
      </c>
      <c r="G36" s="10" t="s">
        <v>152</v>
      </c>
      <c r="J36" s="10" t="s">
        <v>94</v>
      </c>
      <c r="K36" s="10" t="s">
        <v>152</v>
      </c>
    </row>
    <row r="37" spans="1:11" ht="14.25" customHeight="1">
      <c r="A37" s="10" t="s">
        <v>95</v>
      </c>
      <c r="B37" s="10" t="str">
        <f t="shared" si="0"/>
        <v>SI</v>
      </c>
      <c r="F37" s="10" t="s">
        <v>102</v>
      </c>
      <c r="G37" s="10" t="s">
        <v>152</v>
      </c>
      <c r="J37" s="10" t="s">
        <v>95</v>
      </c>
      <c r="K37" s="10" t="s">
        <v>152</v>
      </c>
    </row>
    <row r="38" spans="1:11" ht="14.25" customHeight="1">
      <c r="A38" s="10" t="s">
        <v>96</v>
      </c>
      <c r="B38" s="10" t="str">
        <f t="shared" si="0"/>
        <v>SI</v>
      </c>
      <c r="F38" s="10" t="s">
        <v>103</v>
      </c>
      <c r="G38" s="10" t="s">
        <v>152</v>
      </c>
      <c r="J38" s="10" t="s">
        <v>96</v>
      </c>
      <c r="K38" s="10" t="s">
        <v>152</v>
      </c>
    </row>
    <row r="39" spans="1:11" ht="14.25" customHeight="1">
      <c r="A39" s="10" t="s">
        <v>97</v>
      </c>
      <c r="B39" s="10" t="str">
        <f t="shared" si="0"/>
        <v>SI</v>
      </c>
      <c r="F39" s="10" t="s">
        <v>104</v>
      </c>
      <c r="G39" s="10" t="s">
        <v>152</v>
      </c>
      <c r="J39" s="10" t="s">
        <v>97</v>
      </c>
      <c r="K39" s="10" t="s">
        <v>152</v>
      </c>
    </row>
    <row r="40" spans="1:11" ht="14.25" customHeight="1">
      <c r="A40" s="10" t="s">
        <v>100</v>
      </c>
      <c r="B40" s="10" t="str">
        <f t="shared" si="0"/>
        <v>SI</v>
      </c>
      <c r="F40" s="10" t="s">
        <v>105</v>
      </c>
      <c r="G40" s="10" t="s">
        <v>152</v>
      </c>
      <c r="J40" s="10" t="s">
        <v>100</v>
      </c>
      <c r="K40" s="10" t="s">
        <v>152</v>
      </c>
    </row>
    <row r="41" spans="1:11" ht="14.25" customHeight="1">
      <c r="A41" s="10" t="s">
        <v>101</v>
      </c>
      <c r="B41" s="10" t="str">
        <f t="shared" si="0"/>
        <v>SI</v>
      </c>
      <c r="F41" s="10" t="s">
        <v>106</v>
      </c>
      <c r="G41" s="10" t="s">
        <v>152</v>
      </c>
      <c r="J41" s="10" t="s">
        <v>101</v>
      </c>
      <c r="K41" s="10" t="s">
        <v>152</v>
      </c>
    </row>
    <row r="42" spans="1:11" ht="14.25" customHeight="1">
      <c r="A42" s="10" t="s">
        <v>102</v>
      </c>
      <c r="B42" s="10" t="str">
        <f t="shared" si="0"/>
        <v>SI</v>
      </c>
      <c r="F42" s="10" t="s">
        <v>111</v>
      </c>
      <c r="G42" s="10" t="s">
        <v>152</v>
      </c>
      <c r="J42" s="10" t="s">
        <v>102</v>
      </c>
      <c r="K42" s="10" t="s">
        <v>152</v>
      </c>
    </row>
    <row r="43" spans="1:11" ht="14.25" customHeight="1">
      <c r="A43" s="10" t="s">
        <v>103</v>
      </c>
      <c r="B43" s="10" t="str">
        <f t="shared" si="0"/>
        <v>SI</v>
      </c>
      <c r="F43" s="10" t="s">
        <v>112</v>
      </c>
      <c r="G43" s="10" t="s">
        <v>152</v>
      </c>
      <c r="J43" s="10" t="s">
        <v>103</v>
      </c>
      <c r="K43" s="10" t="s">
        <v>152</v>
      </c>
    </row>
    <row r="44" spans="1:11" ht="14.25" customHeight="1">
      <c r="A44" s="10" t="s">
        <v>104</v>
      </c>
      <c r="B44" s="10" t="str">
        <f t="shared" si="0"/>
        <v>SI</v>
      </c>
      <c r="F44" s="10" t="s">
        <v>113</v>
      </c>
      <c r="G44" s="10" t="s">
        <v>152</v>
      </c>
      <c r="J44" s="10" t="s">
        <v>104</v>
      </c>
      <c r="K44" s="10" t="s">
        <v>152</v>
      </c>
    </row>
    <row r="45" spans="1:11" ht="14.25" customHeight="1">
      <c r="A45" s="10" t="s">
        <v>105</v>
      </c>
      <c r="B45" s="10" t="str">
        <f t="shared" si="0"/>
        <v>SI</v>
      </c>
      <c r="F45" s="10" t="s">
        <v>114</v>
      </c>
      <c r="G45" s="10" t="s">
        <v>152</v>
      </c>
      <c r="J45" s="10" t="s">
        <v>105</v>
      </c>
      <c r="K45" s="10" t="s">
        <v>152</v>
      </c>
    </row>
    <row r="46" spans="1:11" ht="14.25" customHeight="1">
      <c r="A46" s="10" t="s">
        <v>106</v>
      </c>
      <c r="B46" s="10" t="str">
        <f t="shared" si="0"/>
        <v>SI</v>
      </c>
      <c r="F46" s="10" t="s">
        <v>115</v>
      </c>
      <c r="G46" s="10" t="s">
        <v>152</v>
      </c>
      <c r="J46" s="10" t="s">
        <v>106</v>
      </c>
      <c r="K46" s="10" t="s">
        <v>152</v>
      </c>
    </row>
    <row r="47" spans="1:11" ht="14.25" customHeight="1">
      <c r="A47" s="10" t="s">
        <v>111</v>
      </c>
      <c r="B47" s="10" t="str">
        <f t="shared" si="0"/>
        <v>SI</v>
      </c>
      <c r="F47" s="10" t="s">
        <v>116</v>
      </c>
      <c r="G47" s="10" t="s">
        <v>152</v>
      </c>
      <c r="J47" s="10" t="s">
        <v>111</v>
      </c>
      <c r="K47" s="10" t="s">
        <v>152</v>
      </c>
    </row>
    <row r="48" spans="1:11" ht="14.25" customHeight="1">
      <c r="A48" s="10" t="s">
        <v>112</v>
      </c>
      <c r="B48" s="10" t="str">
        <f t="shared" si="0"/>
        <v>SI</v>
      </c>
      <c r="F48" s="10" t="s">
        <v>117</v>
      </c>
      <c r="G48" s="10" t="s">
        <v>152</v>
      </c>
      <c r="J48" s="10" t="s">
        <v>112</v>
      </c>
      <c r="K48" s="10" t="s">
        <v>152</v>
      </c>
    </row>
    <row r="49" spans="1:11" ht="14.25" customHeight="1">
      <c r="A49" s="10" t="s">
        <v>113</v>
      </c>
      <c r="B49" s="10" t="str">
        <f t="shared" si="0"/>
        <v>SI</v>
      </c>
      <c r="J49" s="10" t="s">
        <v>113</v>
      </c>
      <c r="K49" s="10" t="s">
        <v>152</v>
      </c>
    </row>
    <row r="50" spans="1:11" ht="14.25" customHeight="1">
      <c r="A50" s="10" t="s">
        <v>114</v>
      </c>
      <c r="B50" s="10" t="str">
        <f t="shared" si="0"/>
        <v>SI</v>
      </c>
      <c r="J50" s="10" t="s">
        <v>114</v>
      </c>
      <c r="K50" s="10" t="s">
        <v>152</v>
      </c>
    </row>
    <row r="51" spans="1:11" ht="14.25" customHeight="1">
      <c r="A51" s="10" t="s">
        <v>115</v>
      </c>
      <c r="B51" s="10" t="str">
        <f t="shared" si="0"/>
        <v>SI</v>
      </c>
      <c r="J51" s="10" t="s">
        <v>115</v>
      </c>
      <c r="K51" s="10" t="s">
        <v>152</v>
      </c>
    </row>
    <row r="52" spans="1:11" ht="14.25" customHeight="1">
      <c r="A52" s="10" t="s">
        <v>116</v>
      </c>
      <c r="B52" s="10" t="str">
        <f t="shared" si="0"/>
        <v>SI</v>
      </c>
      <c r="J52" s="10" t="s">
        <v>116</v>
      </c>
      <c r="K52" s="10" t="s">
        <v>152</v>
      </c>
    </row>
    <row r="53" spans="1:11" ht="14.25" customHeight="1">
      <c r="A53" s="10" t="s">
        <v>117</v>
      </c>
      <c r="B53" s="10" t="str">
        <f t="shared" si="0"/>
        <v>SI</v>
      </c>
      <c r="J53" s="10" t="s">
        <v>117</v>
      </c>
      <c r="K53" s="10" t="s">
        <v>152</v>
      </c>
    </row>
    <row r="54" spans="1:11" ht="14.25" customHeight="1">
      <c r="A54" s="10" t="s">
        <v>54</v>
      </c>
      <c r="B54" s="10" t="e">
        <f t="shared" si="0"/>
        <v>#N/A</v>
      </c>
      <c r="J54" s="10" t="s">
        <v>45</v>
      </c>
      <c r="K54" s="10" t="s">
        <v>152</v>
      </c>
    </row>
    <row r="55" spans="1:11" ht="14.25" customHeight="1"/>
    <row r="56" spans="1:11" ht="14.25" customHeight="1"/>
    <row r="57" spans="1:11" ht="14.25" customHeight="1"/>
    <row r="58" spans="1:11" ht="14.25" customHeight="1"/>
    <row r="59" spans="1:11" ht="14.25" customHeight="1"/>
    <row r="60" spans="1:11" ht="14.25" customHeight="1"/>
    <row r="61" spans="1:11" ht="14.25" customHeight="1"/>
    <row r="62" spans="1:11" ht="14.25" customHeight="1"/>
    <row r="63" spans="1:11" ht="14.25" customHeight="1"/>
    <row r="64" spans="1:11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K54" xr:uid="{00000000-0009-0000-0000-000003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TD</vt:lpstr>
      <vt:lpstr>DMCA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Unidad de Inversion 2</dc:creator>
  <cp:lastModifiedBy>Dirección de Meteorología Atmosférica (DMA 01)</cp:lastModifiedBy>
  <dcterms:created xsi:type="dcterms:W3CDTF">2026-02-11T20:18:23Z</dcterms:created>
  <dcterms:modified xsi:type="dcterms:W3CDTF">2026-10-20T22:38:20Z</dcterms:modified>
</cp:coreProperties>
</file>