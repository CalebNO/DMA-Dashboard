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6E51939B-6178-4AAE-9401-5B80FA510D2D}" xr6:coauthVersionLast="36" xr6:coauthVersionMax="36" xr10:uidLastSave="{00000000-0000-0000-0000-000000000000}"/>
  <bookViews>
    <workbookView xWindow="105" yWindow="45" windowWidth="18825" windowHeight="10005" xr2:uid="{00000000-000D-0000-FFFF-FFFF00000000}"/>
  </bookViews>
  <sheets>
    <sheet name="DMA" sheetId="2" r:id="rId1"/>
  </sheets>
  <definedNames>
    <definedName name="_xlnm._FilterDatabase" localSheetId="0" hidden="1">DMA!$A$1:$AH$134</definedName>
    <definedName name="SegmentaciónDeDatos_Codigo">#REF!</definedName>
  </definedNames>
  <calcPr calcId="191029"/>
  <extLst>
    <ext uri="GoogleSheetsCustomDataVersion2">
      <go:sheetsCustomData xmlns:go="http://customooxmlschemas.google.com/" r:id="rId7" roundtripDataChecksum="B0cGV/WxN7d0YwCuxDeaQRR0fmt2ya9Y7YZPk99sRTQ="/>
    </ext>
  </extLst>
</workbook>
</file>

<file path=xl/calcChain.xml><?xml version="1.0" encoding="utf-8"?>
<calcChain xmlns="http://schemas.openxmlformats.org/spreadsheetml/2006/main">
  <c r="AH124" i="2" l="1"/>
  <c r="U124" i="2"/>
  <c r="AH123" i="2"/>
  <c r="U123" i="2"/>
  <c r="AH122" i="2"/>
  <c r="U122" i="2"/>
  <c r="AH121" i="2"/>
  <c r="U121" i="2"/>
  <c r="AH120" i="2"/>
  <c r="U120" i="2"/>
  <c r="AH119" i="2"/>
  <c r="U119" i="2"/>
  <c r="AH118" i="2"/>
  <c r="U118" i="2"/>
  <c r="AH117" i="2"/>
  <c r="U117" i="2"/>
  <c r="AH116" i="2"/>
  <c r="U116" i="2"/>
  <c r="AH115" i="2"/>
  <c r="U115" i="2"/>
  <c r="AH114" i="2"/>
  <c r="U114" i="2"/>
  <c r="AH113" i="2"/>
  <c r="U113" i="2"/>
  <c r="AH112" i="2"/>
  <c r="U112" i="2"/>
  <c r="AH111" i="2"/>
  <c r="U111" i="2"/>
  <c r="AH110" i="2"/>
  <c r="U110" i="2"/>
  <c r="AH109" i="2"/>
  <c r="U109" i="2"/>
  <c r="AH108" i="2"/>
  <c r="U108" i="2"/>
  <c r="AH107" i="2"/>
  <c r="U107" i="2"/>
  <c r="AH106" i="2"/>
  <c r="U106" i="2"/>
  <c r="AH105" i="2"/>
  <c r="U105" i="2"/>
  <c r="AH104" i="2"/>
  <c r="U104" i="2"/>
  <c r="AH103" i="2"/>
  <c r="U103" i="2"/>
  <c r="AH128" i="2"/>
  <c r="U128" i="2"/>
  <c r="AH102" i="2"/>
  <c r="U102" i="2"/>
  <c r="AH127" i="2"/>
  <c r="U127" i="2"/>
  <c r="AH101" i="2"/>
  <c r="U101" i="2"/>
  <c r="AH126" i="2"/>
  <c r="U126" i="2"/>
  <c r="AH100" i="2"/>
  <c r="U100" i="2"/>
  <c r="AH99" i="2"/>
  <c r="U99" i="2"/>
  <c r="AH98" i="2"/>
  <c r="U98" i="2"/>
  <c r="AH97" i="2"/>
  <c r="U97" i="2"/>
  <c r="AH130" i="2"/>
  <c r="U130" i="2"/>
  <c r="AH96" i="2"/>
  <c r="U96" i="2"/>
  <c r="AH95" i="2"/>
  <c r="U95" i="2"/>
  <c r="AH94" i="2"/>
  <c r="U94" i="2"/>
  <c r="AH129" i="2"/>
  <c r="U129" i="2"/>
  <c r="AH93" i="2"/>
  <c r="U93" i="2"/>
  <c r="AH92" i="2"/>
  <c r="U92" i="2"/>
  <c r="AH91" i="2"/>
  <c r="U91" i="2"/>
  <c r="AH133" i="2"/>
  <c r="U133" i="2"/>
  <c r="AH90" i="2"/>
  <c r="U90" i="2"/>
  <c r="AH89" i="2"/>
  <c r="U89" i="2"/>
  <c r="AH88" i="2"/>
  <c r="U88" i="2"/>
  <c r="AH125" i="2"/>
  <c r="U125" i="2"/>
  <c r="AH87" i="2"/>
  <c r="U87" i="2"/>
  <c r="AH86" i="2"/>
  <c r="U86" i="2"/>
  <c r="AH85" i="2"/>
  <c r="U85" i="2"/>
  <c r="AH84" i="2"/>
  <c r="U84" i="2"/>
  <c r="AH83" i="2"/>
  <c r="U83" i="2"/>
  <c r="AH82" i="2"/>
  <c r="U82" i="2"/>
  <c r="AH81" i="2"/>
  <c r="U81" i="2"/>
  <c r="AH80" i="2"/>
  <c r="U80" i="2"/>
  <c r="AH79" i="2"/>
  <c r="U79" i="2"/>
  <c r="AH78" i="2"/>
  <c r="U78" i="2"/>
  <c r="AH77" i="2"/>
  <c r="U77" i="2"/>
  <c r="AH76" i="2"/>
  <c r="U76" i="2"/>
  <c r="AH75" i="2"/>
  <c r="U75" i="2"/>
  <c r="AH74" i="2"/>
  <c r="U74" i="2"/>
  <c r="AH73" i="2"/>
  <c r="U73" i="2"/>
  <c r="AH72" i="2"/>
  <c r="U72" i="2"/>
  <c r="AH71" i="2"/>
  <c r="AH70" i="2"/>
  <c r="U70" i="2"/>
  <c r="AH69" i="2"/>
  <c r="U69" i="2"/>
  <c r="AH68" i="2"/>
  <c r="U68" i="2"/>
  <c r="AH67" i="2"/>
  <c r="U67" i="2"/>
  <c r="AH66" i="2"/>
  <c r="AH65" i="2"/>
  <c r="U65" i="2"/>
  <c r="AH64" i="2"/>
  <c r="AH63" i="2"/>
  <c r="U63" i="2"/>
  <c r="AH62" i="2"/>
  <c r="U62" i="2"/>
  <c r="AH61" i="2"/>
  <c r="U61" i="2"/>
  <c r="AH60" i="2"/>
  <c r="U60" i="2"/>
  <c r="AH59" i="2"/>
  <c r="U59" i="2"/>
  <c r="AH58" i="2"/>
  <c r="AH57" i="2"/>
  <c r="AH56" i="2"/>
  <c r="U56" i="2"/>
  <c r="AH55" i="2"/>
  <c r="U55" i="2"/>
  <c r="AH54" i="2"/>
  <c r="U54" i="2"/>
  <c r="AH53" i="2"/>
  <c r="U53" i="2"/>
  <c r="AH52" i="2"/>
  <c r="AH51" i="2"/>
  <c r="U51" i="2"/>
  <c r="AH50" i="2"/>
  <c r="U50" i="2"/>
  <c r="AH49" i="2"/>
  <c r="U49" i="2"/>
  <c r="AH48" i="2"/>
  <c r="U48" i="2"/>
  <c r="AH47" i="2"/>
  <c r="U47" i="2"/>
  <c r="AH46" i="2"/>
  <c r="U46" i="2"/>
  <c r="AH45" i="2"/>
  <c r="U45" i="2"/>
  <c r="AH44" i="2"/>
  <c r="U44" i="2"/>
  <c r="AH43" i="2"/>
  <c r="U43" i="2"/>
  <c r="AH42" i="2"/>
  <c r="U42" i="2"/>
  <c r="AH41" i="2"/>
  <c r="U41" i="2"/>
  <c r="AH132" i="2"/>
  <c r="U132" i="2"/>
  <c r="AH131" i="2"/>
  <c r="U131" i="2"/>
  <c r="AH40" i="2"/>
  <c r="U40" i="2"/>
  <c r="AH39" i="2"/>
  <c r="U39" i="2"/>
  <c r="AH38" i="2"/>
  <c r="U38" i="2"/>
  <c r="AH37" i="2"/>
  <c r="U37" i="2"/>
  <c r="AH36" i="2"/>
  <c r="U36" i="2"/>
  <c r="AH35" i="2"/>
  <c r="U35" i="2"/>
  <c r="AH34" i="2"/>
  <c r="U34" i="2"/>
  <c r="AH33" i="2"/>
  <c r="U33" i="2"/>
  <c r="AH32" i="2"/>
  <c r="U32" i="2"/>
  <c r="AH31" i="2"/>
  <c r="U31" i="2"/>
  <c r="AH30" i="2"/>
  <c r="U30" i="2"/>
  <c r="AH29" i="2"/>
  <c r="U29" i="2"/>
  <c r="AH28" i="2"/>
  <c r="U28" i="2"/>
  <c r="AH27" i="2"/>
  <c r="U27" i="2"/>
  <c r="AH26" i="2"/>
  <c r="U26" i="2"/>
  <c r="AH25" i="2"/>
  <c r="U25" i="2"/>
  <c r="AH24" i="2"/>
  <c r="U24" i="2"/>
  <c r="AH23" i="2"/>
  <c r="U23" i="2"/>
  <c r="AH22" i="2"/>
  <c r="U22" i="2"/>
  <c r="AH21" i="2"/>
  <c r="U21" i="2"/>
  <c r="AH20" i="2"/>
  <c r="U20" i="2"/>
  <c r="AH19" i="2"/>
  <c r="U19" i="2"/>
  <c r="AH18" i="2"/>
  <c r="U18" i="2"/>
  <c r="AH17" i="2"/>
  <c r="U17" i="2"/>
  <c r="AH16" i="2"/>
  <c r="U16" i="2"/>
  <c r="AH15" i="2"/>
  <c r="U15" i="2"/>
  <c r="AH14" i="2"/>
  <c r="U14" i="2"/>
  <c r="AH13" i="2"/>
  <c r="U13" i="2"/>
  <c r="AH12" i="2"/>
  <c r="U12" i="2"/>
  <c r="AH11" i="2"/>
  <c r="U11" i="2"/>
  <c r="AH10" i="2"/>
  <c r="U10" i="2"/>
  <c r="AH9" i="2"/>
  <c r="U9" i="2"/>
  <c r="AH8" i="2"/>
  <c r="U8" i="2"/>
  <c r="AH7" i="2"/>
  <c r="U7" i="2"/>
  <c r="AH6" i="2"/>
  <c r="U6" i="2"/>
  <c r="AH5" i="2"/>
  <c r="U5" i="2"/>
  <c r="AH4" i="2"/>
  <c r="U4" i="2"/>
  <c r="AH3" i="2"/>
  <c r="U3" i="2"/>
  <c r="AH2" i="2"/>
  <c r="U2" i="2"/>
</calcChain>
</file>

<file path=xl/sharedStrings.xml><?xml version="1.0" encoding="utf-8"?>
<sst xmlns="http://schemas.openxmlformats.org/spreadsheetml/2006/main" count="958" uniqueCount="306">
  <si>
    <t>Codigo</t>
  </si>
  <si>
    <t>AOI00047400036</t>
  </si>
  <si>
    <t>AOI00047400037</t>
  </si>
  <si>
    <t>AOI00047400038</t>
  </si>
  <si>
    <t>AOI00047400039</t>
  </si>
  <si>
    <t>AOI00047400040</t>
  </si>
  <si>
    <t>AOI00047400041</t>
  </si>
  <si>
    <t>AOI00047400043</t>
  </si>
  <si>
    <t>AOI00047400044</t>
  </si>
  <si>
    <t>AOI00047400045</t>
  </si>
  <si>
    <t>AOI00047400046</t>
  </si>
  <si>
    <t>AOI00047400047</t>
  </si>
  <si>
    <t>AOI00047400048</t>
  </si>
  <si>
    <t>AOI00047400049</t>
  </si>
  <si>
    <t>AOI00047400050</t>
  </si>
  <si>
    <t>AOI00047400051</t>
  </si>
  <si>
    <t>AOI00047400053</t>
  </si>
  <si>
    <t>AOI00047400055</t>
  </si>
  <si>
    <t>AOI00047400428</t>
  </si>
  <si>
    <t>AOI00047400442</t>
  </si>
  <si>
    <t>AOI00047400447</t>
  </si>
  <si>
    <t>AOI00047400448</t>
  </si>
  <si>
    <t>AOI00047400450</t>
  </si>
  <si>
    <t>AOI00047400460</t>
  </si>
  <si>
    <t>AOI00047400540</t>
  </si>
  <si>
    <t>AOI00047400541</t>
  </si>
  <si>
    <t>AOI00047400542</t>
  </si>
  <si>
    <t>AOI00047400543</t>
  </si>
  <si>
    <t>AOI00047400544</t>
  </si>
  <si>
    <t>AOI00047400545</t>
  </si>
  <si>
    <t>AOI00047400553</t>
  </si>
  <si>
    <t>AOI00047400554</t>
  </si>
  <si>
    <t>AOI00047400555</t>
  </si>
  <si>
    <t>AOI00047400557</t>
  </si>
  <si>
    <t>AOI00047400560</t>
  </si>
  <si>
    <t>AOI00047400565</t>
  </si>
  <si>
    <t>AOI00047400566</t>
  </si>
  <si>
    <t>AOI00047400567</t>
  </si>
  <si>
    <t>AOI00047400568</t>
  </si>
  <si>
    <t>AOI00047400569</t>
  </si>
  <si>
    <t>AOI00047400570</t>
  </si>
  <si>
    <t>AOI00047400571</t>
  </si>
  <si>
    <t>AOI00047400572</t>
  </si>
  <si>
    <t>AOI00047400573</t>
  </si>
  <si>
    <t>AOI00047400574</t>
  </si>
  <si>
    <t>AOI00047400575</t>
  </si>
  <si>
    <t>AOI00047400576</t>
  </si>
  <si>
    <t>AOI00047400577</t>
  </si>
  <si>
    <t>AOI00047400583</t>
  </si>
  <si>
    <t>AOI00047400584</t>
  </si>
  <si>
    <t>Meta pptal</t>
  </si>
  <si>
    <t>Actividad Operativa</t>
  </si>
  <si>
    <t>Unidad de medida</t>
  </si>
  <si>
    <t>Accion UGP</t>
  </si>
  <si>
    <t>Organo</t>
  </si>
  <si>
    <t>PROGRAM ENE</t>
  </si>
  <si>
    <t>PROGRAM FEB</t>
  </si>
  <si>
    <t>PROGRAM MAR</t>
  </si>
  <si>
    <t>PROGRAM ABR</t>
  </si>
  <si>
    <t>PROGRAM MAY</t>
  </si>
  <si>
    <t>PROGRAM JUN</t>
  </si>
  <si>
    <t>PROGRAM JUL</t>
  </si>
  <si>
    <t>PROGRAM AGO</t>
  </si>
  <si>
    <t>PROGRAM SET</t>
  </si>
  <si>
    <t>PROGRAM OCT</t>
  </si>
  <si>
    <t>PROGRAM NOV</t>
  </si>
  <si>
    <t>PROGRAM DIC</t>
  </si>
  <si>
    <t>PROGRAM Total</t>
  </si>
  <si>
    <t>EJECUCIÓN ENE</t>
  </si>
  <si>
    <t>EJECUCIÓN FEB</t>
  </si>
  <si>
    <t>EJECUCIÓN MAR</t>
  </si>
  <si>
    <t>EJECUCIÓN ABR</t>
  </si>
  <si>
    <t>EJECUCIÓN MAY</t>
  </si>
  <si>
    <t>EJECUCIÓN JUN</t>
  </si>
  <si>
    <t>EJECUCIÓN JUL</t>
  </si>
  <si>
    <t>EJECUCIÓN AGO</t>
  </si>
  <si>
    <t>EJECUCIÓN SET</t>
  </si>
  <si>
    <t>EJECUCIÓN OCT</t>
  </si>
  <si>
    <t>EJECUCIÓN NOV</t>
  </si>
  <si>
    <t>EJECUCIÓN DIC</t>
  </si>
  <si>
    <t>EJECUCIÓN Total</t>
  </si>
  <si>
    <t>GESTIÓN DE CUMPLIMIENTO DE OBJETIVOS Y METAS DEL PROCESO DE GESTIÓN DE LA INVESTIGACIÓN, DESARROLLO E INNOVACIÓN METEOROLÓGICA Y AMBIENTAL ATMOSFÉRICO</t>
  </si>
  <si>
    <t>REPORTE</t>
  </si>
  <si>
    <t>Asistencia administrativa para la conducción del proceso de gestión de la investigación, desarrollo e innovación meteorológica y ambiental atmosférico</t>
  </si>
  <si>
    <t>INFORME</t>
  </si>
  <si>
    <t>GESTIÓN DE CUMPLIMIENTO DE OBJETIVOS Y METAS DEL PROCESO DE GESTIÓN DE LA VIGILANCIA Y PRONÓSTICO METEOROLÓGICO Y AMBIENTAL ATMOSFÉRICO</t>
  </si>
  <si>
    <t>Asistencia administrativa para la conducción del proceso de gestión de la vigilancia y pronóstico meteorológico y ambiental atmosférico</t>
  </si>
  <si>
    <t>Conducción del proceso de gestión de la investigación, desarrollo e innovación meteorológica y ambiental atmosférico</t>
  </si>
  <si>
    <t>Conducción del proceso de gestión de la vigilancia y pronóstico meteorológico y ambiental atmosférico</t>
  </si>
  <si>
    <t>Coordinación y Seguimiento al proceso de gestión y ejecución de los proyectos, la investigación, desarrollo e innovación meteorológica y ambiental atmosférica</t>
  </si>
  <si>
    <t>DESARROLLO E IMPLEMENTACIÓN DE HERRAMIENTAS Y METODOLOGÍAS METEOROLÓGICAS Y AMBIENTAL ATMOSFÉRICAS</t>
  </si>
  <si>
    <t>DOCUMENTO TECNICO</t>
  </si>
  <si>
    <t>Actualización del Plan de Capacitación en el marco de los proyectos regionales de cooperación</t>
  </si>
  <si>
    <t>DOCUMETO TÉCNICO</t>
  </si>
  <si>
    <t>DIFUSIÓN DE PRODUCTOS Y SERVICIOS DE LA DMA DEL SENAMHI</t>
  </si>
  <si>
    <t>Asesoramiento técnico a usuarios públicos y privados, y atención a los medios de comunicación, delegaciones, y otros - SEA</t>
  </si>
  <si>
    <t>VIGILANCIA DE CALIDAD DEL AIRE</t>
  </si>
  <si>
    <t>Coordinación técnica para el Monitoreo ambiental en Loreto</t>
  </si>
  <si>
    <t>Diagnostico de la Estación de la Vigilancia Atmosférica Marcapomacocha</t>
  </si>
  <si>
    <t>DOCUMENTO TÉCNICO</t>
  </si>
  <si>
    <t>DIFUSIÓN DE INFORMACIÓN DE VIGILANCIA Y PRONÓSTICO DE CALIDAD DEL AIRE</t>
  </si>
  <si>
    <t>INSTITUCION</t>
  </si>
  <si>
    <t>Difusión de información de vigilancia y pronóstico de calidad del aire</t>
  </si>
  <si>
    <t>INSTITUCIÓN</t>
  </si>
  <si>
    <t>ELABORACIÓN DE ESTUDIOS DE CALIDAD DEL AIRE ELABORADOS PARA LA CARACTERIZACIÓN DE LOS CONTAMINANTES ATMOSFÉRICOS</t>
  </si>
  <si>
    <t>ESTUDIO</t>
  </si>
  <si>
    <t>Elaboración de estudios para la caracterización de las variables ambientales atmosféricas - Parte 1</t>
  </si>
  <si>
    <t>ELABORACIÓN DE INVESTIGACIONES DE CALIDAD DEL AIRE</t>
  </si>
  <si>
    <t>INVESTIGACION</t>
  </si>
  <si>
    <t xml:space="preserve">Elaboración de investigaciones sobre la influencia del tránsito vehicular en la calidad del aire - Parte 1 </t>
  </si>
  <si>
    <t>INVESTIGACIÓN</t>
  </si>
  <si>
    <t>Elaboración de Notas Técnicas y/o Protocolos en ambiental atmosferico</t>
  </si>
  <si>
    <t>Elaboración de opiniones técnicas a estudios sobre Modelamiento de Dispersión de Contaminantes Atmosféricos</t>
  </si>
  <si>
    <t>ELABORACIÓN DE PRONÓSTICOS DE CALIDAD DEL AIRE</t>
  </si>
  <si>
    <t>Elaboración de pronóstico de calidad del aire y su verificación</t>
  </si>
  <si>
    <t>PRONÓSTICO</t>
  </si>
  <si>
    <t>ELABORACIÓN DE ESTUDIOS PARA GESTIÓN DE RIESGO DE DESASTRES - SEA</t>
  </si>
  <si>
    <t>Elaboración del estudios para la provisión de información de radiación - Parte 1</t>
  </si>
  <si>
    <t>Monitoreo de condiciones ambientales atmosféricas asociados a la ocurrencia de incendios urbanos y forestales</t>
  </si>
  <si>
    <t>VIGILANCIA METEOROLÓGICA, CLIMÁTICA Y AMBIENTAL ATMOSFÉRICA</t>
  </si>
  <si>
    <t>Monitoreo de la atmósfera global</t>
  </si>
  <si>
    <t>Monitoreo de la calidad de agua de lluvia</t>
  </si>
  <si>
    <t>Monitoreo de la calidad del aire</t>
  </si>
  <si>
    <t>MONITOREO DE LA CALIDAD DEL AIRE EN EL DISTRITO DE MARCAPOMACOCHA</t>
  </si>
  <si>
    <t>Monitoreo de la calidad del aire en el distrito de Marcapomacocha</t>
  </si>
  <si>
    <t>Monitoreo de la capa de ozono</t>
  </si>
  <si>
    <t>Monitoreo de radiación ultravioleta</t>
  </si>
  <si>
    <t>ASESORAMIENTO Y PARTICIPACIÓN TÉCNICA CIENTÍFICA EN ASUNTOS METEOROLÓGICOS, CLIMÁTICOS Y AMBIENTALES ATMOSFÉRICOS, NACIONALES E INTERNACIONALES</t>
  </si>
  <si>
    <t>Participación técnica científica en asuntos meteorológicos, climáticos y ambientales atmosféricos, nacionales e internacionales (OMM, otros) SEA</t>
  </si>
  <si>
    <t>GENERACIÓN DE PRODUCTOS Y SERVICIOS METEOROLÓGICOS, CLIMÁTICOS Y AMBIENTAL ATMOSFÉRICOS A MEDIDA</t>
  </si>
  <si>
    <t>Provisión de productos y servicios a través de convenios de cooperación interinstitucional en temas ambientales atmosféricos</t>
  </si>
  <si>
    <t>Provisión de productos y servicios mejorados para usuarios públicos y privados - SEA</t>
  </si>
  <si>
    <t>Reporte de operatividad y calibración de espectrofotómetro Dobson en Marcapomacocha</t>
  </si>
  <si>
    <t>Vigilancia Ambiental Atmosférica con imágenes satelitales</t>
  </si>
  <si>
    <t>Asesoramiento técnico a usuarios públicos y privados, y atención a los medios de comunicación, delegaciones, y otros - SMN</t>
  </si>
  <si>
    <t>MODELIZACIÓN NUMÉRICA METEOROLÓGICA, CLIMÁTICA Y AMBIENTAL ATMOSFÉRICA Y CAMBIO CLIMÁTICO</t>
  </si>
  <si>
    <t>Implementación de la asimilación de datos en el modelo WRF utilizando informacion de sondajes y/o satelite.</t>
  </si>
  <si>
    <t>Evaluación del modelo numérico MPAS-Atmosphere para la predicción operativa del tiempo</t>
  </si>
  <si>
    <t>Atención de requerimientos de usuarios públicos y privados - SMN</t>
  </si>
  <si>
    <t>Predicción de tiempo atmosférico usando modelos de inteligencia artificial.</t>
  </si>
  <si>
    <t>REPORTE TÉCNICO</t>
  </si>
  <si>
    <t>ELABORACIÓN DE ESTUDIOS DE CAMBIO CLIMÁTICO</t>
  </si>
  <si>
    <t>Escenarios de cambios climatico en 4 regiones del pais proyectados al 2050 y 2100: una evaluación multi-escenario.</t>
  </si>
  <si>
    <t>Analisis de fuente de incertidumbres de escenarios de cambio climatico para modelos CMIP6 y calculo de Tiempo de Emergencia (TOE)</t>
  </si>
  <si>
    <t>ELABORACIÓN DE ESTUDIOS PARA GESTIÓN DE RIESGO DE DESASTRES - SMN</t>
  </si>
  <si>
    <t>Impacto de cambio climático en las cordilleras centrales en los escenarios SSP2-4.5 y el SSP5-8.5</t>
  </si>
  <si>
    <t>Actualización de las tendencias e índices de extremos climáticos histórico y proyectado</t>
  </si>
  <si>
    <t>Actualización de los lineamientos sobre el uso de los escenarios de cambio climático.</t>
  </si>
  <si>
    <t>DESARROLLO E IMPLEMENTACIÓN DE HERRAMIENTAS DE MODELIZACIÓN NUMÉRICA CON FINES DE ALERTA TEMPRANA</t>
  </si>
  <si>
    <t>Evaluación sistemática del desempeño de los modelos globales y regionales del clima estacional.</t>
  </si>
  <si>
    <t xml:space="preserve"> Capacitación sobre asimilación de datos de radar</t>
  </si>
  <si>
    <t xml:space="preserve"> Capacitación en climatología sinóptica</t>
  </si>
  <si>
    <t>Modelamiento numérico de escenarios climáticos de largo plazo en el domino CORDEX</t>
  </si>
  <si>
    <t>Uso del modelo WRFCHEM para el cálculo de IUV.</t>
  </si>
  <si>
    <t>Modelamiento numérico operacional del clima</t>
  </si>
  <si>
    <t>Modelamiento numérico operacional del tiempo</t>
  </si>
  <si>
    <t>ASESORAMIENTO Y PARTICIPACIÓN TÉCNICA CIENTÍFICA EN ASUNTOS METEOROLÓGICOS, CLIMÁTICOS Y AMBIENTALES, NACIONALES E INTERNACIONALES</t>
  </si>
  <si>
    <t>Participación técnica científica en asuntos meteorológicos, climáticos y ambientales, nacionales e internacionales (OMM, otros) SMN</t>
  </si>
  <si>
    <t>MODELIZACIÓN NUMÉRICA DE DISPERSIÓN DE CENIZAS VOLCÁNICAS</t>
  </si>
  <si>
    <t>REPORTE TECNICO</t>
  </si>
  <si>
    <t>Predicción numérica de la dispersión de cenizas volcánicas</t>
  </si>
  <si>
    <t>GENERACIÓN DE PRODUCTOS Y SERVICIOS DEL TIEMPO Y CLIMA BASADOS EN MODELAMIENTO ATMOSFÉRICO PARA FINES DE ALERTA TEMPRANA</t>
  </si>
  <si>
    <t>Implementación  del modelo de predicción Océano-Tierra-Atmósfera MONAN</t>
  </si>
  <si>
    <t>Provisión de productos y servicios mejorados para usuarios públicos y privados - SMN</t>
  </si>
  <si>
    <t>Reuniones técnicas con usuarios sectoriales en el marco de foros u otros mecanismos de interfaz - SMN</t>
  </si>
  <si>
    <t>PROYECTO ENANDES (PERU):  2.5 Dar respuesta a los diversos requisitos del Marco Nacional para los Servicios Climáticos</t>
  </si>
  <si>
    <t>2.5.4 a) Diseño e implementación de interacciones estructuradas para el Diseño del Plan Estratégico de un MNSC</t>
  </si>
  <si>
    <t>DOCUMENTO</t>
  </si>
  <si>
    <t>PROYECTO ENANDES (PERU): 3.6 Obtener enseñanzas útiles sobre las medidas de adaptación a escala local gracias a un proceso dinámico de trazabilidad del proyecto.</t>
  </si>
  <si>
    <t>3.6.5 a) Evaluación de la Línea de Salida de los Indicadores propuestos</t>
  </si>
  <si>
    <t>3.6.5 b)Talleres de Cierre</t>
  </si>
  <si>
    <t>3.6.6 a) Documentos Técnicos sobre el proyecto</t>
  </si>
  <si>
    <t>PROYECTO ENANDES+ (PERU): MEJORAMIENTO DE LA CARACTERIZACIÓN Y COMUNICACIÓN DE LOS ESTADOS  HISTÓRICOS Y RECIENTES DE AMENAZAS HIDROCLIMÁTICAS</t>
  </si>
  <si>
    <t>1.2.1.b) Codiseño de servicios TAC asociados a incendios forestales y sequías en el Altiplano</t>
  </si>
  <si>
    <t>INFORME TÉCNICO</t>
  </si>
  <si>
    <t>1.2.1.d) Publicación de artículo científico relacionado a incendios forestales e índices de sequías</t>
  </si>
  <si>
    <t>1.2.2.a) Actualización de la caracterización climática en la región Puno</t>
  </si>
  <si>
    <t>PROYECTO ENANDES+ (PERU): CODISEÑO DE PLANES Y ACCIONES DE PREPARACIÓN Y ADAPTACIÓN ADECUADOS A CONTEXTOS LOCALES PARA REDUCIR LOS IMPACTOS NEGATIVOS DE LA VARIABILIDAD Y EL CAMBIO CLIMÁTICO</t>
  </si>
  <si>
    <t>3.3.2.a) Identificar y sistematizar prácticas locales que utilicen servicios TAC (sequias e IF) en Puno</t>
  </si>
  <si>
    <t>PROYECTO ENANDES+ (PERU): MEJORAMIENTO DE LA PRODUCCIÓN Y DIFUSIÓN DE PREDICCIONES  SUBESTACIONALES A ESTACIONALES (S2S) DEL CLIMA REGIONAL Y LAS CONDICIONES HIDROLÓGICAS</t>
  </si>
  <si>
    <t>1.3.2.a) Codiseño y mejora del IDESEP para hacer interoperable los pronósticos semanales (S2S)</t>
  </si>
  <si>
    <t>PROYECTO ENANDES+ (PERU): MEJORAMIENTO DE LA ACCESIBILIDAD, LA COMPRENSIÓN Y EL USO DE LA INFORMACIÓN TAC PARA LA GESTIÓN DE RIESGOS HIDROCLIMÁTICOS Y LA ADAPTACIÓN ENTRE ACTORES Y COMUNIDADES LOCALES - DMA</t>
  </si>
  <si>
    <t xml:space="preserve">3.2.2.c) Facilitación local para la implementación de espacios de diálogo sobre servicios TAC en el Rímac </t>
  </si>
  <si>
    <t xml:space="preserve">3.3.3.a) Proponer un prototipo de servicio TAC en Puno </t>
  </si>
  <si>
    <t>PROYECTO ENANDES+ (PERU): SEGUIMIENTO ACTIVO DEL PROYECTO PARA PROPORCIONAR LECCIONES ÚTILES SOBRE LAS ACCIONES DE ADAPTACIÓN LOCALES</t>
  </si>
  <si>
    <t xml:space="preserve">3.5.3.a) Seguimiento de indicadores del proyecto </t>
  </si>
  <si>
    <t xml:space="preserve">3.5.4.a) Reporte de condiciones habilitantes que aportan a la implementación de medidas de adaptación al CC </t>
  </si>
  <si>
    <t>PROYECTO ENANDES+ (PERU): DESARROLLO E IMPLEMENTACIÓN DE UN PLAN DE CAPACITACIÓN PARA SUBSANAR BRECHAS DE CAPACIDADES HUMANAS</t>
  </si>
  <si>
    <t>4.1.1.a) Coordinación y seguimiento de las actividades relacionadas con el SST</t>
  </si>
  <si>
    <t>4.1.1.b) Coordinación del SST SEB con los equipos de los SMHNs y los CRCs</t>
  </si>
  <si>
    <t>PROYECTO ENANDES+ (PERU): COORDINACIÓN REGIONAL PARA LA ACTUALIZACIÓN DE SISTEMAS NACIONALES DE GESTIÓN DE DATOS CLIMÁTICOS E HIDROLÓGICOS Y BASES DE DATOS REGIONALES INTEROPERABLES</t>
  </si>
  <si>
    <t>4.2.1.a) Coordinación NUREX: articulación interna y reuniones de trabajo con los equipos de las SMHN y CRC</t>
  </si>
  <si>
    <t>PROYECTO ENANDES+ (PERU): FORTALECIMIENTO DE LAS CAPACIDADES NACIONALES DE MONITOREO Y PREDICCIÓN DEL CLIMA</t>
  </si>
  <si>
    <t>4.3.1.c) Generación de servicios TAC</t>
  </si>
  <si>
    <t xml:space="preserve">4.3.2.a) Complementar APP de SENAMHI con pronostico S2S </t>
  </si>
  <si>
    <t>PROYECTO ENANDES+ (PERU): FORTALECIMIENTO DE LAS CAPACIDADES DE PRODUCCIÓN Y DIFUSIÓN, Y LA ADOPCIÓN DE SERVICIOS TAC</t>
  </si>
  <si>
    <t>4.4.1.c) Socialización de resultados en evento de presentación de estudios SEB de los SMHN y compartir resultados (workshop final)</t>
  </si>
  <si>
    <t>4.4.1.d) Publicación de estudio SEB (diseño y diagramación)</t>
  </si>
  <si>
    <t>4.4.2.a) Informe de sistematización de buenas prácticas y lecciones aprendidas sobre los servicios TAC</t>
  </si>
  <si>
    <t>PROYECTO ENANDES+ (PERU): CONVOCAR O ESTABLECER GRUPOS DE TRABAJO TÉCNICOS REGIONALES</t>
  </si>
  <si>
    <t>4.5.2.b) Gestión de seguimiento administrativo nacional y regional</t>
  </si>
  <si>
    <t>4.5.3.b) Taller de seguimiento de la articulación de los GT, Proyectos, CRC Y CRF, evaluación</t>
  </si>
  <si>
    <t>PROYECTO ENANDES+ (CRF): MEJORAMIENTO Y ACTUALIZACIÓN DE LOS SISTEMAS NACIONALES DE GESTIÓN DE DATOS CLIMÁTICOS E HIDROLÓGICOS</t>
  </si>
  <si>
    <t>1.1.4.a) Curso-taller: Guía para la formulación de una Estrategia Nacional de Observación y Plan Nacional WIGOS</t>
  </si>
  <si>
    <t>PROYECTO ENANDES+ (CRF): MEJORAMIENTO DE LA PRODUCCIÓN Y DIFUSIÓN DE PREDICCIONES  SUBESTACIONALES A ESTACIONALES (S2S) DEL CLIMA REGIONAL Y LAS CONDICIONES HIDROLÓGICAS</t>
  </si>
  <si>
    <t>1.3.4.b) Curso taller: Aplicación de IA para la predicción climática</t>
  </si>
  <si>
    <t>1.3.4.c) Curso_taller: Downscaling para S2S / visualización IA</t>
  </si>
  <si>
    <t>1.3.4.e) Estrategia nacional de observación e incorporación de terceros en la red del Servicio Hidrometeorológico</t>
  </si>
  <si>
    <t>PROYECTO ENANDES+ (CRF): DESARROLLO DE ESTRATEGIAS APROPIADAS PARA LA COMUNICACIÓN DE LA INFORMACIÓN TAC</t>
  </si>
  <si>
    <t>2.4.3.b) Participación en eventos de capacitación (congresos, seminarios, etc) y/o taller de proyecto</t>
  </si>
  <si>
    <t>2.4.3.c) SST MTA</t>
  </si>
  <si>
    <t xml:space="preserve">2.4.3.d) Seguimiento Técnico, recopilación de la información </t>
  </si>
  <si>
    <t>PROYECTO ENANDES+ (CRF): MEJORAMIENTO DE LA ACCESIBILIDAD, LA COMPRENSIÓN Y EL USO DE LA INFORMACIÓN TAC PARA LA GESTIÓN DE RIESGOS HIDROCLIMÁTICOS Y LA ADAPTACIÓN ENTRE ACTORES Y COMUNIDADES LOCALES</t>
  </si>
  <si>
    <t xml:space="preserve">3.2.1.a) Curso-taller: Comunicación efectiva </t>
  </si>
  <si>
    <t>PROYECTO ENANDES+ (CRF): EVALUACIÓN DEL USO Y LOS BENEFICIOS SOCIOECONÓMICOS DE LAS ACCIONES DE DEMOSTRACIÓN DE ADAPTACIÓN DE ENANDES/BRAVA.</t>
  </si>
  <si>
    <t>3.4.3.c) Capacitación en uso de softwares para procesamiento de información para SEB (virtual y/o presencial)</t>
  </si>
  <si>
    <t>3.4.3.e) Apoyo a la investigación de la PIU con enfoque intercultural</t>
  </si>
  <si>
    <t>PROYECTO ENANDES+ (CRF): DESARROLLO E IMPLEMENTACIÓN DE UN PLAN DE CAPACITACIÓN PARA SUBSANAR BRECHAS DE CAPACIDADES HUMANAS</t>
  </si>
  <si>
    <t>4.1.4.a) Evaluación de los esfuerzos de capacitación</t>
  </si>
  <si>
    <t>PROYECTO ENANDES+ (CRF): REALIZAR ACTIVIDADES DE COORDINACIÓN REGIONAL PARA APOYAR LA ACTUALIZACIÓN DE LOS SISTEMAS NACIONALES DE GESTIÓN DE DATOS CLIMÁTICOS E HIDROLÓGICOS Y BASES DE DATOS REGIONALES INTEROPERABLES</t>
  </si>
  <si>
    <t>4.2.2.a) Curso-taller: Aplicación de Python para el acceso a datos climáticos globales o regionales (OMM)</t>
  </si>
  <si>
    <t>4.2.2.b) Diseminación de "Peruvian Interpolated data of the SENAMHI’s Climatological and hydrological Observations" (PISCO) (SST_Ecuador)</t>
  </si>
  <si>
    <t>4.2.2.c) Diseminación de InterPGrads</t>
  </si>
  <si>
    <t>PROYECTO ENANDES+ (CRF): FORTALECIMIENTO DE LAS CAPACIDADES DE PRODUCCIÓN Y DIFUSIÓN, Y LA ADOPCIÓN DE SERVICIOS TAC</t>
  </si>
  <si>
    <t xml:space="preserve">4.4.1.a) Sistematización de experiencias SEB </t>
  </si>
  <si>
    <t>ELABORACIÓN DE ESTUDIOS PARA GESTIÓN DE RIESGO DE DESASTRES SPC</t>
  </si>
  <si>
    <t xml:space="preserve"> Informe asociados a los temas de pronosticos S2S </t>
  </si>
  <si>
    <t>Asesoramiento técnico a usuarios públicos y privados, y atención a los medios de comunicación, delegaciones, y otros - SPC</t>
  </si>
  <si>
    <t>Atención de requerimientos de usuarios públicos y privados - SPC</t>
  </si>
  <si>
    <t>Briefing y Foros climáticos virtuales para sectores</t>
  </si>
  <si>
    <t>ELABORACIÓN DE ESTUDIOS DE CLIMA Y VARIABILIDAD CLIMÁTICA</t>
  </si>
  <si>
    <t xml:space="preserve">Atlas de heladas meteorologicas fase 1" </t>
  </si>
  <si>
    <t>Estudio de machine Learnig para predicción de lluvias  a nivel nacional.</t>
  </si>
  <si>
    <t>Elaboración de Notas Técnicas y/o Protocolos en la implementación de PISAC</t>
  </si>
  <si>
    <t>Elaboración de Notas Técnicas y/o Protocolos en la implementación de ISPI-FASE 2</t>
  </si>
  <si>
    <t>Elaboración de Notas Técnicas y/o Protocolos en vigilancia de XTRIM actualizada -eventos extremos,</t>
  </si>
  <si>
    <t>ELABORACIÓN DE PRONÓSTICOS METEOROLÓGICOS, CLIMÁTICOS Y AMBIENTAL ATMOSFÉRICOS - SPC</t>
  </si>
  <si>
    <t>PRONOSTICO</t>
  </si>
  <si>
    <t>Elaboración de pronóstico climático nacional (SPC)</t>
  </si>
  <si>
    <t>VIGILANCIA Y MONITOREO METEOROLÓGICO Y CLIMÁTICO DEL FENÓMENO EL NIÑO</t>
  </si>
  <si>
    <t>Elaboración de pronóstico extendido de lluvias (escenarios de lluvia) (SPC)</t>
  </si>
  <si>
    <t>Elaboración de un video para la difusion de condiciones asociadas a El Niño/La Niña</t>
  </si>
  <si>
    <t>VIDEO</t>
  </si>
  <si>
    <t>Elaboración del pronóstico subestacional (semanal y mensual) a nivel nacional</t>
  </si>
  <si>
    <t>Generación de mapas climáticos (SPC)</t>
  </si>
  <si>
    <t>MAPA</t>
  </si>
  <si>
    <t>Monitoreo climático (nacional, costero, coyuntural, etc.)</t>
  </si>
  <si>
    <t>BOLETIN</t>
  </si>
  <si>
    <t>Monitoreo de las condiciones atmosféricas en el contexto del FEN (SPC)</t>
  </si>
  <si>
    <t>Monitoreo de sequías meteorológicas (SPC)</t>
  </si>
  <si>
    <t>Participación técnica científica en asuntos meteorológicos, climáticos y ambientales, nacionales e internacionales (OMM, otros) SPC</t>
  </si>
  <si>
    <t>Reuniones técnicas con usuarios sectoriales en el marco de foros u otros mecanismos de interfaz - SPC</t>
  </si>
  <si>
    <t>Sistematización de eventos extremos a nivel nacional (SPC)</t>
  </si>
  <si>
    <t>Verificación de pronóstico climático</t>
  </si>
  <si>
    <t>Vigilancia y estado del clima a nivel nacional</t>
  </si>
  <si>
    <t>Asesoramiento técnico a usuarios públicos y privados, y atención a los medios de comunicación, delegaciones, y otros - SPM</t>
  </si>
  <si>
    <t>Atención de requerimientos de usuarios públicos y privados - SPM</t>
  </si>
  <si>
    <t>GENERACIÓN DE PRODUCTOS Y SERVICIOS METEOROLÓGICOS, CLIMÁTICOS Y AMBIENTAL ATMOSFÉRICOS DE INCENDIOS FORESTALES A MEDIDA</t>
  </si>
  <si>
    <t>Avisos de condiciones atmosféricas de incendios forestales.</t>
  </si>
  <si>
    <t>ELABORACIÓN DE PRONÓSTICOS METEOROLÓGICOS, CLIMÁTICOS Y AMBIENTAL ATMOSFÉRICOS - SPM</t>
  </si>
  <si>
    <t>Avisos meteorológicos nacionales</t>
  </si>
  <si>
    <t>Briefing meteorológico</t>
  </si>
  <si>
    <t>Elaboración de aviso/pronóstico de precipitaciones de corto plazo (24 horas)</t>
  </si>
  <si>
    <t>Elaboración de Notas Técnicas y/o Protocolos en meteorología-SPM</t>
  </si>
  <si>
    <t>Elaboración de pronóstico del tiempo</t>
  </si>
  <si>
    <t>Elaboración de pronósticos inmediatos (nowcasting)</t>
  </si>
  <si>
    <t>ELABORACIÓN DE ESTUDIOS PARA GESTIÓN DE RIESGO DE DESASTRES - SPM</t>
  </si>
  <si>
    <t>Elaboración del estudio: identificación de capa límite en Lima- Parte I (borrador)</t>
  </si>
  <si>
    <t>Generación de datos e imágenes resultantes de sensoramiento remoto (SPM)</t>
  </si>
  <si>
    <t>Monitoreo diario de variables meteorológicas y umbrales</t>
  </si>
  <si>
    <t>Monitoreo y pronóstico de condiciones atmosféricas favorables a indencios forestales.</t>
  </si>
  <si>
    <t>BOLETÍN</t>
  </si>
  <si>
    <t>Monitoreo y pronóstico semanal de precipitación o temperatura (SPM)</t>
  </si>
  <si>
    <t>Participación técnica científica en asuntos meteorológicos, climáticos y ambientales, nacionales e internacionales (OMM, otros) SPM</t>
  </si>
  <si>
    <t>ELABORACIÓN DE PRONÓSTICOS METEOROLÓGICOS, CLIMÁTICOS Y AMBIENTAL ATMOSFÉRICOS DE PELIGRO VOLCÁNICO</t>
  </si>
  <si>
    <t>Pronóstico a corto plazo sobre condiciones meteorológicas de zonas de actividad volcánica - SPM</t>
  </si>
  <si>
    <t>Provisión de productos y servicios mejorados para usuarios públicos y privados - SPM</t>
  </si>
  <si>
    <t>Reuniones técnicas con usuarios sectoriales en el marco de foros u otros mecanismos de interfaz - SPM</t>
  </si>
  <si>
    <t>Verificación de pronósticos tiempo</t>
  </si>
  <si>
    <t>VIGILANCIA METEOROLÓGICA CON FINES DE ALERTA TEMPRANA EN EL COEN</t>
  </si>
  <si>
    <t>Vigilancia meteorológica con fines de alerta temprana en el COEN</t>
  </si>
  <si>
    <t>VIGILANCIA METEOROLÓGICA CON FINES DE ALERTA TEMPRANA EN EL MARCO DEL FENÓMENO EL NIÑO</t>
  </si>
  <si>
    <t>Vigilancia meteorológica con fines de alerta temprana en el marco del Fenómeno El Niño</t>
  </si>
  <si>
    <t>Vigilancia sinoptica</t>
  </si>
  <si>
    <t>DMA</t>
  </si>
  <si>
    <t>Tematica</t>
  </si>
  <si>
    <t>Gestión de desastres</t>
  </si>
  <si>
    <t>Modelización numérica</t>
  </si>
  <si>
    <t>Elaboración de pronósticos meteorológicos, climáticos y ambientales atmosféricos</t>
  </si>
  <si>
    <t>Gestión de cumplimiento de objetivos y metas</t>
  </si>
  <si>
    <t>Asesoramiento y participación técnica científica</t>
  </si>
  <si>
    <t>HERRAMIENTAS Y METODOLOGÍAS METEOROLÓGICAS Y AMBIENTAL ATMOSFÉRICAS</t>
  </si>
  <si>
    <t>Enandes+</t>
  </si>
  <si>
    <t>Difusión de productos y servicios</t>
  </si>
  <si>
    <t>Productos y servicios</t>
  </si>
  <si>
    <t>Vigilancia Meteorológica</t>
  </si>
  <si>
    <t>Calidad del aire</t>
  </si>
  <si>
    <t>Escenarios de Cambio Climático</t>
  </si>
  <si>
    <t>Clima y variabilidad climática</t>
  </si>
  <si>
    <t>Enandes</t>
  </si>
  <si>
    <t>SEA</t>
  </si>
  <si>
    <t>SMN</t>
  </si>
  <si>
    <t>SPC</t>
  </si>
  <si>
    <t>SPM</t>
  </si>
  <si>
    <t>ENANDES</t>
  </si>
  <si>
    <t>ENANDES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</si>
</sst>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scheme val="minor"/>
    </font>
    <font>
      <sz val="11"/>
      <color theme="1"/>
      <name val="Aptos Narrow"/>
    </font>
    <font>
      <sz val="9"/>
      <color theme="0"/>
      <name val="Arial"/>
    </font>
    <font>
      <sz val="9"/>
      <color rgb="FFFFFFFF"/>
      <name val="Arial"/>
    </font>
    <font>
      <sz val="9"/>
      <color theme="1"/>
      <name val="Arial"/>
    </font>
    <font>
      <b/>
      <sz val="9"/>
      <color theme="1"/>
      <name val="Arial"/>
    </font>
    <font>
      <b/>
      <sz val="9"/>
      <color rgb="FFFF0000"/>
      <name val="Arial"/>
    </font>
    <font>
      <sz val="9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9"/>
      <color theme="0"/>
      <name val="Arial"/>
      <family val="2"/>
    </font>
    <font>
      <sz val="9"/>
      <color rgb="FF000000"/>
      <name val="Arial"/>
      <family val="2"/>
    </font>
    <font>
      <b/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6666"/>
        <bgColor rgb="FF006666"/>
      </patternFill>
    </fill>
    <fill>
      <patternFill patternType="solid">
        <fgColor rgb="FF0B769F"/>
        <bgColor rgb="FF0B769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92D050"/>
        <bgColor rgb="FF006666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4" fontId="6" fillId="4" borderId="1" xfId="0" applyNumberFormat="1" applyFont="1" applyFill="1" applyBorder="1" applyAlignment="1">
      <alignment horizontal="left" vertical="center" wrapText="1"/>
    </xf>
    <xf numFmtId="4" fontId="6" fillId="4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" fillId="5" borderId="2" xfId="0" applyFont="1" applyFill="1" applyBorder="1"/>
    <xf numFmtId="4" fontId="1" fillId="0" borderId="0" xfId="0" applyNumberFormat="1" applyFont="1"/>
    <xf numFmtId="0" fontId="11" fillId="0" borderId="1" xfId="0" applyFont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4" fontId="0" fillId="0" borderId="0" xfId="0" applyNumberFormat="1"/>
    <xf numFmtId="0" fontId="4" fillId="7" borderId="1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0" fillId="7" borderId="0" xfId="0" applyFill="1"/>
    <xf numFmtId="4" fontId="2" fillId="9" borderId="1" xfId="0" applyNumberFormat="1" applyFont="1" applyFill="1" applyBorder="1" applyAlignment="1">
      <alignment horizontal="center" vertical="center" wrapText="1"/>
    </xf>
    <xf numFmtId="4" fontId="1" fillId="12" borderId="0" xfId="0" applyNumberFormat="1" applyFont="1" applyFill="1"/>
    <xf numFmtId="0" fontId="0" fillId="12" borderId="0" xfId="0" applyFill="1"/>
    <xf numFmtId="0" fontId="0" fillId="0" borderId="0" xfId="0" applyAlignment="1">
      <alignment horizontal="left"/>
    </xf>
    <xf numFmtId="0" fontId="4" fillId="4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5" borderId="1" xfId="0" applyNumberFormat="1" applyFont="1" applyFill="1" applyBorder="1" applyAlignment="1">
      <alignment horizontal="center" vertical="center" wrapText="1"/>
    </xf>
    <xf numFmtId="0" fontId="5" fillId="10" borderId="1" xfId="0" applyNumberFormat="1" applyFont="1" applyFill="1" applyBorder="1" applyAlignment="1">
      <alignment horizontal="center" vertical="center" wrapText="1"/>
    </xf>
    <xf numFmtId="0" fontId="5" fillId="4" borderId="1" xfId="0" applyNumberFormat="1" applyFont="1" applyFill="1" applyBorder="1" applyAlignment="1">
      <alignment horizontal="center" vertical="center" wrapText="1"/>
    </xf>
    <xf numFmtId="0" fontId="6" fillId="5" borderId="1" xfId="0" applyNumberFormat="1" applyFont="1" applyFill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10" fillId="4" borderId="1" xfId="0" applyNumberFormat="1" applyFont="1" applyFill="1" applyBorder="1" applyAlignment="1">
      <alignment horizontal="center" vertical="center" wrapText="1"/>
    </xf>
    <xf numFmtId="0" fontId="8" fillId="4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center" wrapText="1"/>
    </xf>
    <xf numFmtId="0" fontId="8" fillId="5" borderId="1" xfId="0" applyNumberFormat="1" applyFont="1" applyFill="1" applyBorder="1" applyAlignment="1">
      <alignment horizontal="center" vertical="center" wrapText="1"/>
    </xf>
    <xf numFmtId="0" fontId="9" fillId="10" borderId="1" xfId="0" applyNumberFormat="1" applyFont="1" applyFill="1" applyBorder="1" applyAlignment="1">
      <alignment horizontal="center" vertical="center" wrapText="1"/>
    </xf>
    <xf numFmtId="0" fontId="6" fillId="10" borderId="1" xfId="0" applyNumberFormat="1" applyFont="1" applyFill="1" applyBorder="1" applyAlignment="1">
      <alignment horizontal="center" vertical="center" wrapText="1"/>
    </xf>
    <xf numFmtId="0" fontId="6" fillId="8" borderId="1" xfId="0" applyNumberFormat="1" applyFont="1" applyFill="1" applyBorder="1" applyAlignment="1">
      <alignment horizontal="center" vertical="center" wrapText="1"/>
    </xf>
    <xf numFmtId="0" fontId="6" fillId="7" borderId="1" xfId="0" applyNumberFormat="1" applyFont="1" applyFill="1" applyBorder="1" applyAlignment="1">
      <alignment horizontal="center" vertical="center" wrapText="1"/>
    </xf>
    <xf numFmtId="0" fontId="4" fillId="8" borderId="1" xfId="0" applyNumberFormat="1" applyFont="1" applyFill="1" applyBorder="1" applyAlignment="1">
      <alignment horizontal="center" vertical="center" wrapText="1"/>
    </xf>
    <xf numFmtId="0" fontId="4" fillId="7" borderId="1" xfId="0" applyNumberFormat="1" applyFont="1" applyFill="1" applyBorder="1" applyAlignment="1">
      <alignment horizontal="center" vertical="center" wrapText="1"/>
    </xf>
    <xf numFmtId="0" fontId="5" fillId="8" borderId="1" xfId="0" applyNumberFormat="1" applyFont="1" applyFill="1" applyBorder="1" applyAlignment="1">
      <alignment horizontal="center" vertical="center" wrapText="1"/>
    </xf>
    <xf numFmtId="0" fontId="4" fillId="6" borderId="1" xfId="0" applyNumberFormat="1" applyFont="1" applyFill="1" applyBorder="1" applyAlignment="1">
      <alignment horizontal="center" vertical="center" wrapText="1"/>
    </xf>
    <xf numFmtId="0" fontId="5" fillId="11" borderId="1" xfId="0" applyNumberFormat="1" applyFont="1" applyFill="1" applyBorder="1" applyAlignment="1">
      <alignment horizontal="center" vertical="center" wrapText="1"/>
    </xf>
    <xf numFmtId="0" fontId="8" fillId="6" borderId="1" xfId="0" applyNumberFormat="1" applyFont="1" applyFill="1" applyBorder="1" applyAlignment="1">
      <alignment horizontal="center" vertical="center" wrapText="1"/>
    </xf>
    <xf numFmtId="0" fontId="6" fillId="6" borderId="1" xfId="0" applyNumberFormat="1" applyFont="1" applyFill="1" applyBorder="1" applyAlignment="1">
      <alignment horizontal="center" vertical="center" wrapText="1"/>
    </xf>
    <xf numFmtId="0" fontId="9" fillId="11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9"/>
  <sheetViews>
    <sheetView tabSelected="1" zoomScale="80" zoomScaleNormal="80" workbookViewId="0">
      <pane ySplit="1" topLeftCell="A78" activePane="bottomLeft" state="frozen"/>
      <selection pane="bottomLeft" activeCell="M138" sqref="M138"/>
    </sheetView>
  </sheetViews>
  <sheetFormatPr baseColWidth="10" defaultColWidth="12.625" defaultRowHeight="15" customHeight="1"/>
  <cols>
    <col min="1" max="1" width="9.5" customWidth="1"/>
    <col min="2" max="3" width="17.125" customWidth="1"/>
    <col min="4" max="4" width="32.5" style="50" customWidth="1"/>
    <col min="5" max="5" width="15.5" customWidth="1"/>
    <col min="6" max="6" width="31" customWidth="1"/>
    <col min="7" max="7" width="12" customWidth="1"/>
    <col min="8" max="8" width="13.375" customWidth="1"/>
    <col min="9" max="20" width="10.75" customWidth="1"/>
    <col min="21" max="21" width="10.75" style="49" customWidth="1"/>
    <col min="22" max="24" width="11.125" customWidth="1"/>
    <col min="25" max="34" width="10.5" customWidth="1"/>
  </cols>
  <sheetData>
    <row r="1" spans="1:34" ht="53.25" customHeight="1">
      <c r="A1" s="1" t="s">
        <v>50</v>
      </c>
      <c r="B1" s="1" t="s">
        <v>0</v>
      </c>
      <c r="C1" s="35" t="s">
        <v>285</v>
      </c>
      <c r="D1" s="1" t="s">
        <v>51</v>
      </c>
      <c r="E1" s="2" t="s">
        <v>52</v>
      </c>
      <c r="F1" s="2" t="s">
        <v>53</v>
      </c>
      <c r="G1" s="1" t="s">
        <v>52</v>
      </c>
      <c r="H1" s="2" t="s">
        <v>54</v>
      </c>
      <c r="I1" s="3" t="s">
        <v>55</v>
      </c>
      <c r="J1" s="4" t="s">
        <v>56</v>
      </c>
      <c r="K1" s="4" t="s">
        <v>57</v>
      </c>
      <c r="L1" s="4" t="s">
        <v>58</v>
      </c>
      <c r="M1" s="4" t="s">
        <v>59</v>
      </c>
      <c r="N1" s="4" t="s">
        <v>60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  <c r="T1" s="4" t="s">
        <v>66</v>
      </c>
      <c r="U1" s="47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</row>
    <row r="2" spans="1:34" ht="62.25" customHeight="1">
      <c r="A2" s="32">
        <v>97</v>
      </c>
      <c r="B2" s="6" t="s">
        <v>10</v>
      </c>
      <c r="C2" s="6" t="s">
        <v>289</v>
      </c>
      <c r="D2" s="7" t="s">
        <v>81</v>
      </c>
      <c r="E2" s="6" t="s">
        <v>82</v>
      </c>
      <c r="F2" s="7" t="s">
        <v>83</v>
      </c>
      <c r="G2" s="6" t="s">
        <v>84</v>
      </c>
      <c r="H2" s="8" t="s">
        <v>284</v>
      </c>
      <c r="I2" s="51">
        <v>0</v>
      </c>
      <c r="J2" s="51">
        <v>1</v>
      </c>
      <c r="K2" s="51">
        <v>0</v>
      </c>
      <c r="L2" s="52">
        <v>1</v>
      </c>
      <c r="M2" s="53">
        <v>0</v>
      </c>
      <c r="N2" s="51">
        <v>1</v>
      </c>
      <c r="O2" s="51">
        <v>0</v>
      </c>
      <c r="P2" s="51">
        <v>1</v>
      </c>
      <c r="Q2" s="51">
        <v>0</v>
      </c>
      <c r="R2" s="51">
        <v>1</v>
      </c>
      <c r="S2" s="51">
        <v>0</v>
      </c>
      <c r="T2" s="51">
        <v>1</v>
      </c>
      <c r="U2" s="54">
        <f t="shared" ref="U2:U33" si="0">SUM(I2:T2)</f>
        <v>6</v>
      </c>
      <c r="V2" s="51">
        <v>0</v>
      </c>
      <c r="W2" s="51">
        <v>1</v>
      </c>
      <c r="X2" s="52">
        <v>0</v>
      </c>
      <c r="Y2" s="52">
        <v>1</v>
      </c>
      <c r="Z2" s="53">
        <v>0</v>
      </c>
      <c r="AA2" s="51">
        <v>0</v>
      </c>
      <c r="AB2" s="51">
        <v>0</v>
      </c>
      <c r="AC2" s="51">
        <v>0</v>
      </c>
      <c r="AD2" s="51">
        <v>0</v>
      </c>
      <c r="AE2" s="51">
        <v>0</v>
      </c>
      <c r="AF2" s="51">
        <v>0</v>
      </c>
      <c r="AG2" s="51">
        <v>0</v>
      </c>
      <c r="AH2" s="55">
        <f t="shared" ref="AH2:AH33" si="1">SUM(V2:AG2)</f>
        <v>2</v>
      </c>
    </row>
    <row r="3" spans="1:34" ht="62.25" customHeight="1">
      <c r="A3" s="32">
        <v>31</v>
      </c>
      <c r="B3" s="6" t="s">
        <v>5</v>
      </c>
      <c r="C3" s="33" t="s">
        <v>289</v>
      </c>
      <c r="D3" s="7" t="s">
        <v>85</v>
      </c>
      <c r="E3" s="6" t="s">
        <v>82</v>
      </c>
      <c r="F3" s="7" t="s">
        <v>86</v>
      </c>
      <c r="G3" s="6" t="s">
        <v>82</v>
      </c>
      <c r="H3" s="8" t="s">
        <v>284</v>
      </c>
      <c r="I3" s="51">
        <v>1</v>
      </c>
      <c r="J3" s="51">
        <v>1</v>
      </c>
      <c r="K3" s="51">
        <v>1</v>
      </c>
      <c r="L3" s="52">
        <v>1</v>
      </c>
      <c r="M3" s="53">
        <v>1</v>
      </c>
      <c r="N3" s="51">
        <v>1</v>
      </c>
      <c r="O3" s="51">
        <v>1</v>
      </c>
      <c r="P3" s="51">
        <v>1</v>
      </c>
      <c r="Q3" s="51">
        <v>1</v>
      </c>
      <c r="R3" s="51">
        <v>1</v>
      </c>
      <c r="S3" s="51">
        <v>1</v>
      </c>
      <c r="T3" s="51">
        <v>1</v>
      </c>
      <c r="U3" s="54">
        <f t="shared" si="0"/>
        <v>12</v>
      </c>
      <c r="V3" s="51">
        <v>1</v>
      </c>
      <c r="W3" s="51">
        <v>1</v>
      </c>
      <c r="X3" s="52">
        <v>1</v>
      </c>
      <c r="Y3" s="52">
        <v>1</v>
      </c>
      <c r="Z3" s="53">
        <v>1</v>
      </c>
      <c r="AA3" s="51">
        <v>0</v>
      </c>
      <c r="AB3" s="51">
        <v>0</v>
      </c>
      <c r="AC3" s="51">
        <v>0</v>
      </c>
      <c r="AD3" s="51">
        <v>0</v>
      </c>
      <c r="AE3" s="51">
        <v>0</v>
      </c>
      <c r="AF3" s="51">
        <v>0</v>
      </c>
      <c r="AG3" s="51">
        <v>0</v>
      </c>
      <c r="AH3" s="55">
        <f t="shared" si="1"/>
        <v>5</v>
      </c>
    </row>
    <row r="4" spans="1:34" ht="62.25" customHeight="1">
      <c r="A4" s="32">
        <v>97</v>
      </c>
      <c r="B4" s="6" t="s">
        <v>10</v>
      </c>
      <c r="C4" s="6" t="s">
        <v>289</v>
      </c>
      <c r="D4" s="7" t="s">
        <v>81</v>
      </c>
      <c r="E4" s="6" t="s">
        <v>82</v>
      </c>
      <c r="F4" s="7" t="s">
        <v>87</v>
      </c>
      <c r="G4" s="6" t="s">
        <v>84</v>
      </c>
      <c r="H4" s="8" t="s">
        <v>284</v>
      </c>
      <c r="I4" s="51">
        <v>0</v>
      </c>
      <c r="J4" s="51">
        <v>0</v>
      </c>
      <c r="K4" s="51">
        <v>0</v>
      </c>
      <c r="L4" s="52">
        <v>0</v>
      </c>
      <c r="M4" s="53">
        <v>0</v>
      </c>
      <c r="N4" s="51">
        <v>1</v>
      </c>
      <c r="O4" s="51">
        <v>0</v>
      </c>
      <c r="P4" s="51">
        <v>0</v>
      </c>
      <c r="Q4" s="51">
        <v>0</v>
      </c>
      <c r="R4" s="51">
        <v>0</v>
      </c>
      <c r="S4" s="51">
        <v>0</v>
      </c>
      <c r="T4" s="51">
        <v>1</v>
      </c>
      <c r="U4" s="54">
        <f t="shared" si="0"/>
        <v>2</v>
      </c>
      <c r="V4" s="51">
        <v>0</v>
      </c>
      <c r="W4" s="51">
        <v>0</v>
      </c>
      <c r="X4" s="52">
        <v>0</v>
      </c>
      <c r="Y4" s="52">
        <v>0</v>
      </c>
      <c r="Z4" s="53">
        <v>0</v>
      </c>
      <c r="AA4" s="51">
        <v>0</v>
      </c>
      <c r="AB4" s="51">
        <v>0</v>
      </c>
      <c r="AC4" s="51">
        <v>0</v>
      </c>
      <c r="AD4" s="51">
        <v>0</v>
      </c>
      <c r="AE4" s="51">
        <v>0</v>
      </c>
      <c r="AF4" s="51">
        <v>0</v>
      </c>
      <c r="AG4" s="51">
        <v>0</v>
      </c>
      <c r="AH4" s="55">
        <f t="shared" si="1"/>
        <v>0</v>
      </c>
    </row>
    <row r="5" spans="1:34" ht="62.25" customHeight="1">
      <c r="A5" s="32">
        <v>31</v>
      </c>
      <c r="B5" s="6" t="s">
        <v>5</v>
      </c>
      <c r="C5" s="33" t="s">
        <v>289</v>
      </c>
      <c r="D5" s="7" t="s">
        <v>85</v>
      </c>
      <c r="E5" s="6" t="s">
        <v>82</v>
      </c>
      <c r="F5" s="7" t="s">
        <v>88</v>
      </c>
      <c r="G5" s="6" t="s">
        <v>84</v>
      </c>
      <c r="H5" s="8" t="s">
        <v>284</v>
      </c>
      <c r="I5" s="51">
        <v>0</v>
      </c>
      <c r="J5" s="51">
        <v>0</v>
      </c>
      <c r="K5" s="51">
        <v>0</v>
      </c>
      <c r="L5" s="52">
        <v>0</v>
      </c>
      <c r="M5" s="53">
        <v>0</v>
      </c>
      <c r="N5" s="51">
        <v>1</v>
      </c>
      <c r="O5" s="51">
        <v>0</v>
      </c>
      <c r="P5" s="51">
        <v>0</v>
      </c>
      <c r="Q5" s="51">
        <v>0</v>
      </c>
      <c r="R5" s="51">
        <v>0</v>
      </c>
      <c r="S5" s="51">
        <v>0</v>
      </c>
      <c r="T5" s="51">
        <v>1</v>
      </c>
      <c r="U5" s="54">
        <f t="shared" si="0"/>
        <v>2</v>
      </c>
      <c r="V5" s="51">
        <v>0</v>
      </c>
      <c r="W5" s="51">
        <v>0</v>
      </c>
      <c r="X5" s="52">
        <v>0</v>
      </c>
      <c r="Y5" s="52">
        <v>0</v>
      </c>
      <c r="Z5" s="53">
        <v>0</v>
      </c>
      <c r="AA5" s="51">
        <v>0</v>
      </c>
      <c r="AB5" s="51">
        <v>0</v>
      </c>
      <c r="AC5" s="51">
        <v>0</v>
      </c>
      <c r="AD5" s="51">
        <v>0</v>
      </c>
      <c r="AE5" s="51">
        <v>0</v>
      </c>
      <c r="AF5" s="51">
        <v>0</v>
      </c>
      <c r="AG5" s="51">
        <v>0</v>
      </c>
      <c r="AH5" s="55">
        <f t="shared" si="1"/>
        <v>0</v>
      </c>
    </row>
    <row r="6" spans="1:34" ht="62.25" customHeight="1">
      <c r="A6" s="32">
        <v>97</v>
      </c>
      <c r="B6" s="6" t="s">
        <v>10</v>
      </c>
      <c r="C6" s="6" t="s">
        <v>289</v>
      </c>
      <c r="D6" s="7" t="s">
        <v>81</v>
      </c>
      <c r="E6" s="6" t="s">
        <v>82</v>
      </c>
      <c r="F6" s="7" t="s">
        <v>89</v>
      </c>
      <c r="G6" s="6" t="s">
        <v>84</v>
      </c>
      <c r="H6" s="8" t="s">
        <v>284</v>
      </c>
      <c r="I6" s="51">
        <v>0</v>
      </c>
      <c r="J6" s="51">
        <v>1</v>
      </c>
      <c r="K6" s="51">
        <v>0</v>
      </c>
      <c r="L6" s="52">
        <v>1</v>
      </c>
      <c r="M6" s="53">
        <v>0</v>
      </c>
      <c r="N6" s="51">
        <v>1</v>
      </c>
      <c r="O6" s="51">
        <v>0</v>
      </c>
      <c r="P6" s="51">
        <v>1</v>
      </c>
      <c r="Q6" s="51">
        <v>0</v>
      </c>
      <c r="R6" s="51">
        <v>1</v>
      </c>
      <c r="S6" s="51">
        <v>0</v>
      </c>
      <c r="T6" s="51">
        <v>1</v>
      </c>
      <c r="U6" s="54">
        <f t="shared" si="0"/>
        <v>6</v>
      </c>
      <c r="V6" s="51">
        <v>0</v>
      </c>
      <c r="W6" s="51">
        <v>1</v>
      </c>
      <c r="X6" s="52">
        <v>0</v>
      </c>
      <c r="Y6" s="52">
        <v>1</v>
      </c>
      <c r="Z6" s="53">
        <v>0</v>
      </c>
      <c r="AA6" s="51">
        <v>0</v>
      </c>
      <c r="AB6" s="51">
        <v>0</v>
      </c>
      <c r="AC6" s="51">
        <v>0</v>
      </c>
      <c r="AD6" s="51">
        <v>0</v>
      </c>
      <c r="AE6" s="51">
        <v>0</v>
      </c>
      <c r="AF6" s="51">
        <v>0</v>
      </c>
      <c r="AG6" s="51">
        <v>0</v>
      </c>
      <c r="AH6" s="55">
        <f t="shared" si="1"/>
        <v>2</v>
      </c>
    </row>
    <row r="7" spans="1:34" ht="62.25" customHeight="1">
      <c r="A7" s="6">
        <v>31</v>
      </c>
      <c r="B7" s="6" t="s">
        <v>7</v>
      </c>
      <c r="C7" s="33" t="s">
        <v>290</v>
      </c>
      <c r="D7" s="7" t="s">
        <v>90</v>
      </c>
      <c r="E7" s="6" t="s">
        <v>91</v>
      </c>
      <c r="F7" s="9" t="s">
        <v>92</v>
      </c>
      <c r="G7" s="6" t="s">
        <v>93</v>
      </c>
      <c r="H7" s="8" t="s">
        <v>284</v>
      </c>
      <c r="I7" s="51">
        <v>0</v>
      </c>
      <c r="J7" s="51">
        <v>0</v>
      </c>
      <c r="K7" s="51">
        <v>0</v>
      </c>
      <c r="L7" s="52">
        <v>0</v>
      </c>
      <c r="M7" s="53">
        <v>0</v>
      </c>
      <c r="N7" s="51">
        <v>1</v>
      </c>
      <c r="O7" s="51">
        <v>0</v>
      </c>
      <c r="P7" s="51">
        <v>0</v>
      </c>
      <c r="Q7" s="51">
        <v>0</v>
      </c>
      <c r="R7" s="51">
        <v>0</v>
      </c>
      <c r="S7" s="51">
        <v>0</v>
      </c>
      <c r="T7" s="51">
        <v>1</v>
      </c>
      <c r="U7" s="54">
        <f t="shared" si="0"/>
        <v>2</v>
      </c>
      <c r="V7" s="51">
        <v>0</v>
      </c>
      <c r="W7" s="51">
        <v>0</v>
      </c>
      <c r="X7" s="52">
        <v>0</v>
      </c>
      <c r="Y7" s="52">
        <v>0</v>
      </c>
      <c r="Z7" s="53">
        <v>0</v>
      </c>
      <c r="AA7" s="51">
        <v>0</v>
      </c>
      <c r="AB7" s="51">
        <v>0</v>
      </c>
      <c r="AC7" s="51">
        <v>0</v>
      </c>
      <c r="AD7" s="51">
        <v>0</v>
      </c>
      <c r="AE7" s="51">
        <v>0</v>
      </c>
      <c r="AF7" s="51">
        <v>0</v>
      </c>
      <c r="AG7" s="51">
        <v>0</v>
      </c>
      <c r="AH7" s="55">
        <f t="shared" si="1"/>
        <v>0</v>
      </c>
    </row>
    <row r="8" spans="1:34" ht="62.25" customHeight="1">
      <c r="A8" s="6">
        <v>34</v>
      </c>
      <c r="B8" s="6" t="s">
        <v>3</v>
      </c>
      <c r="C8" s="33" t="s">
        <v>293</v>
      </c>
      <c r="D8" s="7" t="s">
        <v>94</v>
      </c>
      <c r="E8" s="6" t="s">
        <v>84</v>
      </c>
      <c r="F8" s="10" t="s">
        <v>95</v>
      </c>
      <c r="G8" s="6" t="s">
        <v>82</v>
      </c>
      <c r="H8" s="8" t="s">
        <v>300</v>
      </c>
      <c r="I8" s="51">
        <v>0</v>
      </c>
      <c r="J8" s="51">
        <v>0</v>
      </c>
      <c r="K8" s="51">
        <v>0</v>
      </c>
      <c r="L8" s="52">
        <v>0</v>
      </c>
      <c r="M8" s="53">
        <v>0</v>
      </c>
      <c r="N8" s="51">
        <v>1</v>
      </c>
      <c r="O8" s="51">
        <v>0</v>
      </c>
      <c r="P8" s="51">
        <v>0</v>
      </c>
      <c r="Q8" s="51">
        <v>0</v>
      </c>
      <c r="R8" s="51">
        <v>0</v>
      </c>
      <c r="S8" s="51">
        <v>0</v>
      </c>
      <c r="T8" s="51">
        <v>1</v>
      </c>
      <c r="U8" s="54">
        <f t="shared" si="0"/>
        <v>2</v>
      </c>
      <c r="V8" s="51">
        <v>0</v>
      </c>
      <c r="W8" s="51">
        <v>0</v>
      </c>
      <c r="X8" s="52">
        <v>0</v>
      </c>
      <c r="Y8" s="52">
        <v>0</v>
      </c>
      <c r="Z8" s="53">
        <v>0</v>
      </c>
      <c r="AA8" s="51">
        <v>0</v>
      </c>
      <c r="AB8" s="51">
        <v>0</v>
      </c>
      <c r="AC8" s="51">
        <v>0</v>
      </c>
      <c r="AD8" s="51">
        <v>0</v>
      </c>
      <c r="AE8" s="51">
        <v>0</v>
      </c>
      <c r="AF8" s="51">
        <v>0</v>
      </c>
      <c r="AG8" s="51">
        <v>0</v>
      </c>
      <c r="AH8" s="55">
        <f t="shared" si="1"/>
        <v>0</v>
      </c>
    </row>
    <row r="9" spans="1:34" ht="62.25" customHeight="1">
      <c r="A9" s="6">
        <v>78</v>
      </c>
      <c r="B9" s="6" t="s">
        <v>16</v>
      </c>
      <c r="C9" s="33" t="s">
        <v>296</v>
      </c>
      <c r="D9" s="7" t="s">
        <v>96</v>
      </c>
      <c r="E9" s="6" t="s">
        <v>91</v>
      </c>
      <c r="F9" s="7" t="s">
        <v>97</v>
      </c>
      <c r="G9" s="6" t="s">
        <v>82</v>
      </c>
      <c r="H9" s="8" t="s">
        <v>300</v>
      </c>
      <c r="I9" s="51">
        <v>0</v>
      </c>
      <c r="J9" s="51">
        <v>0</v>
      </c>
      <c r="K9" s="51">
        <v>0</v>
      </c>
      <c r="L9" s="52">
        <v>1</v>
      </c>
      <c r="M9" s="53">
        <v>0</v>
      </c>
      <c r="N9" s="51">
        <v>0</v>
      </c>
      <c r="O9" s="51">
        <v>1</v>
      </c>
      <c r="P9" s="51">
        <v>0</v>
      </c>
      <c r="Q9" s="51">
        <v>0</v>
      </c>
      <c r="R9" s="51">
        <v>1</v>
      </c>
      <c r="S9" s="51">
        <v>0</v>
      </c>
      <c r="T9" s="51">
        <v>0</v>
      </c>
      <c r="U9" s="54">
        <f t="shared" si="0"/>
        <v>3</v>
      </c>
      <c r="V9" s="51">
        <v>0</v>
      </c>
      <c r="W9" s="51">
        <v>0</v>
      </c>
      <c r="X9" s="52">
        <v>0</v>
      </c>
      <c r="Y9" s="52">
        <v>1</v>
      </c>
      <c r="Z9" s="53">
        <v>0</v>
      </c>
      <c r="AA9" s="51">
        <v>0</v>
      </c>
      <c r="AB9" s="51">
        <v>0</v>
      </c>
      <c r="AC9" s="51">
        <v>0</v>
      </c>
      <c r="AD9" s="51">
        <v>0</v>
      </c>
      <c r="AE9" s="51">
        <v>0</v>
      </c>
      <c r="AF9" s="51">
        <v>0</v>
      </c>
      <c r="AG9" s="51">
        <v>0</v>
      </c>
      <c r="AH9" s="55">
        <f t="shared" si="1"/>
        <v>1</v>
      </c>
    </row>
    <row r="10" spans="1:34" ht="62.25" customHeight="1">
      <c r="A10" s="6">
        <v>78</v>
      </c>
      <c r="B10" s="6" t="s">
        <v>16</v>
      </c>
      <c r="C10" s="33" t="s">
        <v>296</v>
      </c>
      <c r="D10" s="7" t="s">
        <v>96</v>
      </c>
      <c r="E10" s="6" t="s">
        <v>91</v>
      </c>
      <c r="F10" s="10" t="s">
        <v>98</v>
      </c>
      <c r="G10" s="6" t="s">
        <v>99</v>
      </c>
      <c r="H10" s="8" t="s">
        <v>300</v>
      </c>
      <c r="I10" s="51">
        <v>0</v>
      </c>
      <c r="J10" s="51">
        <v>0</v>
      </c>
      <c r="K10" s="51">
        <v>0</v>
      </c>
      <c r="L10" s="52">
        <v>0</v>
      </c>
      <c r="M10" s="53">
        <v>0</v>
      </c>
      <c r="N10" s="51">
        <v>1</v>
      </c>
      <c r="O10" s="51">
        <v>0</v>
      </c>
      <c r="P10" s="51">
        <v>0</v>
      </c>
      <c r="Q10" s="51">
        <v>0</v>
      </c>
      <c r="R10" s="51">
        <v>0</v>
      </c>
      <c r="S10" s="51">
        <v>0</v>
      </c>
      <c r="T10" s="51">
        <v>1</v>
      </c>
      <c r="U10" s="54">
        <f t="shared" si="0"/>
        <v>2</v>
      </c>
      <c r="V10" s="51">
        <v>0</v>
      </c>
      <c r="W10" s="51">
        <v>0</v>
      </c>
      <c r="X10" s="52">
        <v>0</v>
      </c>
      <c r="Y10" s="52">
        <v>0</v>
      </c>
      <c r="Z10" s="53">
        <v>0</v>
      </c>
      <c r="AA10" s="51">
        <v>0</v>
      </c>
      <c r="AB10" s="51">
        <v>0</v>
      </c>
      <c r="AC10" s="51">
        <v>0</v>
      </c>
      <c r="AD10" s="51">
        <v>0</v>
      </c>
      <c r="AE10" s="51">
        <v>0</v>
      </c>
      <c r="AF10" s="51">
        <v>0</v>
      </c>
      <c r="AG10" s="51">
        <v>0</v>
      </c>
      <c r="AH10" s="55">
        <f t="shared" si="1"/>
        <v>0</v>
      </c>
    </row>
    <row r="11" spans="1:34" ht="62.25" customHeight="1">
      <c r="A11" s="6">
        <v>78</v>
      </c>
      <c r="B11" s="6" t="s">
        <v>25</v>
      </c>
      <c r="C11" s="33" t="s">
        <v>296</v>
      </c>
      <c r="D11" s="7" t="s">
        <v>100</v>
      </c>
      <c r="E11" s="6" t="s">
        <v>101</v>
      </c>
      <c r="F11" s="10" t="s">
        <v>102</v>
      </c>
      <c r="G11" s="6" t="s">
        <v>103</v>
      </c>
      <c r="H11" s="8" t="s">
        <v>300</v>
      </c>
      <c r="I11" s="51">
        <v>15</v>
      </c>
      <c r="J11" s="51">
        <v>15</v>
      </c>
      <c r="K11" s="51">
        <v>15</v>
      </c>
      <c r="L11" s="52">
        <v>15</v>
      </c>
      <c r="M11" s="53">
        <v>15</v>
      </c>
      <c r="N11" s="51">
        <v>15</v>
      </c>
      <c r="O11" s="51">
        <v>15</v>
      </c>
      <c r="P11" s="51">
        <v>15</v>
      </c>
      <c r="Q11" s="51">
        <v>15</v>
      </c>
      <c r="R11" s="51">
        <v>15</v>
      </c>
      <c r="S11" s="51">
        <v>15</v>
      </c>
      <c r="T11" s="51">
        <v>15</v>
      </c>
      <c r="U11" s="54">
        <f t="shared" si="0"/>
        <v>180</v>
      </c>
      <c r="V11" s="51">
        <v>15</v>
      </c>
      <c r="W11" s="51">
        <v>15</v>
      </c>
      <c r="X11" s="52">
        <v>15</v>
      </c>
      <c r="Y11" s="52">
        <v>15</v>
      </c>
      <c r="Z11" s="53">
        <v>15</v>
      </c>
      <c r="AA11" s="51">
        <v>0</v>
      </c>
      <c r="AB11" s="51">
        <v>0</v>
      </c>
      <c r="AC11" s="51">
        <v>0</v>
      </c>
      <c r="AD11" s="51">
        <v>0</v>
      </c>
      <c r="AE11" s="51">
        <v>0</v>
      </c>
      <c r="AF11" s="51">
        <v>0</v>
      </c>
      <c r="AG11" s="51">
        <v>0</v>
      </c>
      <c r="AH11" s="55">
        <f t="shared" si="1"/>
        <v>75</v>
      </c>
    </row>
    <row r="12" spans="1:34" ht="62.25" customHeight="1">
      <c r="A12" s="6">
        <v>78</v>
      </c>
      <c r="B12" s="6" t="s">
        <v>19</v>
      </c>
      <c r="C12" s="33" t="s">
        <v>296</v>
      </c>
      <c r="D12" s="7" t="s">
        <v>104</v>
      </c>
      <c r="E12" s="6" t="s">
        <v>105</v>
      </c>
      <c r="F12" s="10" t="s">
        <v>106</v>
      </c>
      <c r="G12" s="6" t="s">
        <v>105</v>
      </c>
      <c r="H12" s="8" t="s">
        <v>300</v>
      </c>
      <c r="I12" s="51">
        <v>0</v>
      </c>
      <c r="J12" s="51">
        <v>0</v>
      </c>
      <c r="K12" s="51">
        <v>0</v>
      </c>
      <c r="L12" s="52">
        <v>0</v>
      </c>
      <c r="M12" s="53">
        <v>0</v>
      </c>
      <c r="N12" s="51">
        <v>0</v>
      </c>
      <c r="O12" s="51">
        <v>0</v>
      </c>
      <c r="P12" s="51">
        <v>0</v>
      </c>
      <c r="Q12" s="51">
        <v>0</v>
      </c>
      <c r="R12" s="51">
        <v>0</v>
      </c>
      <c r="S12" s="51">
        <v>0</v>
      </c>
      <c r="T12" s="51">
        <v>1</v>
      </c>
      <c r="U12" s="54">
        <f t="shared" si="0"/>
        <v>1</v>
      </c>
      <c r="V12" s="51">
        <v>0</v>
      </c>
      <c r="W12" s="51">
        <v>0</v>
      </c>
      <c r="X12" s="52">
        <v>0</v>
      </c>
      <c r="Y12" s="52">
        <v>0</v>
      </c>
      <c r="Z12" s="53">
        <v>0</v>
      </c>
      <c r="AA12" s="51">
        <v>0</v>
      </c>
      <c r="AB12" s="51">
        <v>0</v>
      </c>
      <c r="AC12" s="51">
        <v>0</v>
      </c>
      <c r="AD12" s="51">
        <v>0</v>
      </c>
      <c r="AE12" s="51">
        <v>0</v>
      </c>
      <c r="AF12" s="51">
        <v>0</v>
      </c>
      <c r="AG12" s="51">
        <v>0</v>
      </c>
      <c r="AH12" s="55">
        <f t="shared" si="1"/>
        <v>0</v>
      </c>
    </row>
    <row r="13" spans="1:34" ht="62.25" customHeight="1">
      <c r="A13" s="6">
        <v>78</v>
      </c>
      <c r="B13" s="33" t="s">
        <v>17</v>
      </c>
      <c r="C13" s="33" t="s">
        <v>296</v>
      </c>
      <c r="D13" s="7" t="s">
        <v>107</v>
      </c>
      <c r="E13" s="6" t="s">
        <v>108</v>
      </c>
      <c r="F13" s="10" t="s">
        <v>109</v>
      </c>
      <c r="G13" s="6" t="s">
        <v>110</v>
      </c>
      <c r="H13" s="8" t="s">
        <v>300</v>
      </c>
      <c r="I13" s="51">
        <v>0</v>
      </c>
      <c r="J13" s="51">
        <v>0</v>
      </c>
      <c r="K13" s="51">
        <v>0</v>
      </c>
      <c r="L13" s="52">
        <v>0</v>
      </c>
      <c r="M13" s="53">
        <v>0</v>
      </c>
      <c r="N13" s="51">
        <v>0</v>
      </c>
      <c r="O13" s="51">
        <v>0</v>
      </c>
      <c r="P13" s="51">
        <v>0</v>
      </c>
      <c r="Q13" s="51">
        <v>0</v>
      </c>
      <c r="R13" s="51">
        <v>0</v>
      </c>
      <c r="S13" s="51">
        <v>0</v>
      </c>
      <c r="T13" s="51">
        <v>1</v>
      </c>
      <c r="U13" s="54">
        <f t="shared" si="0"/>
        <v>1</v>
      </c>
      <c r="V13" s="51">
        <v>0</v>
      </c>
      <c r="W13" s="51">
        <v>0</v>
      </c>
      <c r="X13" s="52">
        <v>0</v>
      </c>
      <c r="Y13" s="52">
        <v>0</v>
      </c>
      <c r="Z13" s="53">
        <v>0</v>
      </c>
      <c r="AA13" s="51">
        <v>0</v>
      </c>
      <c r="AB13" s="51">
        <v>0</v>
      </c>
      <c r="AC13" s="51">
        <v>0</v>
      </c>
      <c r="AD13" s="51">
        <v>0</v>
      </c>
      <c r="AE13" s="51">
        <v>0</v>
      </c>
      <c r="AF13" s="51">
        <v>0</v>
      </c>
      <c r="AG13" s="51">
        <v>0</v>
      </c>
      <c r="AH13" s="55">
        <f t="shared" si="1"/>
        <v>0</v>
      </c>
    </row>
    <row r="14" spans="1:34" ht="62.25" customHeight="1">
      <c r="A14" s="6">
        <v>31</v>
      </c>
      <c r="B14" s="6" t="s">
        <v>7</v>
      </c>
      <c r="C14" s="33" t="s">
        <v>291</v>
      </c>
      <c r="D14" s="7" t="s">
        <v>90</v>
      </c>
      <c r="E14" s="6" t="s">
        <v>91</v>
      </c>
      <c r="F14" s="10" t="s">
        <v>111</v>
      </c>
      <c r="G14" s="6" t="s">
        <v>99</v>
      </c>
      <c r="H14" s="8" t="s">
        <v>300</v>
      </c>
      <c r="I14" s="51">
        <v>0</v>
      </c>
      <c r="J14" s="51">
        <v>0</v>
      </c>
      <c r="K14" s="51">
        <v>0</v>
      </c>
      <c r="L14" s="52">
        <v>0</v>
      </c>
      <c r="M14" s="53">
        <v>0</v>
      </c>
      <c r="N14" s="51">
        <v>0</v>
      </c>
      <c r="O14" s="51">
        <v>0</v>
      </c>
      <c r="P14" s="51">
        <v>0</v>
      </c>
      <c r="Q14" s="51">
        <v>0</v>
      </c>
      <c r="R14" s="51">
        <v>0</v>
      </c>
      <c r="S14" s="51">
        <v>0</v>
      </c>
      <c r="T14" s="51">
        <v>1</v>
      </c>
      <c r="U14" s="54">
        <f t="shared" si="0"/>
        <v>1</v>
      </c>
      <c r="V14" s="51">
        <v>0</v>
      </c>
      <c r="W14" s="51">
        <v>0</v>
      </c>
      <c r="X14" s="52">
        <v>0</v>
      </c>
      <c r="Y14" s="52">
        <v>0</v>
      </c>
      <c r="Z14" s="53">
        <v>0</v>
      </c>
      <c r="AA14" s="51">
        <v>0</v>
      </c>
      <c r="AB14" s="51">
        <v>0</v>
      </c>
      <c r="AC14" s="51">
        <v>0</v>
      </c>
      <c r="AD14" s="51">
        <v>0</v>
      </c>
      <c r="AE14" s="51">
        <v>0</v>
      </c>
      <c r="AF14" s="51">
        <v>0</v>
      </c>
      <c r="AG14" s="51">
        <v>0</v>
      </c>
      <c r="AH14" s="55">
        <f t="shared" si="1"/>
        <v>0</v>
      </c>
    </row>
    <row r="15" spans="1:34" ht="62.25" customHeight="1">
      <c r="A15" s="6">
        <v>78</v>
      </c>
      <c r="B15" s="6" t="s">
        <v>19</v>
      </c>
      <c r="C15" s="33" t="s">
        <v>296</v>
      </c>
      <c r="D15" s="7" t="s">
        <v>104</v>
      </c>
      <c r="E15" s="6" t="s">
        <v>105</v>
      </c>
      <c r="F15" s="10" t="s">
        <v>112</v>
      </c>
      <c r="G15" s="6" t="s">
        <v>99</v>
      </c>
      <c r="H15" s="8" t="s">
        <v>300</v>
      </c>
      <c r="I15" s="51">
        <v>0</v>
      </c>
      <c r="J15" s="51">
        <v>0</v>
      </c>
      <c r="K15" s="51">
        <v>0</v>
      </c>
      <c r="L15" s="52">
        <v>1</v>
      </c>
      <c r="M15" s="53">
        <v>0</v>
      </c>
      <c r="N15" s="51">
        <v>0</v>
      </c>
      <c r="O15" s="51">
        <v>1</v>
      </c>
      <c r="P15" s="51">
        <v>0</v>
      </c>
      <c r="Q15" s="51">
        <v>0</v>
      </c>
      <c r="R15" s="51">
        <v>1</v>
      </c>
      <c r="S15" s="51">
        <v>0</v>
      </c>
      <c r="T15" s="51">
        <v>0</v>
      </c>
      <c r="U15" s="54">
        <f t="shared" si="0"/>
        <v>3</v>
      </c>
      <c r="V15" s="51">
        <v>0</v>
      </c>
      <c r="W15" s="51">
        <v>0</v>
      </c>
      <c r="X15" s="52">
        <v>0</v>
      </c>
      <c r="Y15" s="52">
        <v>1</v>
      </c>
      <c r="Z15" s="53">
        <v>0</v>
      </c>
      <c r="AA15" s="51">
        <v>0</v>
      </c>
      <c r="AB15" s="51">
        <v>0</v>
      </c>
      <c r="AC15" s="51">
        <v>0</v>
      </c>
      <c r="AD15" s="51">
        <v>0</v>
      </c>
      <c r="AE15" s="51">
        <v>0</v>
      </c>
      <c r="AF15" s="51">
        <v>0</v>
      </c>
      <c r="AG15" s="51">
        <v>0</v>
      </c>
      <c r="AH15" s="55">
        <f t="shared" si="1"/>
        <v>1</v>
      </c>
    </row>
    <row r="16" spans="1:34" ht="62.25" customHeight="1">
      <c r="A16" s="6">
        <v>78</v>
      </c>
      <c r="B16" s="33" t="s">
        <v>14</v>
      </c>
      <c r="C16" s="33" t="s">
        <v>296</v>
      </c>
      <c r="D16" s="7" t="s">
        <v>113</v>
      </c>
      <c r="E16" s="6" t="s">
        <v>91</v>
      </c>
      <c r="F16" s="10" t="s">
        <v>114</v>
      </c>
      <c r="G16" s="6" t="s">
        <v>115</v>
      </c>
      <c r="H16" s="8" t="s">
        <v>300</v>
      </c>
      <c r="I16" s="51">
        <v>31</v>
      </c>
      <c r="J16" s="51">
        <v>28</v>
      </c>
      <c r="K16" s="51">
        <v>31</v>
      </c>
      <c r="L16" s="52">
        <v>30</v>
      </c>
      <c r="M16" s="53">
        <v>31</v>
      </c>
      <c r="N16" s="51">
        <v>30</v>
      </c>
      <c r="O16" s="51">
        <v>31</v>
      </c>
      <c r="P16" s="51">
        <v>31</v>
      </c>
      <c r="Q16" s="51">
        <v>30</v>
      </c>
      <c r="R16" s="51">
        <v>31</v>
      </c>
      <c r="S16" s="51">
        <v>30</v>
      </c>
      <c r="T16" s="51">
        <v>31</v>
      </c>
      <c r="U16" s="54">
        <f t="shared" si="0"/>
        <v>365</v>
      </c>
      <c r="V16" s="51">
        <v>31</v>
      </c>
      <c r="W16" s="51">
        <v>28</v>
      </c>
      <c r="X16" s="52">
        <v>31</v>
      </c>
      <c r="Y16" s="52">
        <v>30</v>
      </c>
      <c r="Z16" s="53">
        <v>31</v>
      </c>
      <c r="AA16" s="51">
        <v>0</v>
      </c>
      <c r="AB16" s="51">
        <v>0</v>
      </c>
      <c r="AC16" s="51">
        <v>0</v>
      </c>
      <c r="AD16" s="51">
        <v>0</v>
      </c>
      <c r="AE16" s="51">
        <v>0</v>
      </c>
      <c r="AF16" s="51">
        <v>0</v>
      </c>
      <c r="AG16" s="51">
        <v>0</v>
      </c>
      <c r="AH16" s="55">
        <f t="shared" si="1"/>
        <v>151</v>
      </c>
    </row>
    <row r="17" spans="1:34" ht="62.25" customHeight="1">
      <c r="A17" s="6">
        <v>3</v>
      </c>
      <c r="B17" s="33" t="s">
        <v>20</v>
      </c>
      <c r="C17" s="33" t="s">
        <v>286</v>
      </c>
      <c r="D17" s="7" t="s">
        <v>116</v>
      </c>
      <c r="E17" s="6" t="s">
        <v>105</v>
      </c>
      <c r="F17" s="10" t="s">
        <v>117</v>
      </c>
      <c r="G17" s="6" t="s">
        <v>105</v>
      </c>
      <c r="H17" s="8" t="s">
        <v>300</v>
      </c>
      <c r="I17" s="51">
        <v>0</v>
      </c>
      <c r="J17" s="51">
        <v>0</v>
      </c>
      <c r="K17" s="51">
        <v>0</v>
      </c>
      <c r="L17" s="52">
        <v>0</v>
      </c>
      <c r="M17" s="53">
        <v>0</v>
      </c>
      <c r="N17" s="51">
        <v>0</v>
      </c>
      <c r="O17" s="51">
        <v>0</v>
      </c>
      <c r="P17" s="51">
        <v>0</v>
      </c>
      <c r="Q17" s="51">
        <v>0</v>
      </c>
      <c r="R17" s="51">
        <v>0</v>
      </c>
      <c r="S17" s="51">
        <v>0</v>
      </c>
      <c r="T17" s="51">
        <v>1</v>
      </c>
      <c r="U17" s="54">
        <f t="shared" si="0"/>
        <v>1</v>
      </c>
      <c r="V17" s="51">
        <v>0</v>
      </c>
      <c r="W17" s="51">
        <v>0</v>
      </c>
      <c r="X17" s="52">
        <v>0</v>
      </c>
      <c r="Y17" s="52">
        <v>0</v>
      </c>
      <c r="Z17" s="53">
        <v>0</v>
      </c>
      <c r="AA17" s="51">
        <v>0</v>
      </c>
      <c r="AB17" s="51">
        <v>0</v>
      </c>
      <c r="AC17" s="51">
        <v>0</v>
      </c>
      <c r="AD17" s="51">
        <v>0</v>
      </c>
      <c r="AE17" s="51">
        <v>0</v>
      </c>
      <c r="AF17" s="51">
        <v>0</v>
      </c>
      <c r="AG17" s="51">
        <v>0</v>
      </c>
      <c r="AH17" s="55">
        <f t="shared" si="1"/>
        <v>0</v>
      </c>
    </row>
    <row r="18" spans="1:34" ht="62.25" customHeight="1">
      <c r="A18" s="6">
        <v>78</v>
      </c>
      <c r="B18" s="6" t="s">
        <v>16</v>
      </c>
      <c r="C18" s="33" t="s">
        <v>296</v>
      </c>
      <c r="D18" s="7" t="s">
        <v>96</v>
      </c>
      <c r="E18" s="6" t="s">
        <v>91</v>
      </c>
      <c r="F18" s="10" t="s">
        <v>118</v>
      </c>
      <c r="G18" s="6" t="s">
        <v>99</v>
      </c>
      <c r="H18" s="8" t="s">
        <v>300</v>
      </c>
      <c r="I18" s="51">
        <v>0</v>
      </c>
      <c r="J18" s="51">
        <v>1</v>
      </c>
      <c r="K18" s="51">
        <v>0</v>
      </c>
      <c r="L18" s="52">
        <v>1</v>
      </c>
      <c r="M18" s="53">
        <v>0</v>
      </c>
      <c r="N18" s="51">
        <v>1</v>
      </c>
      <c r="O18" s="51">
        <v>0</v>
      </c>
      <c r="P18" s="51">
        <v>1</v>
      </c>
      <c r="Q18" s="51">
        <v>0</v>
      </c>
      <c r="R18" s="51">
        <v>1</v>
      </c>
      <c r="S18" s="51">
        <v>0</v>
      </c>
      <c r="T18" s="51">
        <v>1</v>
      </c>
      <c r="U18" s="54">
        <f t="shared" si="0"/>
        <v>6</v>
      </c>
      <c r="V18" s="51">
        <v>0</v>
      </c>
      <c r="W18" s="51">
        <v>1</v>
      </c>
      <c r="X18" s="52">
        <v>0</v>
      </c>
      <c r="Y18" s="52">
        <v>1</v>
      </c>
      <c r="Z18" s="53">
        <v>0</v>
      </c>
      <c r="AA18" s="51">
        <v>0</v>
      </c>
      <c r="AB18" s="51">
        <v>0</v>
      </c>
      <c r="AC18" s="51">
        <v>0</v>
      </c>
      <c r="AD18" s="51">
        <v>0</v>
      </c>
      <c r="AE18" s="51">
        <v>0</v>
      </c>
      <c r="AF18" s="51">
        <v>0</v>
      </c>
      <c r="AG18" s="51">
        <v>0</v>
      </c>
      <c r="AH18" s="55">
        <f t="shared" si="1"/>
        <v>2</v>
      </c>
    </row>
    <row r="19" spans="1:34" ht="62.25" customHeight="1">
      <c r="A19" s="6">
        <v>99</v>
      </c>
      <c r="B19" s="33" t="s">
        <v>18</v>
      </c>
      <c r="C19" s="39" t="s">
        <v>295</v>
      </c>
      <c r="D19" s="7" t="s">
        <v>119</v>
      </c>
      <c r="E19" s="6" t="s">
        <v>91</v>
      </c>
      <c r="F19" s="10" t="s">
        <v>120</v>
      </c>
      <c r="G19" s="6" t="s">
        <v>99</v>
      </c>
      <c r="H19" s="8" t="s">
        <v>300</v>
      </c>
      <c r="I19" s="51">
        <v>0</v>
      </c>
      <c r="J19" s="51">
        <v>0</v>
      </c>
      <c r="K19" s="51">
        <v>0</v>
      </c>
      <c r="L19" s="52">
        <v>1</v>
      </c>
      <c r="M19" s="53">
        <v>0</v>
      </c>
      <c r="N19" s="51">
        <v>0</v>
      </c>
      <c r="O19" s="51">
        <v>1</v>
      </c>
      <c r="P19" s="51">
        <v>0</v>
      </c>
      <c r="Q19" s="51">
        <v>0</v>
      </c>
      <c r="R19" s="51">
        <v>1</v>
      </c>
      <c r="S19" s="51">
        <v>0</v>
      </c>
      <c r="T19" s="51">
        <v>0</v>
      </c>
      <c r="U19" s="54">
        <f t="shared" si="0"/>
        <v>3</v>
      </c>
      <c r="V19" s="51">
        <v>0</v>
      </c>
      <c r="W19" s="51">
        <v>0</v>
      </c>
      <c r="X19" s="52">
        <v>0</v>
      </c>
      <c r="Y19" s="52">
        <v>1</v>
      </c>
      <c r="Z19" s="53">
        <v>0</v>
      </c>
      <c r="AA19" s="51">
        <v>0</v>
      </c>
      <c r="AB19" s="51">
        <v>0</v>
      </c>
      <c r="AC19" s="51">
        <v>0</v>
      </c>
      <c r="AD19" s="51">
        <v>0</v>
      </c>
      <c r="AE19" s="51">
        <v>0</v>
      </c>
      <c r="AF19" s="51">
        <v>0</v>
      </c>
      <c r="AG19" s="51">
        <v>0</v>
      </c>
      <c r="AH19" s="55">
        <f t="shared" si="1"/>
        <v>1</v>
      </c>
    </row>
    <row r="20" spans="1:34" ht="62.25" customHeight="1">
      <c r="A20" s="6">
        <v>78</v>
      </c>
      <c r="B20" s="6" t="s">
        <v>16</v>
      </c>
      <c r="C20" s="33" t="s">
        <v>296</v>
      </c>
      <c r="D20" s="7" t="s">
        <v>96</v>
      </c>
      <c r="E20" s="6" t="s">
        <v>91</v>
      </c>
      <c r="F20" s="10" t="s">
        <v>121</v>
      </c>
      <c r="G20" s="6" t="s">
        <v>99</v>
      </c>
      <c r="H20" s="8" t="s">
        <v>300</v>
      </c>
      <c r="I20" s="51">
        <v>0</v>
      </c>
      <c r="J20" s="51">
        <v>0</v>
      </c>
      <c r="K20" s="56">
        <v>0</v>
      </c>
      <c r="L20" s="57">
        <v>1</v>
      </c>
      <c r="M20" s="53">
        <v>0</v>
      </c>
      <c r="N20" s="51">
        <v>0</v>
      </c>
      <c r="O20" s="51">
        <v>1</v>
      </c>
      <c r="P20" s="51">
        <v>0</v>
      </c>
      <c r="Q20" s="51">
        <v>0</v>
      </c>
      <c r="R20" s="51">
        <v>1</v>
      </c>
      <c r="S20" s="51">
        <v>0</v>
      </c>
      <c r="T20" s="51">
        <v>0</v>
      </c>
      <c r="U20" s="54">
        <f t="shared" si="0"/>
        <v>3</v>
      </c>
      <c r="V20" s="51">
        <v>0</v>
      </c>
      <c r="W20" s="51">
        <v>0</v>
      </c>
      <c r="X20" s="52">
        <v>0</v>
      </c>
      <c r="Y20" s="52">
        <v>1</v>
      </c>
      <c r="Z20" s="53">
        <v>0</v>
      </c>
      <c r="AA20" s="51">
        <v>0</v>
      </c>
      <c r="AB20" s="51">
        <v>0</v>
      </c>
      <c r="AC20" s="51">
        <v>0</v>
      </c>
      <c r="AD20" s="51">
        <v>0</v>
      </c>
      <c r="AE20" s="51">
        <v>0</v>
      </c>
      <c r="AF20" s="51">
        <v>0</v>
      </c>
      <c r="AG20" s="51">
        <v>0</v>
      </c>
      <c r="AH20" s="55">
        <f t="shared" si="1"/>
        <v>1</v>
      </c>
    </row>
    <row r="21" spans="1:34" ht="62.25" customHeight="1">
      <c r="A21" s="6">
        <v>78</v>
      </c>
      <c r="B21" s="6" t="s">
        <v>16</v>
      </c>
      <c r="C21" s="33" t="s">
        <v>296</v>
      </c>
      <c r="D21" s="7" t="s">
        <v>96</v>
      </c>
      <c r="E21" s="6" t="s">
        <v>91</v>
      </c>
      <c r="F21" s="10" t="s">
        <v>122</v>
      </c>
      <c r="G21" s="6" t="s">
        <v>99</v>
      </c>
      <c r="H21" s="8" t="s">
        <v>300</v>
      </c>
      <c r="I21" s="51">
        <v>1</v>
      </c>
      <c r="J21" s="51">
        <v>1</v>
      </c>
      <c r="K21" s="51">
        <v>1</v>
      </c>
      <c r="L21" s="52">
        <v>1</v>
      </c>
      <c r="M21" s="53">
        <v>1</v>
      </c>
      <c r="N21" s="51">
        <v>1</v>
      </c>
      <c r="O21" s="51">
        <v>1</v>
      </c>
      <c r="P21" s="51">
        <v>1</v>
      </c>
      <c r="Q21" s="51">
        <v>1</v>
      </c>
      <c r="R21" s="51">
        <v>1</v>
      </c>
      <c r="S21" s="51">
        <v>1</v>
      </c>
      <c r="T21" s="51">
        <v>1</v>
      </c>
      <c r="U21" s="54">
        <f t="shared" si="0"/>
        <v>12</v>
      </c>
      <c r="V21" s="51">
        <v>1</v>
      </c>
      <c r="W21" s="51">
        <v>1</v>
      </c>
      <c r="X21" s="52">
        <v>1</v>
      </c>
      <c r="Y21" s="52">
        <v>1</v>
      </c>
      <c r="Z21" s="53">
        <v>1</v>
      </c>
      <c r="AA21" s="51">
        <v>0</v>
      </c>
      <c r="AB21" s="51">
        <v>0</v>
      </c>
      <c r="AC21" s="51">
        <v>0</v>
      </c>
      <c r="AD21" s="51">
        <v>0</v>
      </c>
      <c r="AE21" s="51">
        <v>0</v>
      </c>
      <c r="AF21" s="51">
        <v>0</v>
      </c>
      <c r="AG21" s="51">
        <v>0</v>
      </c>
      <c r="AH21" s="55">
        <f t="shared" si="1"/>
        <v>5</v>
      </c>
    </row>
    <row r="22" spans="1:34" ht="62.25" customHeight="1">
      <c r="A22" s="6">
        <v>78</v>
      </c>
      <c r="B22" s="33" t="s">
        <v>15</v>
      </c>
      <c r="C22" s="33" t="s">
        <v>296</v>
      </c>
      <c r="D22" s="7" t="s">
        <v>123</v>
      </c>
      <c r="E22" s="6" t="s">
        <v>91</v>
      </c>
      <c r="F22" s="10" t="s">
        <v>124</v>
      </c>
      <c r="G22" s="6" t="s">
        <v>99</v>
      </c>
      <c r="H22" s="8" t="s">
        <v>300</v>
      </c>
      <c r="I22" s="51">
        <v>0</v>
      </c>
      <c r="J22" s="51">
        <v>0</v>
      </c>
      <c r="K22" s="51">
        <v>0</v>
      </c>
      <c r="L22" s="52">
        <v>1</v>
      </c>
      <c r="M22" s="53">
        <v>0</v>
      </c>
      <c r="N22" s="51">
        <v>0</v>
      </c>
      <c r="O22" s="51">
        <v>1</v>
      </c>
      <c r="P22" s="51">
        <v>0</v>
      </c>
      <c r="Q22" s="51">
        <v>0</v>
      </c>
      <c r="R22" s="51">
        <v>1</v>
      </c>
      <c r="S22" s="51">
        <v>0</v>
      </c>
      <c r="T22" s="51">
        <v>0</v>
      </c>
      <c r="U22" s="54">
        <f t="shared" si="0"/>
        <v>3</v>
      </c>
      <c r="V22" s="51">
        <v>0</v>
      </c>
      <c r="W22" s="51">
        <v>0</v>
      </c>
      <c r="X22" s="52">
        <v>0</v>
      </c>
      <c r="Y22" s="52">
        <v>1</v>
      </c>
      <c r="Z22" s="53">
        <v>0</v>
      </c>
      <c r="AA22" s="51">
        <v>0</v>
      </c>
      <c r="AB22" s="51">
        <v>0</v>
      </c>
      <c r="AC22" s="51">
        <v>0</v>
      </c>
      <c r="AD22" s="51">
        <v>0</v>
      </c>
      <c r="AE22" s="51">
        <v>0</v>
      </c>
      <c r="AF22" s="51">
        <v>0</v>
      </c>
      <c r="AG22" s="51">
        <v>0</v>
      </c>
      <c r="AH22" s="55">
        <f t="shared" si="1"/>
        <v>1</v>
      </c>
    </row>
    <row r="23" spans="1:34" ht="62.25" customHeight="1">
      <c r="A23" s="6">
        <v>99</v>
      </c>
      <c r="B23" s="6" t="s">
        <v>18</v>
      </c>
      <c r="C23" s="39" t="s">
        <v>295</v>
      </c>
      <c r="D23" s="7" t="s">
        <v>119</v>
      </c>
      <c r="E23" s="6" t="s">
        <v>91</v>
      </c>
      <c r="F23" s="10" t="s">
        <v>125</v>
      </c>
      <c r="G23" s="6" t="s">
        <v>99</v>
      </c>
      <c r="H23" s="8" t="s">
        <v>300</v>
      </c>
      <c r="I23" s="51">
        <v>1</v>
      </c>
      <c r="J23" s="51">
        <v>1</v>
      </c>
      <c r="K23" s="51">
        <v>1</v>
      </c>
      <c r="L23" s="52">
        <v>1</v>
      </c>
      <c r="M23" s="53">
        <v>1</v>
      </c>
      <c r="N23" s="51">
        <v>1</v>
      </c>
      <c r="O23" s="51">
        <v>1</v>
      </c>
      <c r="P23" s="51">
        <v>1</v>
      </c>
      <c r="Q23" s="51">
        <v>1</v>
      </c>
      <c r="R23" s="51">
        <v>1</v>
      </c>
      <c r="S23" s="51">
        <v>1</v>
      </c>
      <c r="T23" s="51">
        <v>1</v>
      </c>
      <c r="U23" s="54">
        <f t="shared" si="0"/>
        <v>12</v>
      </c>
      <c r="V23" s="51">
        <v>1</v>
      </c>
      <c r="W23" s="51">
        <v>1</v>
      </c>
      <c r="X23" s="52">
        <v>1</v>
      </c>
      <c r="Y23" s="52">
        <v>1</v>
      </c>
      <c r="Z23" s="53">
        <v>1</v>
      </c>
      <c r="AA23" s="51">
        <v>0</v>
      </c>
      <c r="AB23" s="51">
        <v>0</v>
      </c>
      <c r="AC23" s="51">
        <v>0</v>
      </c>
      <c r="AD23" s="51">
        <v>0</v>
      </c>
      <c r="AE23" s="51">
        <v>0</v>
      </c>
      <c r="AF23" s="51">
        <v>0</v>
      </c>
      <c r="AG23" s="51">
        <v>0</v>
      </c>
      <c r="AH23" s="55">
        <f t="shared" si="1"/>
        <v>5</v>
      </c>
    </row>
    <row r="24" spans="1:34" ht="62.25" customHeight="1">
      <c r="A24" s="6">
        <v>99</v>
      </c>
      <c r="B24" s="6" t="s">
        <v>18</v>
      </c>
      <c r="C24" s="39" t="s">
        <v>295</v>
      </c>
      <c r="D24" s="7" t="s">
        <v>119</v>
      </c>
      <c r="E24" s="6" t="s">
        <v>91</v>
      </c>
      <c r="F24" s="10" t="s">
        <v>126</v>
      </c>
      <c r="G24" s="6" t="s">
        <v>99</v>
      </c>
      <c r="H24" s="8" t="s">
        <v>300</v>
      </c>
      <c r="I24" s="51">
        <v>1</v>
      </c>
      <c r="J24" s="51">
        <v>1</v>
      </c>
      <c r="K24" s="51">
        <v>1</v>
      </c>
      <c r="L24" s="52">
        <v>1</v>
      </c>
      <c r="M24" s="53">
        <v>1</v>
      </c>
      <c r="N24" s="51">
        <v>1</v>
      </c>
      <c r="O24" s="51">
        <v>1</v>
      </c>
      <c r="P24" s="51">
        <v>1</v>
      </c>
      <c r="Q24" s="51">
        <v>1</v>
      </c>
      <c r="R24" s="51">
        <v>1</v>
      </c>
      <c r="S24" s="51">
        <v>1</v>
      </c>
      <c r="T24" s="51">
        <v>1</v>
      </c>
      <c r="U24" s="54">
        <f t="shared" si="0"/>
        <v>12</v>
      </c>
      <c r="V24" s="51">
        <v>1</v>
      </c>
      <c r="W24" s="51">
        <v>1</v>
      </c>
      <c r="X24" s="52">
        <v>1</v>
      </c>
      <c r="Y24" s="52">
        <v>1</v>
      </c>
      <c r="Z24" s="53">
        <v>1</v>
      </c>
      <c r="AA24" s="51">
        <v>0</v>
      </c>
      <c r="AB24" s="51">
        <v>0</v>
      </c>
      <c r="AC24" s="51">
        <v>0</v>
      </c>
      <c r="AD24" s="51">
        <v>0</v>
      </c>
      <c r="AE24" s="51">
        <v>0</v>
      </c>
      <c r="AF24" s="51">
        <v>0</v>
      </c>
      <c r="AG24" s="51">
        <v>0</v>
      </c>
      <c r="AH24" s="55">
        <f t="shared" si="1"/>
        <v>5</v>
      </c>
    </row>
    <row r="25" spans="1:34" ht="62.25" customHeight="1">
      <c r="A25" s="6">
        <v>103</v>
      </c>
      <c r="B25" s="33" t="s">
        <v>24</v>
      </c>
      <c r="C25" s="6" t="s">
        <v>290</v>
      </c>
      <c r="D25" s="7" t="s">
        <v>127</v>
      </c>
      <c r="E25" s="6" t="s">
        <v>82</v>
      </c>
      <c r="F25" s="10" t="s">
        <v>128</v>
      </c>
      <c r="G25" s="6" t="s">
        <v>82</v>
      </c>
      <c r="H25" s="8" t="s">
        <v>300</v>
      </c>
      <c r="I25" s="51">
        <v>0</v>
      </c>
      <c r="J25" s="51">
        <v>0</v>
      </c>
      <c r="K25" s="51">
        <v>0</v>
      </c>
      <c r="L25" s="52">
        <v>0</v>
      </c>
      <c r="M25" s="53">
        <v>0</v>
      </c>
      <c r="N25" s="51">
        <v>1</v>
      </c>
      <c r="O25" s="51">
        <v>0</v>
      </c>
      <c r="P25" s="51">
        <v>0</v>
      </c>
      <c r="Q25" s="51">
        <v>0</v>
      </c>
      <c r="R25" s="51">
        <v>0</v>
      </c>
      <c r="S25" s="51">
        <v>0</v>
      </c>
      <c r="T25" s="51">
        <v>1</v>
      </c>
      <c r="U25" s="54">
        <f t="shared" si="0"/>
        <v>2</v>
      </c>
      <c r="V25" s="51">
        <v>0</v>
      </c>
      <c r="W25" s="51">
        <v>0</v>
      </c>
      <c r="X25" s="52">
        <v>0</v>
      </c>
      <c r="Y25" s="52">
        <v>0</v>
      </c>
      <c r="Z25" s="53">
        <v>0</v>
      </c>
      <c r="AA25" s="51">
        <v>0</v>
      </c>
      <c r="AB25" s="51">
        <v>0</v>
      </c>
      <c r="AC25" s="51">
        <v>0</v>
      </c>
      <c r="AD25" s="51">
        <v>0</v>
      </c>
      <c r="AE25" s="51">
        <v>0</v>
      </c>
      <c r="AF25" s="51">
        <v>0</v>
      </c>
      <c r="AG25" s="51">
        <v>0</v>
      </c>
      <c r="AH25" s="55">
        <f t="shared" si="1"/>
        <v>0</v>
      </c>
    </row>
    <row r="26" spans="1:34" ht="62.25" customHeight="1">
      <c r="A26" s="6">
        <v>98</v>
      </c>
      <c r="B26" s="33" t="s">
        <v>11</v>
      </c>
      <c r="C26" s="6" t="s">
        <v>294</v>
      </c>
      <c r="D26" s="7" t="s">
        <v>129</v>
      </c>
      <c r="E26" s="6" t="s">
        <v>91</v>
      </c>
      <c r="F26" s="10" t="s">
        <v>130</v>
      </c>
      <c r="G26" s="6" t="s">
        <v>82</v>
      </c>
      <c r="H26" s="8" t="s">
        <v>300</v>
      </c>
      <c r="I26" s="51">
        <v>1</v>
      </c>
      <c r="J26" s="51">
        <v>1</v>
      </c>
      <c r="K26" s="51">
        <v>1</v>
      </c>
      <c r="L26" s="52">
        <v>1</v>
      </c>
      <c r="M26" s="53">
        <v>1</v>
      </c>
      <c r="N26" s="51">
        <v>1</v>
      </c>
      <c r="O26" s="51">
        <v>1</v>
      </c>
      <c r="P26" s="51">
        <v>1</v>
      </c>
      <c r="Q26" s="51">
        <v>1</v>
      </c>
      <c r="R26" s="51">
        <v>1</v>
      </c>
      <c r="S26" s="51">
        <v>1</v>
      </c>
      <c r="T26" s="51">
        <v>1</v>
      </c>
      <c r="U26" s="54">
        <f t="shared" si="0"/>
        <v>12</v>
      </c>
      <c r="V26" s="51">
        <v>1</v>
      </c>
      <c r="W26" s="51">
        <v>1</v>
      </c>
      <c r="X26" s="52">
        <v>1</v>
      </c>
      <c r="Y26" s="52">
        <v>1</v>
      </c>
      <c r="Z26" s="53">
        <v>1</v>
      </c>
      <c r="AA26" s="51">
        <v>0</v>
      </c>
      <c r="AB26" s="51">
        <v>0</v>
      </c>
      <c r="AC26" s="51">
        <v>0</v>
      </c>
      <c r="AD26" s="51">
        <v>0</v>
      </c>
      <c r="AE26" s="51">
        <v>0</v>
      </c>
      <c r="AF26" s="51">
        <v>0</v>
      </c>
      <c r="AG26" s="51">
        <v>0</v>
      </c>
      <c r="AH26" s="55">
        <f t="shared" si="1"/>
        <v>5</v>
      </c>
    </row>
    <row r="27" spans="1:34" ht="62.25" customHeight="1">
      <c r="A27" s="6">
        <v>98</v>
      </c>
      <c r="B27" s="6" t="s">
        <v>11</v>
      </c>
      <c r="C27" s="6" t="s">
        <v>294</v>
      </c>
      <c r="D27" s="7" t="s">
        <v>129</v>
      </c>
      <c r="E27" s="6" t="s">
        <v>91</v>
      </c>
      <c r="F27" s="10" t="s">
        <v>131</v>
      </c>
      <c r="G27" s="6" t="s">
        <v>82</v>
      </c>
      <c r="H27" s="8" t="s">
        <v>300</v>
      </c>
      <c r="I27" s="51">
        <v>0</v>
      </c>
      <c r="J27" s="51">
        <v>0</v>
      </c>
      <c r="K27" s="51">
        <v>0</v>
      </c>
      <c r="L27" s="52">
        <v>0</v>
      </c>
      <c r="M27" s="53">
        <v>0</v>
      </c>
      <c r="N27" s="51">
        <v>1</v>
      </c>
      <c r="O27" s="51">
        <v>0</v>
      </c>
      <c r="P27" s="51">
        <v>0</v>
      </c>
      <c r="Q27" s="51">
        <v>0</v>
      </c>
      <c r="R27" s="51">
        <v>0</v>
      </c>
      <c r="S27" s="51">
        <v>1</v>
      </c>
      <c r="T27" s="51">
        <v>0</v>
      </c>
      <c r="U27" s="54">
        <f t="shared" si="0"/>
        <v>2</v>
      </c>
      <c r="V27" s="51">
        <v>0</v>
      </c>
      <c r="W27" s="51">
        <v>0</v>
      </c>
      <c r="X27" s="52">
        <v>0</v>
      </c>
      <c r="Y27" s="52">
        <v>0</v>
      </c>
      <c r="Z27" s="53">
        <v>0</v>
      </c>
      <c r="AA27" s="51">
        <v>0</v>
      </c>
      <c r="AB27" s="51">
        <v>0</v>
      </c>
      <c r="AC27" s="51">
        <v>0</v>
      </c>
      <c r="AD27" s="51">
        <v>0</v>
      </c>
      <c r="AE27" s="51">
        <v>0</v>
      </c>
      <c r="AF27" s="51">
        <v>0</v>
      </c>
      <c r="AG27" s="51">
        <v>0</v>
      </c>
      <c r="AH27" s="55">
        <f t="shared" si="1"/>
        <v>0</v>
      </c>
    </row>
    <row r="28" spans="1:34" ht="62.25" customHeight="1">
      <c r="A28" s="6">
        <v>78</v>
      </c>
      <c r="B28" s="6" t="s">
        <v>16</v>
      </c>
      <c r="C28" s="33" t="s">
        <v>296</v>
      </c>
      <c r="D28" s="7" t="s">
        <v>96</v>
      </c>
      <c r="E28" s="6" t="s">
        <v>91</v>
      </c>
      <c r="F28" s="10" t="s">
        <v>132</v>
      </c>
      <c r="G28" s="6" t="s">
        <v>99</v>
      </c>
      <c r="H28" s="8" t="s">
        <v>300</v>
      </c>
      <c r="I28" s="51">
        <v>1</v>
      </c>
      <c r="J28" s="51">
        <v>1</v>
      </c>
      <c r="K28" s="51">
        <v>1</v>
      </c>
      <c r="L28" s="52">
        <v>1</v>
      </c>
      <c r="M28" s="53">
        <v>1</v>
      </c>
      <c r="N28" s="51">
        <v>1</v>
      </c>
      <c r="O28" s="51">
        <v>1</v>
      </c>
      <c r="P28" s="51">
        <v>1</v>
      </c>
      <c r="Q28" s="51">
        <v>1</v>
      </c>
      <c r="R28" s="51">
        <v>1</v>
      </c>
      <c r="S28" s="51">
        <v>1</v>
      </c>
      <c r="T28" s="51">
        <v>1</v>
      </c>
      <c r="U28" s="54">
        <f t="shared" si="0"/>
        <v>12</v>
      </c>
      <c r="V28" s="51">
        <v>1</v>
      </c>
      <c r="W28" s="51">
        <v>1</v>
      </c>
      <c r="X28" s="52">
        <v>1</v>
      </c>
      <c r="Y28" s="52">
        <v>1</v>
      </c>
      <c r="Z28" s="53">
        <v>1</v>
      </c>
      <c r="AA28" s="51">
        <v>0</v>
      </c>
      <c r="AB28" s="51">
        <v>0</v>
      </c>
      <c r="AC28" s="51">
        <v>0</v>
      </c>
      <c r="AD28" s="51">
        <v>0</v>
      </c>
      <c r="AE28" s="51">
        <v>0</v>
      </c>
      <c r="AF28" s="51">
        <v>0</v>
      </c>
      <c r="AG28" s="51">
        <v>0</v>
      </c>
      <c r="AH28" s="55">
        <f t="shared" si="1"/>
        <v>5</v>
      </c>
    </row>
    <row r="29" spans="1:34" ht="62.25" customHeight="1">
      <c r="A29" s="6">
        <v>78</v>
      </c>
      <c r="B29" s="6" t="s">
        <v>16</v>
      </c>
      <c r="C29" s="33" t="s">
        <v>296</v>
      </c>
      <c r="D29" s="7" t="s">
        <v>96</v>
      </c>
      <c r="E29" s="6" t="s">
        <v>91</v>
      </c>
      <c r="F29" s="10" t="s">
        <v>133</v>
      </c>
      <c r="G29" s="6" t="s">
        <v>99</v>
      </c>
      <c r="H29" s="8" t="s">
        <v>300</v>
      </c>
      <c r="I29" s="51">
        <v>0</v>
      </c>
      <c r="J29" s="51">
        <v>0</v>
      </c>
      <c r="K29" s="51">
        <v>0</v>
      </c>
      <c r="L29" s="52">
        <v>1</v>
      </c>
      <c r="M29" s="53">
        <v>0</v>
      </c>
      <c r="N29" s="51">
        <v>0</v>
      </c>
      <c r="O29" s="51">
        <v>1</v>
      </c>
      <c r="P29" s="51">
        <v>0</v>
      </c>
      <c r="Q29" s="51">
        <v>0</v>
      </c>
      <c r="R29" s="51">
        <v>1</v>
      </c>
      <c r="S29" s="51">
        <v>0</v>
      </c>
      <c r="T29" s="51">
        <v>0</v>
      </c>
      <c r="U29" s="54">
        <f t="shared" si="0"/>
        <v>3</v>
      </c>
      <c r="V29" s="51">
        <v>0</v>
      </c>
      <c r="W29" s="51">
        <v>0</v>
      </c>
      <c r="X29" s="52">
        <v>0</v>
      </c>
      <c r="Y29" s="52">
        <v>1</v>
      </c>
      <c r="Z29" s="53">
        <v>0</v>
      </c>
      <c r="AA29" s="51">
        <v>0</v>
      </c>
      <c r="AB29" s="51">
        <v>0</v>
      </c>
      <c r="AC29" s="51">
        <v>0</v>
      </c>
      <c r="AD29" s="51">
        <v>0</v>
      </c>
      <c r="AE29" s="51">
        <v>0</v>
      </c>
      <c r="AF29" s="51">
        <v>0</v>
      </c>
      <c r="AG29" s="51">
        <v>0</v>
      </c>
      <c r="AH29" s="55">
        <f t="shared" si="1"/>
        <v>1</v>
      </c>
    </row>
    <row r="30" spans="1:34" ht="62.25" customHeight="1">
      <c r="A30" s="6">
        <v>34</v>
      </c>
      <c r="B30" s="6" t="s">
        <v>3</v>
      </c>
      <c r="C30" s="33" t="s">
        <v>293</v>
      </c>
      <c r="D30" s="7" t="s">
        <v>94</v>
      </c>
      <c r="E30" s="6" t="s">
        <v>84</v>
      </c>
      <c r="F30" s="10" t="s">
        <v>134</v>
      </c>
      <c r="G30" s="6" t="s">
        <v>82</v>
      </c>
      <c r="H30" s="8" t="s">
        <v>301</v>
      </c>
      <c r="I30" s="51">
        <v>0</v>
      </c>
      <c r="J30" s="51">
        <v>0</v>
      </c>
      <c r="K30" s="51">
        <v>0</v>
      </c>
      <c r="L30" s="52">
        <v>0</v>
      </c>
      <c r="M30" s="53">
        <v>0</v>
      </c>
      <c r="N30" s="51">
        <v>1</v>
      </c>
      <c r="O30" s="51">
        <v>0</v>
      </c>
      <c r="P30" s="51">
        <v>0</v>
      </c>
      <c r="Q30" s="51">
        <v>0</v>
      </c>
      <c r="R30" s="51">
        <v>0</v>
      </c>
      <c r="S30" s="51">
        <v>0</v>
      </c>
      <c r="T30" s="51">
        <v>1</v>
      </c>
      <c r="U30" s="54">
        <f t="shared" si="0"/>
        <v>2</v>
      </c>
      <c r="V30" s="51">
        <v>0</v>
      </c>
      <c r="W30" s="51">
        <v>0</v>
      </c>
      <c r="X30" s="52">
        <v>0</v>
      </c>
      <c r="Y30" s="52">
        <v>0</v>
      </c>
      <c r="Z30" s="53">
        <v>0</v>
      </c>
      <c r="AA30" s="51">
        <v>0</v>
      </c>
      <c r="AB30" s="51">
        <v>0</v>
      </c>
      <c r="AC30" s="51">
        <v>0</v>
      </c>
      <c r="AD30" s="51">
        <v>0</v>
      </c>
      <c r="AE30" s="51">
        <v>0</v>
      </c>
      <c r="AF30" s="51">
        <v>0</v>
      </c>
      <c r="AG30" s="51">
        <v>0</v>
      </c>
      <c r="AH30" s="55">
        <f t="shared" si="1"/>
        <v>0</v>
      </c>
    </row>
    <row r="31" spans="1:34" ht="62.25" customHeight="1">
      <c r="A31" s="6">
        <v>31</v>
      </c>
      <c r="B31" s="33" t="s">
        <v>6</v>
      </c>
      <c r="C31" s="33" t="s">
        <v>287</v>
      </c>
      <c r="D31" s="7" t="s">
        <v>135</v>
      </c>
      <c r="E31" s="6" t="s">
        <v>91</v>
      </c>
      <c r="F31" s="10" t="s">
        <v>136</v>
      </c>
      <c r="G31" s="6" t="s">
        <v>93</v>
      </c>
      <c r="H31" s="8" t="s">
        <v>301</v>
      </c>
      <c r="I31" s="51">
        <v>0</v>
      </c>
      <c r="J31" s="51">
        <v>0</v>
      </c>
      <c r="K31" s="51">
        <v>0</v>
      </c>
      <c r="L31" s="52">
        <v>0</v>
      </c>
      <c r="M31" s="53">
        <v>0</v>
      </c>
      <c r="N31" s="51">
        <v>0</v>
      </c>
      <c r="O31" s="51">
        <v>0</v>
      </c>
      <c r="P31" s="51">
        <v>0</v>
      </c>
      <c r="Q31" s="51">
        <v>0</v>
      </c>
      <c r="R31" s="51">
        <v>0</v>
      </c>
      <c r="S31" s="51">
        <v>0</v>
      </c>
      <c r="T31" s="51">
        <v>1</v>
      </c>
      <c r="U31" s="54">
        <f t="shared" si="0"/>
        <v>1</v>
      </c>
      <c r="V31" s="51">
        <v>0</v>
      </c>
      <c r="W31" s="51">
        <v>0</v>
      </c>
      <c r="X31" s="52">
        <v>0</v>
      </c>
      <c r="Y31" s="52">
        <v>0</v>
      </c>
      <c r="Z31" s="53">
        <v>0</v>
      </c>
      <c r="AA31" s="51">
        <v>0</v>
      </c>
      <c r="AB31" s="51">
        <v>0</v>
      </c>
      <c r="AC31" s="51">
        <v>0</v>
      </c>
      <c r="AD31" s="51">
        <v>0</v>
      </c>
      <c r="AE31" s="51">
        <v>0</v>
      </c>
      <c r="AF31" s="51">
        <v>0</v>
      </c>
      <c r="AG31" s="51">
        <v>0</v>
      </c>
      <c r="AH31" s="55">
        <f t="shared" si="1"/>
        <v>0</v>
      </c>
    </row>
    <row r="32" spans="1:34" ht="62.25" customHeight="1">
      <c r="A32" s="6">
        <v>31</v>
      </c>
      <c r="B32" s="6" t="s">
        <v>6</v>
      </c>
      <c r="C32" s="33" t="s">
        <v>287</v>
      </c>
      <c r="D32" s="7" t="s">
        <v>135</v>
      </c>
      <c r="E32" s="6" t="s">
        <v>91</v>
      </c>
      <c r="F32" s="10" t="s">
        <v>137</v>
      </c>
      <c r="G32" s="6" t="s">
        <v>93</v>
      </c>
      <c r="H32" s="8" t="s">
        <v>301</v>
      </c>
      <c r="I32" s="51">
        <v>0</v>
      </c>
      <c r="J32" s="51">
        <v>0</v>
      </c>
      <c r="K32" s="51">
        <v>0</v>
      </c>
      <c r="L32" s="52">
        <v>0</v>
      </c>
      <c r="M32" s="53">
        <v>0</v>
      </c>
      <c r="N32" s="51">
        <v>0</v>
      </c>
      <c r="O32" s="51">
        <v>0</v>
      </c>
      <c r="P32" s="51">
        <v>0</v>
      </c>
      <c r="Q32" s="51">
        <v>0</v>
      </c>
      <c r="R32" s="51">
        <v>0</v>
      </c>
      <c r="S32" s="51">
        <v>0</v>
      </c>
      <c r="T32" s="51">
        <v>1</v>
      </c>
      <c r="U32" s="54">
        <f t="shared" si="0"/>
        <v>1</v>
      </c>
      <c r="V32" s="51">
        <v>0</v>
      </c>
      <c r="W32" s="51">
        <v>0</v>
      </c>
      <c r="X32" s="52">
        <v>0</v>
      </c>
      <c r="Y32" s="52">
        <v>0</v>
      </c>
      <c r="Z32" s="53">
        <v>0</v>
      </c>
      <c r="AA32" s="51">
        <v>0</v>
      </c>
      <c r="AB32" s="51">
        <v>0</v>
      </c>
      <c r="AC32" s="51">
        <v>0</v>
      </c>
      <c r="AD32" s="51">
        <v>0</v>
      </c>
      <c r="AE32" s="51">
        <v>0</v>
      </c>
      <c r="AF32" s="51">
        <v>0</v>
      </c>
      <c r="AG32" s="51">
        <v>0</v>
      </c>
      <c r="AH32" s="55">
        <f t="shared" si="1"/>
        <v>0</v>
      </c>
    </row>
    <row r="33" spans="1:34" ht="62.25" customHeight="1">
      <c r="A33" s="6">
        <v>98</v>
      </c>
      <c r="B33" s="6" t="s">
        <v>11</v>
      </c>
      <c r="C33" s="6" t="s">
        <v>294</v>
      </c>
      <c r="D33" s="7" t="s">
        <v>129</v>
      </c>
      <c r="E33" s="6" t="s">
        <v>91</v>
      </c>
      <c r="F33" s="10" t="s">
        <v>138</v>
      </c>
      <c r="G33" s="6" t="s">
        <v>82</v>
      </c>
      <c r="H33" s="8" t="s">
        <v>301</v>
      </c>
      <c r="I33" s="51">
        <v>0</v>
      </c>
      <c r="J33" s="51">
        <v>0</v>
      </c>
      <c r="K33" s="51">
        <v>0</v>
      </c>
      <c r="L33" s="52">
        <v>0</v>
      </c>
      <c r="M33" s="53">
        <v>0</v>
      </c>
      <c r="N33" s="51">
        <v>1</v>
      </c>
      <c r="O33" s="51">
        <v>0</v>
      </c>
      <c r="P33" s="51">
        <v>0</v>
      </c>
      <c r="Q33" s="51">
        <v>0</v>
      </c>
      <c r="R33" s="51">
        <v>0</v>
      </c>
      <c r="S33" s="51">
        <v>0</v>
      </c>
      <c r="T33" s="51">
        <v>1</v>
      </c>
      <c r="U33" s="54">
        <f t="shared" si="0"/>
        <v>2</v>
      </c>
      <c r="V33" s="51">
        <v>0</v>
      </c>
      <c r="W33" s="51">
        <v>0</v>
      </c>
      <c r="X33" s="52">
        <v>0</v>
      </c>
      <c r="Y33" s="52">
        <v>0</v>
      </c>
      <c r="Z33" s="53">
        <v>0</v>
      </c>
      <c r="AA33" s="51">
        <v>0</v>
      </c>
      <c r="AB33" s="51">
        <v>0</v>
      </c>
      <c r="AC33" s="51">
        <v>0</v>
      </c>
      <c r="AD33" s="51">
        <v>0</v>
      </c>
      <c r="AE33" s="51">
        <v>0</v>
      </c>
      <c r="AF33" s="51">
        <v>0</v>
      </c>
      <c r="AG33" s="51">
        <v>0</v>
      </c>
      <c r="AH33" s="55">
        <f t="shared" si="1"/>
        <v>0</v>
      </c>
    </row>
    <row r="34" spans="1:34" ht="62.25" customHeight="1">
      <c r="A34" s="6">
        <v>31</v>
      </c>
      <c r="B34" s="6" t="s">
        <v>6</v>
      </c>
      <c r="C34" s="33" t="s">
        <v>287</v>
      </c>
      <c r="D34" s="7" t="s">
        <v>135</v>
      </c>
      <c r="E34" s="6" t="s">
        <v>91</v>
      </c>
      <c r="F34" s="10" t="s">
        <v>139</v>
      </c>
      <c r="G34" s="6" t="s">
        <v>140</v>
      </c>
      <c r="H34" s="8" t="s">
        <v>301</v>
      </c>
      <c r="I34" s="51">
        <v>0</v>
      </c>
      <c r="J34" s="51">
        <v>0</v>
      </c>
      <c r="K34" s="51">
        <v>0</v>
      </c>
      <c r="L34" s="52">
        <v>0</v>
      </c>
      <c r="M34" s="53">
        <v>0</v>
      </c>
      <c r="N34" s="51">
        <v>0</v>
      </c>
      <c r="O34" s="51">
        <v>0</v>
      </c>
      <c r="P34" s="51">
        <v>0</v>
      </c>
      <c r="Q34" s="51">
        <v>0</v>
      </c>
      <c r="R34" s="51">
        <v>0</v>
      </c>
      <c r="S34" s="51">
        <v>0</v>
      </c>
      <c r="T34" s="51">
        <v>1</v>
      </c>
      <c r="U34" s="54">
        <f t="shared" ref="U34:U51" si="2">SUM(I34:T34)</f>
        <v>1</v>
      </c>
      <c r="V34" s="51">
        <v>0</v>
      </c>
      <c r="W34" s="51">
        <v>0</v>
      </c>
      <c r="X34" s="52">
        <v>0</v>
      </c>
      <c r="Y34" s="52">
        <v>0</v>
      </c>
      <c r="Z34" s="53">
        <v>0</v>
      </c>
      <c r="AA34" s="51">
        <v>0</v>
      </c>
      <c r="AB34" s="51">
        <v>0</v>
      </c>
      <c r="AC34" s="51">
        <v>0</v>
      </c>
      <c r="AD34" s="51">
        <v>0</v>
      </c>
      <c r="AE34" s="51">
        <v>0</v>
      </c>
      <c r="AF34" s="51">
        <v>0</v>
      </c>
      <c r="AG34" s="51">
        <v>0</v>
      </c>
      <c r="AH34" s="55">
        <f t="shared" ref="AH34:AH65" si="3">SUM(V34:AG34)</f>
        <v>0</v>
      </c>
    </row>
    <row r="35" spans="1:34" ht="62.25" customHeight="1">
      <c r="A35" s="6">
        <v>95</v>
      </c>
      <c r="B35" s="33" t="s">
        <v>8</v>
      </c>
      <c r="C35" s="33" t="s">
        <v>297</v>
      </c>
      <c r="D35" s="7" t="s">
        <v>141</v>
      </c>
      <c r="E35" s="6" t="s">
        <v>91</v>
      </c>
      <c r="F35" s="10" t="s">
        <v>142</v>
      </c>
      <c r="G35" s="6" t="s">
        <v>99</v>
      </c>
      <c r="H35" s="8" t="s">
        <v>301</v>
      </c>
      <c r="I35" s="51">
        <v>0</v>
      </c>
      <c r="J35" s="51">
        <v>0</v>
      </c>
      <c r="K35" s="51">
        <v>0</v>
      </c>
      <c r="L35" s="52">
        <v>0</v>
      </c>
      <c r="M35" s="53">
        <v>0</v>
      </c>
      <c r="N35" s="51">
        <v>0</v>
      </c>
      <c r="O35" s="51">
        <v>0</v>
      </c>
      <c r="P35" s="51">
        <v>0</v>
      </c>
      <c r="Q35" s="51">
        <v>0</v>
      </c>
      <c r="R35" s="51">
        <v>0</v>
      </c>
      <c r="S35" s="51">
        <v>0</v>
      </c>
      <c r="T35" s="51">
        <v>4</v>
      </c>
      <c r="U35" s="54">
        <f t="shared" si="2"/>
        <v>4</v>
      </c>
      <c r="V35" s="51">
        <v>0</v>
      </c>
      <c r="W35" s="51">
        <v>0</v>
      </c>
      <c r="X35" s="52">
        <v>0</v>
      </c>
      <c r="Y35" s="52">
        <v>0</v>
      </c>
      <c r="Z35" s="53">
        <v>0</v>
      </c>
      <c r="AA35" s="51">
        <v>0</v>
      </c>
      <c r="AB35" s="51">
        <v>0</v>
      </c>
      <c r="AC35" s="51">
        <v>0</v>
      </c>
      <c r="AD35" s="51">
        <v>0</v>
      </c>
      <c r="AE35" s="51">
        <v>0</v>
      </c>
      <c r="AF35" s="51">
        <v>0</v>
      </c>
      <c r="AG35" s="51">
        <v>0</v>
      </c>
      <c r="AH35" s="55">
        <f t="shared" si="3"/>
        <v>0</v>
      </c>
    </row>
    <row r="36" spans="1:34" ht="62.25" customHeight="1">
      <c r="A36" s="6">
        <v>95</v>
      </c>
      <c r="B36" s="6" t="s">
        <v>8</v>
      </c>
      <c r="C36" s="33" t="s">
        <v>297</v>
      </c>
      <c r="D36" s="7" t="s">
        <v>141</v>
      </c>
      <c r="E36" s="6" t="s">
        <v>91</v>
      </c>
      <c r="F36" s="10" t="s">
        <v>143</v>
      </c>
      <c r="G36" s="6" t="s">
        <v>99</v>
      </c>
      <c r="H36" s="8" t="s">
        <v>301</v>
      </c>
      <c r="I36" s="51">
        <v>0</v>
      </c>
      <c r="J36" s="51">
        <v>0</v>
      </c>
      <c r="K36" s="51">
        <v>0</v>
      </c>
      <c r="L36" s="52">
        <v>0</v>
      </c>
      <c r="M36" s="53">
        <v>0</v>
      </c>
      <c r="N36" s="51">
        <v>0</v>
      </c>
      <c r="O36" s="51">
        <v>0</v>
      </c>
      <c r="P36" s="51">
        <v>0</v>
      </c>
      <c r="Q36" s="51">
        <v>0</v>
      </c>
      <c r="R36" s="51">
        <v>0</v>
      </c>
      <c r="S36" s="51">
        <v>0</v>
      </c>
      <c r="T36" s="51">
        <v>1</v>
      </c>
      <c r="U36" s="54">
        <f t="shared" si="2"/>
        <v>1</v>
      </c>
      <c r="V36" s="51">
        <v>0</v>
      </c>
      <c r="W36" s="51">
        <v>0</v>
      </c>
      <c r="X36" s="52">
        <v>0</v>
      </c>
      <c r="Y36" s="52">
        <v>0</v>
      </c>
      <c r="Z36" s="53">
        <v>0</v>
      </c>
      <c r="AA36" s="51">
        <v>0</v>
      </c>
      <c r="AB36" s="51">
        <v>0</v>
      </c>
      <c r="AC36" s="51">
        <v>0</v>
      </c>
      <c r="AD36" s="51">
        <v>0</v>
      </c>
      <c r="AE36" s="51">
        <v>0</v>
      </c>
      <c r="AF36" s="51">
        <v>0</v>
      </c>
      <c r="AG36" s="51">
        <v>0</v>
      </c>
      <c r="AH36" s="55">
        <f t="shared" si="3"/>
        <v>0</v>
      </c>
    </row>
    <row r="37" spans="1:34" ht="62.25" customHeight="1">
      <c r="A37" s="6">
        <v>3</v>
      </c>
      <c r="B37" s="33" t="s">
        <v>21</v>
      </c>
      <c r="C37" s="33" t="s">
        <v>286</v>
      </c>
      <c r="D37" s="34" t="s">
        <v>144</v>
      </c>
      <c r="E37" s="6" t="s">
        <v>105</v>
      </c>
      <c r="F37" s="10" t="s">
        <v>145</v>
      </c>
      <c r="G37" s="6" t="s">
        <v>105</v>
      </c>
      <c r="H37" s="8" t="s">
        <v>301</v>
      </c>
      <c r="I37" s="51">
        <v>0</v>
      </c>
      <c r="J37" s="51">
        <v>0</v>
      </c>
      <c r="K37" s="51">
        <v>0</v>
      </c>
      <c r="L37" s="52">
        <v>0</v>
      </c>
      <c r="M37" s="53">
        <v>0</v>
      </c>
      <c r="N37" s="51">
        <v>0</v>
      </c>
      <c r="O37" s="51">
        <v>0</v>
      </c>
      <c r="P37" s="51">
        <v>0</v>
      </c>
      <c r="Q37" s="51">
        <v>0</v>
      </c>
      <c r="R37" s="51">
        <v>0</v>
      </c>
      <c r="S37" s="51">
        <v>0</v>
      </c>
      <c r="T37" s="51">
        <v>1</v>
      </c>
      <c r="U37" s="54">
        <f t="shared" si="2"/>
        <v>1</v>
      </c>
      <c r="V37" s="51">
        <v>0</v>
      </c>
      <c r="W37" s="51">
        <v>0</v>
      </c>
      <c r="X37" s="52">
        <v>0</v>
      </c>
      <c r="Y37" s="52">
        <v>0</v>
      </c>
      <c r="Z37" s="53">
        <v>0</v>
      </c>
      <c r="AA37" s="51">
        <v>0</v>
      </c>
      <c r="AB37" s="51">
        <v>0</v>
      </c>
      <c r="AC37" s="51">
        <v>0</v>
      </c>
      <c r="AD37" s="51">
        <v>0</v>
      </c>
      <c r="AE37" s="51">
        <v>0</v>
      </c>
      <c r="AF37" s="51">
        <v>0</v>
      </c>
      <c r="AG37" s="51">
        <v>0</v>
      </c>
      <c r="AH37" s="55">
        <f t="shared" si="3"/>
        <v>0</v>
      </c>
    </row>
    <row r="38" spans="1:34" ht="62.25" customHeight="1">
      <c r="A38" s="6">
        <v>3</v>
      </c>
      <c r="B38" s="6" t="s">
        <v>21</v>
      </c>
      <c r="C38" s="33" t="s">
        <v>286</v>
      </c>
      <c r="D38" s="7" t="s">
        <v>144</v>
      </c>
      <c r="E38" s="6" t="s">
        <v>105</v>
      </c>
      <c r="F38" s="10" t="s">
        <v>146</v>
      </c>
      <c r="G38" s="6" t="s">
        <v>105</v>
      </c>
      <c r="H38" s="8" t="s">
        <v>301</v>
      </c>
      <c r="I38" s="51">
        <v>0</v>
      </c>
      <c r="J38" s="51">
        <v>0</v>
      </c>
      <c r="K38" s="51">
        <v>0</v>
      </c>
      <c r="L38" s="52">
        <v>0</v>
      </c>
      <c r="M38" s="53">
        <v>0</v>
      </c>
      <c r="N38" s="51">
        <v>0</v>
      </c>
      <c r="O38" s="51">
        <v>0</v>
      </c>
      <c r="P38" s="51">
        <v>0</v>
      </c>
      <c r="Q38" s="51">
        <v>0</v>
      </c>
      <c r="R38" s="51">
        <v>0</v>
      </c>
      <c r="S38" s="51">
        <v>0</v>
      </c>
      <c r="T38" s="51">
        <v>1</v>
      </c>
      <c r="U38" s="54">
        <f t="shared" si="2"/>
        <v>1</v>
      </c>
      <c r="V38" s="51">
        <v>0</v>
      </c>
      <c r="W38" s="51">
        <v>0</v>
      </c>
      <c r="X38" s="52">
        <v>0</v>
      </c>
      <c r="Y38" s="52">
        <v>0</v>
      </c>
      <c r="Z38" s="53">
        <v>0</v>
      </c>
      <c r="AA38" s="51">
        <v>0</v>
      </c>
      <c r="AB38" s="51">
        <v>0</v>
      </c>
      <c r="AC38" s="51">
        <v>0</v>
      </c>
      <c r="AD38" s="51">
        <v>0</v>
      </c>
      <c r="AE38" s="51">
        <v>0</v>
      </c>
      <c r="AF38" s="51">
        <v>0</v>
      </c>
      <c r="AG38" s="51">
        <v>0</v>
      </c>
      <c r="AH38" s="55">
        <f t="shared" si="3"/>
        <v>0</v>
      </c>
    </row>
    <row r="39" spans="1:34" ht="62.25" customHeight="1">
      <c r="A39" s="6">
        <v>31</v>
      </c>
      <c r="B39" s="6" t="s">
        <v>7</v>
      </c>
      <c r="C39" s="33" t="s">
        <v>291</v>
      </c>
      <c r="D39" s="34" t="s">
        <v>90</v>
      </c>
      <c r="E39" s="6" t="s">
        <v>91</v>
      </c>
      <c r="F39" s="10" t="s">
        <v>147</v>
      </c>
      <c r="G39" s="6" t="s">
        <v>93</v>
      </c>
      <c r="H39" s="8" t="s">
        <v>301</v>
      </c>
      <c r="I39" s="51">
        <v>0</v>
      </c>
      <c r="J39" s="51">
        <v>0</v>
      </c>
      <c r="K39" s="51">
        <v>0</v>
      </c>
      <c r="L39" s="52">
        <v>0</v>
      </c>
      <c r="M39" s="53">
        <v>0</v>
      </c>
      <c r="N39" s="51">
        <v>0</v>
      </c>
      <c r="O39" s="51">
        <v>0</v>
      </c>
      <c r="P39" s="51">
        <v>0</v>
      </c>
      <c r="Q39" s="51">
        <v>0</v>
      </c>
      <c r="R39" s="51">
        <v>0</v>
      </c>
      <c r="S39" s="51">
        <v>0</v>
      </c>
      <c r="T39" s="51">
        <v>1</v>
      </c>
      <c r="U39" s="54">
        <f t="shared" si="2"/>
        <v>1</v>
      </c>
      <c r="V39" s="51">
        <v>0</v>
      </c>
      <c r="W39" s="51">
        <v>0</v>
      </c>
      <c r="X39" s="52">
        <v>0</v>
      </c>
      <c r="Y39" s="52">
        <v>0</v>
      </c>
      <c r="Z39" s="53">
        <v>0</v>
      </c>
      <c r="AA39" s="51">
        <v>0</v>
      </c>
      <c r="AB39" s="51">
        <v>0</v>
      </c>
      <c r="AC39" s="51">
        <v>0</v>
      </c>
      <c r="AD39" s="51">
        <v>0</v>
      </c>
      <c r="AE39" s="51">
        <v>0</v>
      </c>
      <c r="AF39" s="51">
        <v>0</v>
      </c>
      <c r="AG39" s="51">
        <v>0</v>
      </c>
      <c r="AH39" s="55">
        <f t="shared" si="3"/>
        <v>0</v>
      </c>
    </row>
    <row r="40" spans="1:34" ht="62.25" customHeight="1">
      <c r="A40" s="6">
        <v>39</v>
      </c>
      <c r="B40" s="33" t="s">
        <v>26</v>
      </c>
      <c r="C40" s="33" t="s">
        <v>287</v>
      </c>
      <c r="D40" s="7" t="s">
        <v>148</v>
      </c>
      <c r="E40" s="6" t="s">
        <v>84</v>
      </c>
      <c r="F40" s="10" t="s">
        <v>149</v>
      </c>
      <c r="G40" s="6" t="s">
        <v>99</v>
      </c>
      <c r="H40" s="8" t="s">
        <v>301</v>
      </c>
      <c r="I40" s="51">
        <v>0</v>
      </c>
      <c r="J40" s="51">
        <v>0</v>
      </c>
      <c r="K40" s="51">
        <v>0</v>
      </c>
      <c r="L40" s="52">
        <v>0</v>
      </c>
      <c r="M40" s="53">
        <v>0</v>
      </c>
      <c r="N40" s="51">
        <v>0</v>
      </c>
      <c r="O40" s="51">
        <v>0</v>
      </c>
      <c r="P40" s="51">
        <v>0</v>
      </c>
      <c r="Q40" s="51">
        <v>0</v>
      </c>
      <c r="R40" s="51">
        <v>0</v>
      </c>
      <c r="S40" s="51">
        <v>0</v>
      </c>
      <c r="T40" s="51">
        <v>1</v>
      </c>
      <c r="U40" s="54">
        <f t="shared" si="2"/>
        <v>1</v>
      </c>
      <c r="V40" s="51">
        <v>0</v>
      </c>
      <c r="W40" s="51">
        <v>0</v>
      </c>
      <c r="X40" s="52">
        <v>0</v>
      </c>
      <c r="Y40" s="52">
        <v>0</v>
      </c>
      <c r="Z40" s="53">
        <v>0</v>
      </c>
      <c r="AA40" s="51">
        <v>0</v>
      </c>
      <c r="AB40" s="51">
        <v>0</v>
      </c>
      <c r="AC40" s="51">
        <v>0</v>
      </c>
      <c r="AD40" s="51">
        <v>0</v>
      </c>
      <c r="AE40" s="51">
        <v>0</v>
      </c>
      <c r="AF40" s="51">
        <v>0</v>
      </c>
      <c r="AG40" s="51">
        <v>0</v>
      </c>
      <c r="AH40" s="55">
        <f t="shared" si="3"/>
        <v>0</v>
      </c>
    </row>
    <row r="41" spans="1:34" ht="93.75" customHeight="1">
      <c r="A41" s="6">
        <v>31</v>
      </c>
      <c r="B41" s="6" t="s">
        <v>6</v>
      </c>
      <c r="C41" s="33" t="s">
        <v>287</v>
      </c>
      <c r="D41" s="7" t="s">
        <v>135</v>
      </c>
      <c r="E41" s="6" t="s">
        <v>91</v>
      </c>
      <c r="F41" s="10" t="s">
        <v>152</v>
      </c>
      <c r="G41" s="6" t="s">
        <v>140</v>
      </c>
      <c r="H41" s="8" t="s">
        <v>301</v>
      </c>
      <c r="I41" s="51">
        <v>0</v>
      </c>
      <c r="J41" s="51">
        <v>0</v>
      </c>
      <c r="K41" s="51">
        <v>0</v>
      </c>
      <c r="L41" s="52">
        <v>0</v>
      </c>
      <c r="M41" s="53">
        <v>0</v>
      </c>
      <c r="N41" s="51">
        <v>0</v>
      </c>
      <c r="O41" s="51">
        <v>0</v>
      </c>
      <c r="P41" s="51">
        <v>0</v>
      </c>
      <c r="Q41" s="51">
        <v>0</v>
      </c>
      <c r="R41" s="51">
        <v>0</v>
      </c>
      <c r="S41" s="51">
        <v>0</v>
      </c>
      <c r="T41" s="51">
        <v>1</v>
      </c>
      <c r="U41" s="54">
        <f t="shared" si="2"/>
        <v>1</v>
      </c>
      <c r="V41" s="51">
        <v>0</v>
      </c>
      <c r="W41" s="51">
        <v>0</v>
      </c>
      <c r="X41" s="52">
        <v>0</v>
      </c>
      <c r="Y41" s="52">
        <v>0</v>
      </c>
      <c r="Z41" s="53">
        <v>0</v>
      </c>
      <c r="AA41" s="51">
        <v>0</v>
      </c>
      <c r="AB41" s="51">
        <v>0</v>
      </c>
      <c r="AC41" s="51">
        <v>0</v>
      </c>
      <c r="AD41" s="51">
        <v>0</v>
      </c>
      <c r="AE41" s="51">
        <v>0</v>
      </c>
      <c r="AF41" s="51">
        <v>0</v>
      </c>
      <c r="AG41" s="51">
        <v>0</v>
      </c>
      <c r="AH41" s="55">
        <f t="shared" si="3"/>
        <v>0</v>
      </c>
    </row>
    <row r="42" spans="1:34" ht="62.25" customHeight="1">
      <c r="A42" s="6">
        <v>78</v>
      </c>
      <c r="B42" s="6" t="s">
        <v>14</v>
      </c>
      <c r="C42" s="33" t="s">
        <v>296</v>
      </c>
      <c r="D42" s="7" t="s">
        <v>113</v>
      </c>
      <c r="E42" s="6" t="s">
        <v>91</v>
      </c>
      <c r="F42" s="10" t="s">
        <v>153</v>
      </c>
      <c r="G42" s="6" t="s">
        <v>99</v>
      </c>
      <c r="H42" s="8" t="s">
        <v>301</v>
      </c>
      <c r="I42" s="51">
        <v>0</v>
      </c>
      <c r="J42" s="51">
        <v>0</v>
      </c>
      <c r="K42" s="51">
        <v>0</v>
      </c>
      <c r="L42" s="52">
        <v>0</v>
      </c>
      <c r="M42" s="53">
        <v>0</v>
      </c>
      <c r="N42" s="51">
        <v>0</v>
      </c>
      <c r="O42" s="51">
        <v>0</v>
      </c>
      <c r="P42" s="51">
        <v>0</v>
      </c>
      <c r="Q42" s="51">
        <v>0</v>
      </c>
      <c r="R42" s="51">
        <v>0</v>
      </c>
      <c r="S42" s="51">
        <v>0</v>
      </c>
      <c r="T42" s="51">
        <v>1</v>
      </c>
      <c r="U42" s="54">
        <f t="shared" si="2"/>
        <v>1</v>
      </c>
      <c r="V42" s="51">
        <v>0</v>
      </c>
      <c r="W42" s="51">
        <v>0</v>
      </c>
      <c r="X42" s="52">
        <v>0</v>
      </c>
      <c r="Y42" s="52">
        <v>0</v>
      </c>
      <c r="Z42" s="53">
        <v>0</v>
      </c>
      <c r="AA42" s="51">
        <v>0</v>
      </c>
      <c r="AB42" s="51">
        <v>0</v>
      </c>
      <c r="AC42" s="51">
        <v>0</v>
      </c>
      <c r="AD42" s="51">
        <v>0</v>
      </c>
      <c r="AE42" s="51">
        <v>0</v>
      </c>
      <c r="AF42" s="51">
        <v>0</v>
      </c>
      <c r="AG42" s="51">
        <v>0</v>
      </c>
      <c r="AH42" s="55">
        <f t="shared" si="3"/>
        <v>0</v>
      </c>
    </row>
    <row r="43" spans="1:34" ht="62.25" customHeight="1">
      <c r="A43" s="6">
        <v>31</v>
      </c>
      <c r="B43" s="6" t="s">
        <v>6</v>
      </c>
      <c r="C43" s="33" t="s">
        <v>287</v>
      </c>
      <c r="D43" s="7" t="s">
        <v>135</v>
      </c>
      <c r="E43" s="6" t="s">
        <v>91</v>
      </c>
      <c r="F43" s="10" t="s">
        <v>154</v>
      </c>
      <c r="G43" s="6" t="s">
        <v>140</v>
      </c>
      <c r="H43" s="8" t="s">
        <v>301</v>
      </c>
      <c r="I43" s="51">
        <v>0</v>
      </c>
      <c r="J43" s="51">
        <v>0</v>
      </c>
      <c r="K43" s="51">
        <v>0</v>
      </c>
      <c r="L43" s="52">
        <v>0</v>
      </c>
      <c r="M43" s="53">
        <v>0</v>
      </c>
      <c r="N43" s="58">
        <v>1</v>
      </c>
      <c r="O43" s="58">
        <v>1</v>
      </c>
      <c r="P43" s="58">
        <v>1</v>
      </c>
      <c r="Q43" s="58">
        <v>1</v>
      </c>
      <c r="R43" s="58">
        <v>1</v>
      </c>
      <c r="S43" s="58">
        <v>1</v>
      </c>
      <c r="T43" s="59">
        <v>1</v>
      </c>
      <c r="U43" s="54">
        <f t="shared" si="2"/>
        <v>7</v>
      </c>
      <c r="V43" s="51">
        <v>0</v>
      </c>
      <c r="W43" s="51">
        <v>0</v>
      </c>
      <c r="X43" s="52">
        <v>0</v>
      </c>
      <c r="Y43" s="52">
        <v>0</v>
      </c>
      <c r="Z43" s="53">
        <v>0</v>
      </c>
      <c r="AA43" s="51">
        <v>0</v>
      </c>
      <c r="AB43" s="51">
        <v>0</v>
      </c>
      <c r="AC43" s="51">
        <v>0</v>
      </c>
      <c r="AD43" s="51">
        <v>0</v>
      </c>
      <c r="AE43" s="51">
        <v>0</v>
      </c>
      <c r="AF43" s="51">
        <v>0</v>
      </c>
      <c r="AG43" s="51">
        <v>0</v>
      </c>
      <c r="AH43" s="55">
        <f t="shared" si="3"/>
        <v>0</v>
      </c>
    </row>
    <row r="44" spans="1:34" ht="62.25" customHeight="1">
      <c r="A44" s="6">
        <v>31</v>
      </c>
      <c r="B44" s="6" t="s">
        <v>6</v>
      </c>
      <c r="C44" s="33" t="s">
        <v>287</v>
      </c>
      <c r="D44" s="7" t="s">
        <v>135</v>
      </c>
      <c r="E44" s="6" t="s">
        <v>91</v>
      </c>
      <c r="F44" s="10" t="s">
        <v>155</v>
      </c>
      <c r="G44" s="6" t="s">
        <v>140</v>
      </c>
      <c r="H44" s="8" t="s">
        <v>301</v>
      </c>
      <c r="I44" s="51">
        <v>0</v>
      </c>
      <c r="J44" s="51">
        <v>0</v>
      </c>
      <c r="K44" s="51">
        <v>0</v>
      </c>
      <c r="L44" s="52">
        <v>0</v>
      </c>
      <c r="M44" s="53">
        <v>0</v>
      </c>
      <c r="N44" s="58">
        <v>1</v>
      </c>
      <c r="O44" s="58">
        <v>1</v>
      </c>
      <c r="P44" s="58">
        <v>1</v>
      </c>
      <c r="Q44" s="58">
        <v>1</v>
      </c>
      <c r="R44" s="58">
        <v>1</v>
      </c>
      <c r="S44" s="58">
        <v>1</v>
      </c>
      <c r="T44" s="59">
        <v>1</v>
      </c>
      <c r="U44" s="54">
        <f t="shared" si="2"/>
        <v>7</v>
      </c>
      <c r="V44" s="51">
        <v>0</v>
      </c>
      <c r="W44" s="51">
        <v>0</v>
      </c>
      <c r="X44" s="52">
        <v>0</v>
      </c>
      <c r="Y44" s="52">
        <v>0</v>
      </c>
      <c r="Z44" s="53">
        <v>0</v>
      </c>
      <c r="AA44" s="51">
        <v>0</v>
      </c>
      <c r="AB44" s="51">
        <v>0</v>
      </c>
      <c r="AC44" s="51">
        <v>0</v>
      </c>
      <c r="AD44" s="51">
        <v>0</v>
      </c>
      <c r="AE44" s="51">
        <v>0</v>
      </c>
      <c r="AF44" s="51">
        <v>0</v>
      </c>
      <c r="AG44" s="51">
        <v>0</v>
      </c>
      <c r="AH44" s="55">
        <f t="shared" si="3"/>
        <v>0</v>
      </c>
    </row>
    <row r="45" spans="1:34" ht="62.25" customHeight="1">
      <c r="A45" s="6">
        <v>103</v>
      </c>
      <c r="B45" s="6" t="s">
        <v>24</v>
      </c>
      <c r="C45" s="6" t="s">
        <v>290</v>
      </c>
      <c r="D45" s="7" t="s">
        <v>156</v>
      </c>
      <c r="E45" s="6" t="s">
        <v>82</v>
      </c>
      <c r="F45" s="10" t="s">
        <v>157</v>
      </c>
      <c r="G45" s="6" t="s">
        <v>82</v>
      </c>
      <c r="H45" s="8" t="s">
        <v>301</v>
      </c>
      <c r="I45" s="51">
        <v>0</v>
      </c>
      <c r="J45" s="51">
        <v>0</v>
      </c>
      <c r="K45" s="51">
        <v>0</v>
      </c>
      <c r="L45" s="52">
        <v>0</v>
      </c>
      <c r="M45" s="53">
        <v>0</v>
      </c>
      <c r="N45" s="51">
        <v>0</v>
      </c>
      <c r="O45" s="51">
        <v>0</v>
      </c>
      <c r="P45" s="51">
        <v>0</v>
      </c>
      <c r="Q45" s="51">
        <v>0</v>
      </c>
      <c r="R45" s="51">
        <v>0</v>
      </c>
      <c r="S45" s="51">
        <v>0</v>
      </c>
      <c r="T45" s="51">
        <v>1</v>
      </c>
      <c r="U45" s="54">
        <f t="shared" si="2"/>
        <v>1</v>
      </c>
      <c r="V45" s="51">
        <v>0</v>
      </c>
      <c r="W45" s="51">
        <v>0</v>
      </c>
      <c r="X45" s="52">
        <v>0</v>
      </c>
      <c r="Y45" s="52">
        <v>0</v>
      </c>
      <c r="Z45" s="53">
        <v>0</v>
      </c>
      <c r="AA45" s="51">
        <v>0</v>
      </c>
      <c r="AB45" s="51">
        <v>0</v>
      </c>
      <c r="AC45" s="51">
        <v>0</v>
      </c>
      <c r="AD45" s="51">
        <v>0</v>
      </c>
      <c r="AE45" s="51">
        <v>0</v>
      </c>
      <c r="AF45" s="51">
        <v>0</v>
      </c>
      <c r="AG45" s="51">
        <v>0</v>
      </c>
      <c r="AH45" s="55">
        <f t="shared" si="3"/>
        <v>0</v>
      </c>
    </row>
    <row r="46" spans="1:34" ht="62.25" customHeight="1">
      <c r="A46" s="6">
        <v>5</v>
      </c>
      <c r="B46" s="33" t="s">
        <v>2</v>
      </c>
      <c r="C46" s="33" t="s">
        <v>287</v>
      </c>
      <c r="D46" s="7" t="s">
        <v>158</v>
      </c>
      <c r="E46" s="6" t="s">
        <v>159</v>
      </c>
      <c r="F46" s="10" t="s">
        <v>160</v>
      </c>
      <c r="G46" s="6" t="s">
        <v>140</v>
      </c>
      <c r="H46" s="8" t="s">
        <v>301</v>
      </c>
      <c r="I46" s="51">
        <v>0</v>
      </c>
      <c r="J46" s="51">
        <v>0</v>
      </c>
      <c r="K46" s="51">
        <v>0</v>
      </c>
      <c r="L46" s="52">
        <v>0</v>
      </c>
      <c r="M46" s="53">
        <v>0</v>
      </c>
      <c r="N46" s="58">
        <v>1</v>
      </c>
      <c r="O46" s="58">
        <v>1</v>
      </c>
      <c r="P46" s="58">
        <v>1</v>
      </c>
      <c r="Q46" s="58">
        <v>1</v>
      </c>
      <c r="R46" s="58">
        <v>1</v>
      </c>
      <c r="S46" s="58">
        <v>1</v>
      </c>
      <c r="T46" s="59">
        <v>1</v>
      </c>
      <c r="U46" s="54">
        <f t="shared" si="2"/>
        <v>7</v>
      </c>
      <c r="V46" s="51">
        <v>0</v>
      </c>
      <c r="W46" s="51">
        <v>0</v>
      </c>
      <c r="X46" s="52">
        <v>0</v>
      </c>
      <c r="Y46" s="52">
        <v>0</v>
      </c>
      <c r="Z46" s="53">
        <v>0</v>
      </c>
      <c r="AA46" s="51">
        <v>0</v>
      </c>
      <c r="AB46" s="51">
        <v>0</v>
      </c>
      <c r="AC46" s="51">
        <v>0</v>
      </c>
      <c r="AD46" s="51">
        <v>0</v>
      </c>
      <c r="AE46" s="51">
        <v>0</v>
      </c>
      <c r="AF46" s="51">
        <v>0</v>
      </c>
      <c r="AG46" s="51">
        <v>0</v>
      </c>
      <c r="AH46" s="55">
        <f t="shared" si="3"/>
        <v>0</v>
      </c>
    </row>
    <row r="47" spans="1:34" ht="62.25" customHeight="1">
      <c r="A47" s="6">
        <v>39</v>
      </c>
      <c r="B47" s="33" t="s">
        <v>27</v>
      </c>
      <c r="C47" s="33" t="s">
        <v>294</v>
      </c>
      <c r="D47" s="7" t="s">
        <v>161</v>
      </c>
      <c r="E47" s="6" t="s">
        <v>84</v>
      </c>
      <c r="F47" s="10" t="s">
        <v>162</v>
      </c>
      <c r="G47" s="6" t="s">
        <v>84</v>
      </c>
      <c r="H47" s="8" t="s">
        <v>301</v>
      </c>
      <c r="I47" s="51">
        <v>0</v>
      </c>
      <c r="J47" s="51">
        <v>0</v>
      </c>
      <c r="K47" s="51">
        <v>0</v>
      </c>
      <c r="L47" s="52">
        <v>0</v>
      </c>
      <c r="M47" s="53">
        <v>0</v>
      </c>
      <c r="N47" s="51">
        <v>0</v>
      </c>
      <c r="O47" s="51">
        <v>0</v>
      </c>
      <c r="P47" s="51">
        <v>0</v>
      </c>
      <c r="Q47" s="51">
        <v>0</v>
      </c>
      <c r="R47" s="51">
        <v>0</v>
      </c>
      <c r="S47" s="51">
        <v>0</v>
      </c>
      <c r="T47" s="51">
        <v>1</v>
      </c>
      <c r="U47" s="54">
        <f t="shared" si="2"/>
        <v>1</v>
      </c>
      <c r="V47" s="51">
        <v>0</v>
      </c>
      <c r="W47" s="51">
        <v>0</v>
      </c>
      <c r="X47" s="52">
        <v>0</v>
      </c>
      <c r="Y47" s="52">
        <v>0</v>
      </c>
      <c r="Z47" s="53">
        <v>0</v>
      </c>
      <c r="AA47" s="51">
        <v>0</v>
      </c>
      <c r="AB47" s="51">
        <v>0</v>
      </c>
      <c r="AC47" s="51">
        <v>0</v>
      </c>
      <c r="AD47" s="51">
        <v>0</v>
      </c>
      <c r="AE47" s="51">
        <v>0</v>
      </c>
      <c r="AF47" s="51">
        <v>0</v>
      </c>
      <c r="AG47" s="51">
        <v>0</v>
      </c>
      <c r="AH47" s="55">
        <f t="shared" si="3"/>
        <v>0</v>
      </c>
    </row>
    <row r="48" spans="1:34" ht="62.25" customHeight="1">
      <c r="A48" s="6">
        <v>98</v>
      </c>
      <c r="B48" s="6" t="s">
        <v>11</v>
      </c>
      <c r="C48" s="6" t="s">
        <v>294</v>
      </c>
      <c r="D48" s="7" t="s">
        <v>129</v>
      </c>
      <c r="E48" s="6" t="s">
        <v>91</v>
      </c>
      <c r="F48" s="10" t="s">
        <v>163</v>
      </c>
      <c r="G48" s="6" t="s">
        <v>82</v>
      </c>
      <c r="H48" s="8" t="s">
        <v>301</v>
      </c>
      <c r="I48" s="51">
        <v>0</v>
      </c>
      <c r="J48" s="51">
        <v>0</v>
      </c>
      <c r="K48" s="51">
        <v>0</v>
      </c>
      <c r="L48" s="52">
        <v>0</v>
      </c>
      <c r="M48" s="53">
        <v>0</v>
      </c>
      <c r="N48" s="51">
        <v>1</v>
      </c>
      <c r="O48" s="51">
        <v>0</v>
      </c>
      <c r="P48" s="51">
        <v>0</v>
      </c>
      <c r="Q48" s="51">
        <v>0</v>
      </c>
      <c r="R48" s="51">
        <v>0</v>
      </c>
      <c r="S48" s="51">
        <v>0</v>
      </c>
      <c r="T48" s="51">
        <v>1</v>
      </c>
      <c r="U48" s="54">
        <f t="shared" si="2"/>
        <v>2</v>
      </c>
      <c r="V48" s="51">
        <v>0</v>
      </c>
      <c r="W48" s="51">
        <v>0</v>
      </c>
      <c r="X48" s="52">
        <v>0</v>
      </c>
      <c r="Y48" s="52">
        <v>0</v>
      </c>
      <c r="Z48" s="53">
        <v>0</v>
      </c>
      <c r="AA48" s="51">
        <v>0</v>
      </c>
      <c r="AB48" s="51">
        <v>0</v>
      </c>
      <c r="AC48" s="51">
        <v>0</v>
      </c>
      <c r="AD48" s="51">
        <v>0</v>
      </c>
      <c r="AE48" s="51">
        <v>0</v>
      </c>
      <c r="AF48" s="51">
        <v>0</v>
      </c>
      <c r="AG48" s="51">
        <v>0</v>
      </c>
      <c r="AH48" s="55">
        <f t="shared" si="3"/>
        <v>0</v>
      </c>
    </row>
    <row r="49" spans="1:34" ht="62.25" customHeight="1">
      <c r="A49" s="6">
        <v>98</v>
      </c>
      <c r="B49" s="6" t="s">
        <v>11</v>
      </c>
      <c r="C49" s="6" t="s">
        <v>294</v>
      </c>
      <c r="D49" s="7" t="s">
        <v>129</v>
      </c>
      <c r="E49" s="6" t="s">
        <v>91</v>
      </c>
      <c r="F49" s="10" t="s">
        <v>164</v>
      </c>
      <c r="G49" s="6" t="s">
        <v>82</v>
      </c>
      <c r="H49" s="8" t="s">
        <v>301</v>
      </c>
      <c r="I49" s="51">
        <v>0</v>
      </c>
      <c r="J49" s="51">
        <v>0</v>
      </c>
      <c r="K49" s="51">
        <v>0</v>
      </c>
      <c r="L49" s="52">
        <v>0</v>
      </c>
      <c r="M49" s="53">
        <v>0</v>
      </c>
      <c r="N49" s="51">
        <v>1</v>
      </c>
      <c r="O49" s="51">
        <v>0</v>
      </c>
      <c r="P49" s="51">
        <v>0</v>
      </c>
      <c r="Q49" s="51">
        <v>0</v>
      </c>
      <c r="R49" s="51">
        <v>0</v>
      </c>
      <c r="S49" s="51">
        <v>0</v>
      </c>
      <c r="T49" s="51">
        <v>1</v>
      </c>
      <c r="U49" s="54">
        <f t="shared" si="2"/>
        <v>2</v>
      </c>
      <c r="V49" s="51">
        <v>0</v>
      </c>
      <c r="W49" s="51">
        <v>0</v>
      </c>
      <c r="X49" s="52">
        <v>0</v>
      </c>
      <c r="Y49" s="52">
        <v>0</v>
      </c>
      <c r="Z49" s="53">
        <v>0</v>
      </c>
      <c r="AA49" s="51">
        <v>0</v>
      </c>
      <c r="AB49" s="51">
        <v>0</v>
      </c>
      <c r="AC49" s="51">
        <v>0</v>
      </c>
      <c r="AD49" s="51">
        <v>0</v>
      </c>
      <c r="AE49" s="51">
        <v>0</v>
      </c>
      <c r="AF49" s="51">
        <v>0</v>
      </c>
      <c r="AG49" s="51">
        <v>0</v>
      </c>
      <c r="AH49" s="55">
        <f t="shared" si="3"/>
        <v>0</v>
      </c>
    </row>
    <row r="50" spans="1:34" ht="62.25" customHeight="1">
      <c r="A50" s="6">
        <v>102</v>
      </c>
      <c r="B50" s="6" t="s">
        <v>48</v>
      </c>
      <c r="C50" s="37" t="s">
        <v>299</v>
      </c>
      <c r="D50" s="7" t="s">
        <v>165</v>
      </c>
      <c r="E50" s="6" t="s">
        <v>99</v>
      </c>
      <c r="F50" s="10" t="s">
        <v>166</v>
      </c>
      <c r="G50" s="6" t="s">
        <v>167</v>
      </c>
      <c r="H50" s="37" t="s">
        <v>304</v>
      </c>
      <c r="I50" s="51">
        <v>0</v>
      </c>
      <c r="J50" s="51">
        <v>0</v>
      </c>
      <c r="K50" s="51">
        <v>0</v>
      </c>
      <c r="L50" s="52">
        <v>0</v>
      </c>
      <c r="M50" s="53">
        <v>0</v>
      </c>
      <c r="N50" s="51">
        <v>1</v>
      </c>
      <c r="O50" s="51">
        <v>0</v>
      </c>
      <c r="P50" s="51">
        <v>0</v>
      </c>
      <c r="Q50" s="51">
        <v>0</v>
      </c>
      <c r="R50" s="51">
        <v>0</v>
      </c>
      <c r="S50" s="51">
        <v>0</v>
      </c>
      <c r="T50" s="51">
        <v>0</v>
      </c>
      <c r="U50" s="54">
        <f t="shared" si="2"/>
        <v>1</v>
      </c>
      <c r="V50" s="51">
        <v>0</v>
      </c>
      <c r="W50" s="51">
        <v>0</v>
      </c>
      <c r="X50" s="52">
        <v>0</v>
      </c>
      <c r="Y50" s="52">
        <v>0</v>
      </c>
      <c r="Z50" s="53">
        <v>0</v>
      </c>
      <c r="AA50" s="51">
        <v>0</v>
      </c>
      <c r="AB50" s="51">
        <v>0</v>
      </c>
      <c r="AC50" s="51">
        <v>0</v>
      </c>
      <c r="AD50" s="51">
        <v>0</v>
      </c>
      <c r="AE50" s="51">
        <v>0</v>
      </c>
      <c r="AF50" s="51">
        <v>0</v>
      </c>
      <c r="AG50" s="51">
        <v>0</v>
      </c>
      <c r="AH50" s="55">
        <f t="shared" si="3"/>
        <v>0</v>
      </c>
    </row>
    <row r="51" spans="1:34" ht="62.25" customHeight="1">
      <c r="A51" s="6">
        <v>103</v>
      </c>
      <c r="B51" s="6" t="s">
        <v>49</v>
      </c>
      <c r="C51" s="37" t="s">
        <v>299</v>
      </c>
      <c r="D51" s="7" t="s">
        <v>168</v>
      </c>
      <c r="E51" s="6" t="s">
        <v>99</v>
      </c>
      <c r="F51" s="10" t="s">
        <v>169</v>
      </c>
      <c r="G51" s="6" t="s">
        <v>167</v>
      </c>
      <c r="H51" s="37" t="s">
        <v>304</v>
      </c>
      <c r="I51" s="51">
        <v>0</v>
      </c>
      <c r="J51" s="51">
        <v>0</v>
      </c>
      <c r="K51" s="51">
        <v>0</v>
      </c>
      <c r="L51" s="52">
        <v>0</v>
      </c>
      <c r="M51" s="53">
        <v>1</v>
      </c>
      <c r="N51" s="51">
        <v>1</v>
      </c>
      <c r="O51" s="51">
        <v>0</v>
      </c>
      <c r="P51" s="51">
        <v>0</v>
      </c>
      <c r="Q51" s="51">
        <v>0</v>
      </c>
      <c r="R51" s="51">
        <v>0</v>
      </c>
      <c r="S51" s="51">
        <v>0</v>
      </c>
      <c r="T51" s="51">
        <v>0</v>
      </c>
      <c r="U51" s="54">
        <f t="shared" si="2"/>
        <v>2</v>
      </c>
      <c r="V51" s="51">
        <v>0</v>
      </c>
      <c r="W51" s="51">
        <v>0</v>
      </c>
      <c r="X51" s="52">
        <v>0</v>
      </c>
      <c r="Y51" s="52">
        <v>0</v>
      </c>
      <c r="Z51" s="53">
        <v>1</v>
      </c>
      <c r="AA51" s="51">
        <v>0</v>
      </c>
      <c r="AB51" s="51">
        <v>0</v>
      </c>
      <c r="AC51" s="51">
        <v>0</v>
      </c>
      <c r="AD51" s="51">
        <v>0</v>
      </c>
      <c r="AE51" s="51">
        <v>0</v>
      </c>
      <c r="AF51" s="51">
        <v>0</v>
      </c>
      <c r="AG51" s="51">
        <v>0</v>
      </c>
      <c r="AH51" s="55">
        <f t="shared" si="3"/>
        <v>1</v>
      </c>
    </row>
    <row r="52" spans="1:34" ht="62.25" customHeight="1">
      <c r="A52" s="6">
        <v>103</v>
      </c>
      <c r="B52" s="6" t="s">
        <v>49</v>
      </c>
      <c r="C52" s="37" t="s">
        <v>299</v>
      </c>
      <c r="D52" s="7" t="s">
        <v>168</v>
      </c>
      <c r="E52" s="6" t="s">
        <v>99</v>
      </c>
      <c r="F52" s="30" t="s">
        <v>170</v>
      </c>
      <c r="G52" s="6" t="s">
        <v>84</v>
      </c>
      <c r="H52" s="37" t="s">
        <v>304</v>
      </c>
      <c r="I52" s="51">
        <v>0</v>
      </c>
      <c r="J52" s="51">
        <v>0</v>
      </c>
      <c r="K52" s="51">
        <v>0</v>
      </c>
      <c r="L52" s="52">
        <v>0</v>
      </c>
      <c r="M52" s="53">
        <v>1</v>
      </c>
      <c r="N52" s="51">
        <v>0</v>
      </c>
      <c r="O52" s="51">
        <v>0</v>
      </c>
      <c r="P52" s="51">
        <v>0</v>
      </c>
      <c r="Q52" s="51">
        <v>0</v>
      </c>
      <c r="R52" s="51">
        <v>0</v>
      </c>
      <c r="S52" s="51">
        <v>0</v>
      </c>
      <c r="T52" s="51">
        <v>0</v>
      </c>
      <c r="U52" s="54">
        <v>1</v>
      </c>
      <c r="V52" s="51">
        <v>0</v>
      </c>
      <c r="W52" s="51">
        <v>0</v>
      </c>
      <c r="X52" s="52">
        <v>0</v>
      </c>
      <c r="Y52" s="52">
        <v>0</v>
      </c>
      <c r="Z52" s="53">
        <v>1</v>
      </c>
      <c r="AA52" s="51">
        <v>0</v>
      </c>
      <c r="AB52" s="51">
        <v>0</v>
      </c>
      <c r="AC52" s="51">
        <v>0</v>
      </c>
      <c r="AD52" s="51">
        <v>0</v>
      </c>
      <c r="AE52" s="51">
        <v>0</v>
      </c>
      <c r="AF52" s="51">
        <v>0</v>
      </c>
      <c r="AG52" s="51">
        <v>0</v>
      </c>
      <c r="AH52" s="55">
        <f t="shared" si="3"/>
        <v>1</v>
      </c>
    </row>
    <row r="53" spans="1:34" ht="62.25" customHeight="1">
      <c r="A53" s="6">
        <v>103</v>
      </c>
      <c r="B53" s="6" t="s">
        <v>49</v>
      </c>
      <c r="C53" s="37" t="s">
        <v>299</v>
      </c>
      <c r="D53" s="7" t="s">
        <v>168</v>
      </c>
      <c r="E53" s="6" t="s">
        <v>99</v>
      </c>
      <c r="F53" s="10" t="s">
        <v>171</v>
      </c>
      <c r="G53" s="6" t="s">
        <v>167</v>
      </c>
      <c r="H53" s="37" t="s">
        <v>304</v>
      </c>
      <c r="I53" s="51">
        <v>0</v>
      </c>
      <c r="J53" s="51">
        <v>0</v>
      </c>
      <c r="K53" s="51">
        <v>0</v>
      </c>
      <c r="L53" s="52">
        <v>0</v>
      </c>
      <c r="M53" s="53">
        <v>1</v>
      </c>
      <c r="N53" s="51">
        <v>4</v>
      </c>
      <c r="O53" s="51">
        <v>0</v>
      </c>
      <c r="P53" s="51">
        <v>0</v>
      </c>
      <c r="Q53" s="51">
        <v>0</v>
      </c>
      <c r="R53" s="51">
        <v>0</v>
      </c>
      <c r="S53" s="51">
        <v>0</v>
      </c>
      <c r="T53" s="51">
        <v>0</v>
      </c>
      <c r="U53" s="54">
        <f>SUM(I53:T53)</f>
        <v>5</v>
      </c>
      <c r="V53" s="51">
        <v>0</v>
      </c>
      <c r="W53" s="51">
        <v>0</v>
      </c>
      <c r="X53" s="52">
        <v>0</v>
      </c>
      <c r="Y53" s="52">
        <v>0</v>
      </c>
      <c r="Z53" s="53">
        <v>1</v>
      </c>
      <c r="AA53" s="51">
        <v>0</v>
      </c>
      <c r="AB53" s="51">
        <v>0</v>
      </c>
      <c r="AC53" s="51">
        <v>0</v>
      </c>
      <c r="AD53" s="51">
        <v>0</v>
      </c>
      <c r="AE53" s="51">
        <v>0</v>
      </c>
      <c r="AF53" s="51">
        <v>0</v>
      </c>
      <c r="AG53" s="51">
        <v>0</v>
      </c>
      <c r="AH53" s="55">
        <f t="shared" si="3"/>
        <v>1</v>
      </c>
    </row>
    <row r="54" spans="1:34" ht="62.25" customHeight="1">
      <c r="A54" s="6">
        <v>34</v>
      </c>
      <c r="B54" s="6" t="s">
        <v>33</v>
      </c>
      <c r="C54" s="37" t="s">
        <v>292</v>
      </c>
      <c r="D54" s="7" t="s">
        <v>172</v>
      </c>
      <c r="E54" s="6" t="s">
        <v>84</v>
      </c>
      <c r="F54" s="10" t="s">
        <v>173</v>
      </c>
      <c r="G54" s="6" t="s">
        <v>174</v>
      </c>
      <c r="H54" s="37" t="s">
        <v>305</v>
      </c>
      <c r="I54" s="51">
        <v>0</v>
      </c>
      <c r="J54" s="51">
        <v>0</v>
      </c>
      <c r="K54" s="51">
        <v>0</v>
      </c>
      <c r="L54" s="52">
        <v>0</v>
      </c>
      <c r="M54" s="53">
        <v>0</v>
      </c>
      <c r="N54" s="51">
        <v>0</v>
      </c>
      <c r="O54" s="51">
        <v>1</v>
      </c>
      <c r="P54" s="51">
        <v>0</v>
      </c>
      <c r="Q54" s="51">
        <v>0</v>
      </c>
      <c r="R54" s="51">
        <v>0</v>
      </c>
      <c r="S54" s="51">
        <v>0</v>
      </c>
      <c r="T54" s="51">
        <v>0</v>
      </c>
      <c r="U54" s="54">
        <f>SUM(I54:T54)</f>
        <v>1</v>
      </c>
      <c r="V54" s="51">
        <v>0</v>
      </c>
      <c r="W54" s="51">
        <v>0</v>
      </c>
      <c r="X54" s="52">
        <v>0</v>
      </c>
      <c r="Y54" s="52">
        <v>0</v>
      </c>
      <c r="Z54" s="53">
        <v>0</v>
      </c>
      <c r="AA54" s="51">
        <v>0</v>
      </c>
      <c r="AB54" s="51">
        <v>0</v>
      </c>
      <c r="AC54" s="51">
        <v>0</v>
      </c>
      <c r="AD54" s="51">
        <v>0</v>
      </c>
      <c r="AE54" s="51">
        <v>0</v>
      </c>
      <c r="AF54" s="51">
        <v>0</v>
      </c>
      <c r="AG54" s="51">
        <v>0</v>
      </c>
      <c r="AH54" s="55">
        <f t="shared" si="3"/>
        <v>0</v>
      </c>
    </row>
    <row r="55" spans="1:34" ht="62.25" customHeight="1">
      <c r="A55" s="6">
        <v>34</v>
      </c>
      <c r="B55" s="6" t="s">
        <v>33</v>
      </c>
      <c r="C55" s="37" t="s">
        <v>292</v>
      </c>
      <c r="D55" s="7" t="s">
        <v>172</v>
      </c>
      <c r="E55" s="6" t="s">
        <v>84</v>
      </c>
      <c r="F55" s="10" t="s">
        <v>175</v>
      </c>
      <c r="G55" s="6" t="s">
        <v>174</v>
      </c>
      <c r="H55" s="37" t="s">
        <v>305</v>
      </c>
      <c r="I55" s="51">
        <v>0</v>
      </c>
      <c r="J55" s="51">
        <v>0</v>
      </c>
      <c r="K55" s="51">
        <v>0</v>
      </c>
      <c r="L55" s="52">
        <v>0</v>
      </c>
      <c r="M55" s="53">
        <v>0</v>
      </c>
      <c r="N55" s="51">
        <v>0</v>
      </c>
      <c r="O55" s="51">
        <v>0</v>
      </c>
      <c r="P55" s="51">
        <v>0</v>
      </c>
      <c r="Q55" s="51">
        <v>1</v>
      </c>
      <c r="R55" s="51">
        <v>0</v>
      </c>
      <c r="S55" s="51">
        <v>0</v>
      </c>
      <c r="T55" s="51">
        <v>0</v>
      </c>
      <c r="U55" s="54">
        <f>SUM(I55:T55)</f>
        <v>1</v>
      </c>
      <c r="V55" s="51">
        <v>0</v>
      </c>
      <c r="W55" s="51">
        <v>0</v>
      </c>
      <c r="X55" s="52">
        <v>0</v>
      </c>
      <c r="Y55" s="52">
        <v>0</v>
      </c>
      <c r="Z55" s="53">
        <v>0</v>
      </c>
      <c r="AA55" s="51">
        <v>0</v>
      </c>
      <c r="AB55" s="51">
        <v>0</v>
      </c>
      <c r="AC55" s="51">
        <v>0</v>
      </c>
      <c r="AD55" s="51">
        <v>0</v>
      </c>
      <c r="AE55" s="51">
        <v>0</v>
      </c>
      <c r="AF55" s="51">
        <v>0</v>
      </c>
      <c r="AG55" s="51">
        <v>0</v>
      </c>
      <c r="AH55" s="55">
        <f t="shared" si="3"/>
        <v>0</v>
      </c>
    </row>
    <row r="56" spans="1:34" ht="62.25" customHeight="1">
      <c r="A56" s="6">
        <v>34</v>
      </c>
      <c r="B56" s="6" t="s">
        <v>33</v>
      </c>
      <c r="C56" s="37" t="s">
        <v>292</v>
      </c>
      <c r="D56" s="7" t="s">
        <v>172</v>
      </c>
      <c r="E56" s="6" t="s">
        <v>84</v>
      </c>
      <c r="F56" s="10" t="s">
        <v>176</v>
      </c>
      <c r="G56" s="6" t="s">
        <v>99</v>
      </c>
      <c r="H56" s="37" t="s">
        <v>305</v>
      </c>
      <c r="I56" s="51">
        <v>0</v>
      </c>
      <c r="J56" s="51">
        <v>0</v>
      </c>
      <c r="K56" s="51">
        <v>0</v>
      </c>
      <c r="L56" s="52">
        <v>0</v>
      </c>
      <c r="M56" s="53">
        <v>0</v>
      </c>
      <c r="N56" s="51">
        <v>0</v>
      </c>
      <c r="O56" s="51">
        <v>0</v>
      </c>
      <c r="P56" s="51">
        <v>0</v>
      </c>
      <c r="Q56" s="51">
        <v>1</v>
      </c>
      <c r="R56" s="51">
        <v>0</v>
      </c>
      <c r="S56" s="51">
        <v>0</v>
      </c>
      <c r="T56" s="51">
        <v>0</v>
      </c>
      <c r="U56" s="54">
        <f>SUM(I56:T56)</f>
        <v>1</v>
      </c>
      <c r="V56" s="51">
        <v>0</v>
      </c>
      <c r="W56" s="51">
        <v>0</v>
      </c>
      <c r="X56" s="52">
        <v>0</v>
      </c>
      <c r="Y56" s="52">
        <v>0</v>
      </c>
      <c r="Z56" s="53">
        <v>0</v>
      </c>
      <c r="AA56" s="51">
        <v>0</v>
      </c>
      <c r="AB56" s="51">
        <v>0</v>
      </c>
      <c r="AC56" s="51">
        <v>0</v>
      </c>
      <c r="AD56" s="51">
        <v>0</v>
      </c>
      <c r="AE56" s="51">
        <v>0</v>
      </c>
      <c r="AF56" s="51">
        <v>0</v>
      </c>
      <c r="AG56" s="51">
        <v>0</v>
      </c>
      <c r="AH56" s="55">
        <f t="shared" si="3"/>
        <v>0</v>
      </c>
    </row>
    <row r="57" spans="1:34" ht="62.25" customHeight="1">
      <c r="A57" s="6">
        <v>95</v>
      </c>
      <c r="B57" s="6" t="s">
        <v>32</v>
      </c>
      <c r="C57" s="37" t="s">
        <v>292</v>
      </c>
      <c r="D57" s="7" t="s">
        <v>177</v>
      </c>
      <c r="E57" s="6" t="s">
        <v>99</v>
      </c>
      <c r="F57" s="10" t="s">
        <v>178</v>
      </c>
      <c r="G57" s="6" t="s">
        <v>174</v>
      </c>
      <c r="H57" s="37" t="s">
        <v>305</v>
      </c>
      <c r="I57" s="51">
        <v>0</v>
      </c>
      <c r="J57" s="51">
        <v>0</v>
      </c>
      <c r="K57" s="51">
        <v>0</v>
      </c>
      <c r="L57" s="52">
        <v>0</v>
      </c>
      <c r="M57" s="53">
        <v>0</v>
      </c>
      <c r="N57" s="51">
        <v>0</v>
      </c>
      <c r="O57" s="51">
        <v>0</v>
      </c>
      <c r="P57" s="51">
        <v>0</v>
      </c>
      <c r="Q57" s="58">
        <v>1</v>
      </c>
      <c r="R57" s="51">
        <v>0</v>
      </c>
      <c r="S57" s="51">
        <v>0</v>
      </c>
      <c r="T57" s="51">
        <v>0</v>
      </c>
      <c r="U57" s="54">
        <v>1</v>
      </c>
      <c r="V57" s="51">
        <v>0</v>
      </c>
      <c r="W57" s="51">
        <v>0</v>
      </c>
      <c r="X57" s="52">
        <v>0</v>
      </c>
      <c r="Y57" s="52">
        <v>0</v>
      </c>
      <c r="Z57" s="53">
        <v>0</v>
      </c>
      <c r="AA57" s="51">
        <v>0</v>
      </c>
      <c r="AB57" s="51">
        <v>0</v>
      </c>
      <c r="AC57" s="51">
        <v>0</v>
      </c>
      <c r="AD57" s="51">
        <v>0</v>
      </c>
      <c r="AE57" s="51">
        <v>0</v>
      </c>
      <c r="AF57" s="51">
        <v>0</v>
      </c>
      <c r="AG57" s="51">
        <v>0</v>
      </c>
      <c r="AH57" s="55">
        <f t="shared" si="3"/>
        <v>0</v>
      </c>
    </row>
    <row r="58" spans="1:34" ht="62.25" customHeight="1">
      <c r="A58" s="6">
        <v>34</v>
      </c>
      <c r="B58" s="6" t="s">
        <v>33</v>
      </c>
      <c r="C58" s="37" t="s">
        <v>292</v>
      </c>
      <c r="D58" s="7" t="s">
        <v>179</v>
      </c>
      <c r="E58" s="6" t="s">
        <v>99</v>
      </c>
      <c r="F58" s="10" t="s">
        <v>180</v>
      </c>
      <c r="G58" s="6" t="s">
        <v>174</v>
      </c>
      <c r="H58" s="37" t="s">
        <v>305</v>
      </c>
      <c r="I58" s="51">
        <v>0</v>
      </c>
      <c r="J58" s="51">
        <v>0</v>
      </c>
      <c r="K58" s="51">
        <v>0</v>
      </c>
      <c r="L58" s="52">
        <v>0</v>
      </c>
      <c r="M58" s="53">
        <v>0</v>
      </c>
      <c r="N58" s="51">
        <v>0</v>
      </c>
      <c r="O58" s="51">
        <v>0</v>
      </c>
      <c r="P58" s="51">
        <v>0</v>
      </c>
      <c r="Q58" s="58">
        <v>1</v>
      </c>
      <c r="R58" s="51">
        <v>0</v>
      </c>
      <c r="S58" s="51">
        <v>0</v>
      </c>
      <c r="T58" s="51">
        <v>0</v>
      </c>
      <c r="U58" s="54">
        <v>1</v>
      </c>
      <c r="V58" s="51">
        <v>0</v>
      </c>
      <c r="W58" s="51">
        <v>0</v>
      </c>
      <c r="X58" s="52">
        <v>0</v>
      </c>
      <c r="Y58" s="52">
        <v>0</v>
      </c>
      <c r="Z58" s="53">
        <v>0</v>
      </c>
      <c r="AA58" s="51">
        <v>0</v>
      </c>
      <c r="AB58" s="51">
        <v>0</v>
      </c>
      <c r="AC58" s="51">
        <v>0</v>
      </c>
      <c r="AD58" s="51">
        <v>0</v>
      </c>
      <c r="AE58" s="51">
        <v>0</v>
      </c>
      <c r="AF58" s="51">
        <v>0</v>
      </c>
      <c r="AG58" s="51">
        <v>0</v>
      </c>
      <c r="AH58" s="55">
        <f t="shared" si="3"/>
        <v>0</v>
      </c>
    </row>
    <row r="59" spans="1:34" ht="72" customHeight="1">
      <c r="A59" s="6">
        <v>95</v>
      </c>
      <c r="B59" s="6" t="s">
        <v>34</v>
      </c>
      <c r="C59" s="37" t="s">
        <v>292</v>
      </c>
      <c r="D59" s="7" t="s">
        <v>181</v>
      </c>
      <c r="E59" s="6" t="s">
        <v>99</v>
      </c>
      <c r="F59" s="10" t="s">
        <v>182</v>
      </c>
      <c r="G59" s="6" t="s">
        <v>174</v>
      </c>
      <c r="H59" s="37" t="s">
        <v>305</v>
      </c>
      <c r="I59" s="51">
        <v>0</v>
      </c>
      <c r="J59" s="51">
        <v>0</v>
      </c>
      <c r="K59" s="51">
        <v>0</v>
      </c>
      <c r="L59" s="52">
        <v>0</v>
      </c>
      <c r="M59" s="53">
        <v>0</v>
      </c>
      <c r="N59" s="51">
        <v>0</v>
      </c>
      <c r="O59" s="51">
        <v>0</v>
      </c>
      <c r="P59" s="51">
        <v>0</v>
      </c>
      <c r="Q59" s="51">
        <v>1</v>
      </c>
      <c r="R59" s="51">
        <v>0</v>
      </c>
      <c r="S59" s="51">
        <v>0</v>
      </c>
      <c r="T59" s="51">
        <v>0</v>
      </c>
      <c r="U59" s="54">
        <f>SUM(I59:T59)</f>
        <v>1</v>
      </c>
      <c r="V59" s="51">
        <v>0</v>
      </c>
      <c r="W59" s="51">
        <v>0</v>
      </c>
      <c r="X59" s="52">
        <v>0</v>
      </c>
      <c r="Y59" s="52">
        <v>0</v>
      </c>
      <c r="Z59" s="53">
        <v>0</v>
      </c>
      <c r="AA59" s="51">
        <v>0</v>
      </c>
      <c r="AB59" s="51">
        <v>0</v>
      </c>
      <c r="AC59" s="51">
        <v>0</v>
      </c>
      <c r="AD59" s="51">
        <v>0</v>
      </c>
      <c r="AE59" s="51">
        <v>0</v>
      </c>
      <c r="AF59" s="51">
        <v>0</v>
      </c>
      <c r="AG59" s="51">
        <v>0</v>
      </c>
      <c r="AH59" s="55">
        <f t="shared" si="3"/>
        <v>0</v>
      </c>
    </row>
    <row r="60" spans="1:34" ht="62.25" customHeight="1">
      <c r="A60" s="6">
        <v>95</v>
      </c>
      <c r="B60" s="6" t="s">
        <v>32</v>
      </c>
      <c r="C60" s="37" t="s">
        <v>292</v>
      </c>
      <c r="D60" s="7" t="s">
        <v>177</v>
      </c>
      <c r="E60" s="6" t="s">
        <v>99</v>
      </c>
      <c r="F60" s="10" t="s">
        <v>183</v>
      </c>
      <c r="G60" s="6" t="s">
        <v>174</v>
      </c>
      <c r="H60" s="37" t="s">
        <v>305</v>
      </c>
      <c r="I60" s="51">
        <v>0</v>
      </c>
      <c r="J60" s="51">
        <v>0</v>
      </c>
      <c r="K60" s="51">
        <v>0</v>
      </c>
      <c r="L60" s="52">
        <v>0</v>
      </c>
      <c r="M60" s="53">
        <v>0</v>
      </c>
      <c r="N60" s="51">
        <v>0</v>
      </c>
      <c r="O60" s="51">
        <v>0</v>
      </c>
      <c r="P60" s="51">
        <v>0</v>
      </c>
      <c r="Q60" s="51">
        <v>1</v>
      </c>
      <c r="R60" s="51">
        <v>0</v>
      </c>
      <c r="S60" s="51">
        <v>0</v>
      </c>
      <c r="T60" s="51">
        <v>0</v>
      </c>
      <c r="U60" s="54">
        <f>SUM(I60:T60)</f>
        <v>1</v>
      </c>
      <c r="V60" s="51">
        <v>0</v>
      </c>
      <c r="W60" s="51">
        <v>0</v>
      </c>
      <c r="X60" s="52">
        <v>0</v>
      </c>
      <c r="Y60" s="52">
        <v>0</v>
      </c>
      <c r="Z60" s="53">
        <v>0</v>
      </c>
      <c r="AA60" s="51">
        <v>0</v>
      </c>
      <c r="AB60" s="51">
        <v>0</v>
      </c>
      <c r="AC60" s="51">
        <v>0</v>
      </c>
      <c r="AD60" s="51">
        <v>0</v>
      </c>
      <c r="AE60" s="51">
        <v>0</v>
      </c>
      <c r="AF60" s="51">
        <v>0</v>
      </c>
      <c r="AG60" s="51">
        <v>0</v>
      </c>
      <c r="AH60" s="55">
        <f t="shared" si="3"/>
        <v>0</v>
      </c>
    </row>
    <row r="61" spans="1:34" ht="62.25" customHeight="1">
      <c r="A61" s="6">
        <v>95</v>
      </c>
      <c r="B61" s="6" t="s">
        <v>36</v>
      </c>
      <c r="C61" s="37" t="s">
        <v>292</v>
      </c>
      <c r="D61" s="7" t="s">
        <v>184</v>
      </c>
      <c r="E61" s="6" t="s">
        <v>99</v>
      </c>
      <c r="F61" s="10" t="s">
        <v>185</v>
      </c>
      <c r="G61" s="6" t="s">
        <v>174</v>
      </c>
      <c r="H61" s="37" t="s">
        <v>305</v>
      </c>
      <c r="I61" s="51">
        <v>0</v>
      </c>
      <c r="J61" s="51">
        <v>0</v>
      </c>
      <c r="K61" s="51">
        <v>0</v>
      </c>
      <c r="L61" s="52">
        <v>0</v>
      </c>
      <c r="M61" s="53">
        <v>0</v>
      </c>
      <c r="N61" s="51">
        <v>0</v>
      </c>
      <c r="O61" s="51">
        <v>0</v>
      </c>
      <c r="P61" s="51">
        <v>0</v>
      </c>
      <c r="Q61" s="51">
        <v>0</v>
      </c>
      <c r="R61" s="51">
        <v>1</v>
      </c>
      <c r="S61" s="51">
        <v>0</v>
      </c>
      <c r="T61" s="51">
        <v>0</v>
      </c>
      <c r="U61" s="54">
        <f>SUM(I61:T61)</f>
        <v>1</v>
      </c>
      <c r="V61" s="51">
        <v>0</v>
      </c>
      <c r="W61" s="51">
        <v>0</v>
      </c>
      <c r="X61" s="52">
        <v>0</v>
      </c>
      <c r="Y61" s="52">
        <v>0</v>
      </c>
      <c r="Z61" s="53">
        <v>0</v>
      </c>
      <c r="AA61" s="51">
        <v>0</v>
      </c>
      <c r="AB61" s="51">
        <v>0</v>
      </c>
      <c r="AC61" s="51">
        <v>0</v>
      </c>
      <c r="AD61" s="51">
        <v>0</v>
      </c>
      <c r="AE61" s="51">
        <v>0</v>
      </c>
      <c r="AF61" s="51">
        <v>0</v>
      </c>
      <c r="AG61" s="51">
        <v>0</v>
      </c>
      <c r="AH61" s="55">
        <f t="shared" si="3"/>
        <v>0</v>
      </c>
    </row>
    <row r="62" spans="1:34" ht="62.25" customHeight="1">
      <c r="A62" s="6">
        <v>95</v>
      </c>
      <c r="B62" s="6" t="s">
        <v>36</v>
      </c>
      <c r="C62" s="37" t="s">
        <v>292</v>
      </c>
      <c r="D62" s="7" t="s">
        <v>184</v>
      </c>
      <c r="E62" s="6" t="s">
        <v>99</v>
      </c>
      <c r="F62" s="10" t="s">
        <v>186</v>
      </c>
      <c r="G62" s="6" t="s">
        <v>174</v>
      </c>
      <c r="H62" s="37" t="s">
        <v>305</v>
      </c>
      <c r="I62" s="51">
        <v>0</v>
      </c>
      <c r="J62" s="51">
        <v>0</v>
      </c>
      <c r="K62" s="51">
        <v>0</v>
      </c>
      <c r="L62" s="52">
        <v>0</v>
      </c>
      <c r="M62" s="53">
        <v>0</v>
      </c>
      <c r="N62" s="51">
        <v>0</v>
      </c>
      <c r="O62" s="51">
        <v>0</v>
      </c>
      <c r="P62" s="51">
        <v>0</v>
      </c>
      <c r="Q62" s="51">
        <v>1</v>
      </c>
      <c r="R62" s="51">
        <v>0</v>
      </c>
      <c r="S62" s="51">
        <v>0</v>
      </c>
      <c r="T62" s="51">
        <v>0</v>
      </c>
      <c r="U62" s="54">
        <f>SUM(I62:T62)</f>
        <v>1</v>
      </c>
      <c r="V62" s="51">
        <v>0</v>
      </c>
      <c r="W62" s="51">
        <v>0</v>
      </c>
      <c r="X62" s="52">
        <v>0</v>
      </c>
      <c r="Y62" s="52">
        <v>0</v>
      </c>
      <c r="Z62" s="53">
        <v>0</v>
      </c>
      <c r="AA62" s="51">
        <v>0</v>
      </c>
      <c r="AB62" s="51">
        <v>0</v>
      </c>
      <c r="AC62" s="51">
        <v>0</v>
      </c>
      <c r="AD62" s="51">
        <v>0</v>
      </c>
      <c r="AE62" s="51">
        <v>0</v>
      </c>
      <c r="AF62" s="51">
        <v>0</v>
      </c>
      <c r="AG62" s="51">
        <v>0</v>
      </c>
      <c r="AH62" s="55">
        <f t="shared" si="3"/>
        <v>0</v>
      </c>
    </row>
    <row r="63" spans="1:34" ht="62.25" customHeight="1">
      <c r="A63" s="6">
        <v>96</v>
      </c>
      <c r="B63" s="6" t="s">
        <v>37</v>
      </c>
      <c r="C63" s="37" t="s">
        <v>292</v>
      </c>
      <c r="D63" s="7" t="s">
        <v>187</v>
      </c>
      <c r="E63" s="6" t="s">
        <v>99</v>
      </c>
      <c r="F63" s="10" t="s">
        <v>188</v>
      </c>
      <c r="G63" s="6" t="s">
        <v>174</v>
      </c>
      <c r="H63" s="37" t="s">
        <v>305</v>
      </c>
      <c r="I63" s="51">
        <v>0</v>
      </c>
      <c r="J63" s="51">
        <v>0</v>
      </c>
      <c r="K63" s="51">
        <v>0</v>
      </c>
      <c r="L63" s="52">
        <v>0</v>
      </c>
      <c r="M63" s="53">
        <v>0</v>
      </c>
      <c r="N63" s="51">
        <v>0</v>
      </c>
      <c r="O63" s="51">
        <v>0</v>
      </c>
      <c r="P63" s="51">
        <v>0</v>
      </c>
      <c r="Q63" s="51">
        <v>0</v>
      </c>
      <c r="R63" s="51">
        <v>1</v>
      </c>
      <c r="S63" s="51">
        <v>0</v>
      </c>
      <c r="T63" s="51">
        <v>0</v>
      </c>
      <c r="U63" s="54">
        <f>SUM(I63:T63)</f>
        <v>1</v>
      </c>
      <c r="V63" s="51">
        <v>0</v>
      </c>
      <c r="W63" s="51">
        <v>0</v>
      </c>
      <c r="X63" s="52">
        <v>0</v>
      </c>
      <c r="Y63" s="52">
        <v>0</v>
      </c>
      <c r="Z63" s="53">
        <v>0</v>
      </c>
      <c r="AA63" s="51">
        <v>0</v>
      </c>
      <c r="AB63" s="51">
        <v>0</v>
      </c>
      <c r="AC63" s="51">
        <v>0</v>
      </c>
      <c r="AD63" s="51">
        <v>0</v>
      </c>
      <c r="AE63" s="51">
        <v>0</v>
      </c>
      <c r="AF63" s="51">
        <v>0</v>
      </c>
      <c r="AG63" s="51">
        <v>0</v>
      </c>
      <c r="AH63" s="55">
        <f t="shared" si="3"/>
        <v>0</v>
      </c>
    </row>
    <row r="64" spans="1:34" ht="62.25" customHeight="1">
      <c r="A64" s="6">
        <v>96</v>
      </c>
      <c r="B64" s="6" t="s">
        <v>37</v>
      </c>
      <c r="C64" s="37" t="s">
        <v>292</v>
      </c>
      <c r="D64" s="7" t="s">
        <v>187</v>
      </c>
      <c r="E64" s="6" t="s">
        <v>99</v>
      </c>
      <c r="F64" s="10" t="s">
        <v>189</v>
      </c>
      <c r="G64" s="6" t="s">
        <v>174</v>
      </c>
      <c r="H64" s="37" t="s">
        <v>305</v>
      </c>
      <c r="I64" s="51">
        <v>0</v>
      </c>
      <c r="J64" s="51">
        <v>0</v>
      </c>
      <c r="K64" s="51">
        <v>0</v>
      </c>
      <c r="L64" s="52">
        <v>0</v>
      </c>
      <c r="M64" s="53">
        <v>0</v>
      </c>
      <c r="N64" s="51">
        <v>0</v>
      </c>
      <c r="O64" s="51">
        <v>0</v>
      </c>
      <c r="P64" s="51">
        <v>0</v>
      </c>
      <c r="Q64" s="51">
        <v>0</v>
      </c>
      <c r="R64" s="58">
        <v>1</v>
      </c>
      <c r="S64" s="51">
        <v>0</v>
      </c>
      <c r="T64" s="51">
        <v>0</v>
      </c>
      <c r="U64" s="54">
        <v>1</v>
      </c>
      <c r="V64" s="51">
        <v>0</v>
      </c>
      <c r="W64" s="51">
        <v>0</v>
      </c>
      <c r="X64" s="52">
        <v>0</v>
      </c>
      <c r="Y64" s="52">
        <v>0</v>
      </c>
      <c r="Z64" s="53">
        <v>0</v>
      </c>
      <c r="AA64" s="51">
        <v>0</v>
      </c>
      <c r="AB64" s="51">
        <v>0</v>
      </c>
      <c r="AC64" s="51">
        <v>0</v>
      </c>
      <c r="AD64" s="51">
        <v>0</v>
      </c>
      <c r="AE64" s="51">
        <v>0</v>
      </c>
      <c r="AF64" s="51">
        <v>0</v>
      </c>
      <c r="AG64" s="51">
        <v>0</v>
      </c>
      <c r="AH64" s="55">
        <f t="shared" si="3"/>
        <v>0</v>
      </c>
    </row>
    <row r="65" spans="1:34" ht="62.25" customHeight="1">
      <c r="A65" s="6">
        <v>96</v>
      </c>
      <c r="B65" s="6" t="s">
        <v>38</v>
      </c>
      <c r="C65" s="37" t="s">
        <v>292</v>
      </c>
      <c r="D65" s="7" t="s">
        <v>190</v>
      </c>
      <c r="E65" s="6" t="s">
        <v>99</v>
      </c>
      <c r="F65" s="10" t="s">
        <v>191</v>
      </c>
      <c r="G65" s="6" t="s">
        <v>174</v>
      </c>
      <c r="H65" s="37" t="s">
        <v>305</v>
      </c>
      <c r="I65" s="51">
        <v>0</v>
      </c>
      <c r="J65" s="51">
        <v>0</v>
      </c>
      <c r="K65" s="51">
        <v>0</v>
      </c>
      <c r="L65" s="52">
        <v>0</v>
      </c>
      <c r="M65" s="53">
        <v>0</v>
      </c>
      <c r="N65" s="51">
        <v>0</v>
      </c>
      <c r="O65" s="51">
        <v>0</v>
      </c>
      <c r="P65" s="51">
        <v>0</v>
      </c>
      <c r="Q65" s="51">
        <v>0</v>
      </c>
      <c r="R65" s="51">
        <v>1</v>
      </c>
      <c r="S65" s="51">
        <v>0</v>
      </c>
      <c r="T65" s="51">
        <v>0</v>
      </c>
      <c r="U65" s="54">
        <f>SUM(I65:T65)</f>
        <v>1</v>
      </c>
      <c r="V65" s="51">
        <v>0</v>
      </c>
      <c r="W65" s="51">
        <v>0</v>
      </c>
      <c r="X65" s="52">
        <v>0</v>
      </c>
      <c r="Y65" s="52">
        <v>0</v>
      </c>
      <c r="Z65" s="53">
        <v>0</v>
      </c>
      <c r="AA65" s="51">
        <v>0</v>
      </c>
      <c r="AB65" s="51">
        <v>0</v>
      </c>
      <c r="AC65" s="51">
        <v>0</v>
      </c>
      <c r="AD65" s="51">
        <v>0</v>
      </c>
      <c r="AE65" s="51">
        <v>0</v>
      </c>
      <c r="AF65" s="51">
        <v>0</v>
      </c>
      <c r="AG65" s="51">
        <v>0</v>
      </c>
      <c r="AH65" s="55">
        <f t="shared" si="3"/>
        <v>0</v>
      </c>
    </row>
    <row r="66" spans="1:34" ht="62.25" customHeight="1">
      <c r="A66" s="6">
        <v>96</v>
      </c>
      <c r="B66" s="6" t="s">
        <v>39</v>
      </c>
      <c r="C66" s="37" t="s">
        <v>292</v>
      </c>
      <c r="D66" s="7" t="s">
        <v>192</v>
      </c>
      <c r="E66" s="6" t="s">
        <v>99</v>
      </c>
      <c r="F66" s="30" t="s">
        <v>193</v>
      </c>
      <c r="G66" s="6" t="s">
        <v>174</v>
      </c>
      <c r="H66" s="37" t="s">
        <v>305</v>
      </c>
      <c r="I66" s="51">
        <v>0</v>
      </c>
      <c r="J66" s="51">
        <v>0</v>
      </c>
      <c r="K66" s="51">
        <v>0</v>
      </c>
      <c r="L66" s="52">
        <v>0</v>
      </c>
      <c r="M66" s="53">
        <v>0</v>
      </c>
      <c r="N66" s="51">
        <v>0</v>
      </c>
      <c r="O66" s="51">
        <v>0</v>
      </c>
      <c r="P66" s="51">
        <v>0</v>
      </c>
      <c r="Q66" s="51">
        <v>0</v>
      </c>
      <c r="R66" s="51">
        <v>1</v>
      </c>
      <c r="S66" s="51">
        <v>0</v>
      </c>
      <c r="T66" s="51">
        <v>0</v>
      </c>
      <c r="U66" s="54">
        <v>1</v>
      </c>
      <c r="V66" s="51">
        <v>0</v>
      </c>
      <c r="W66" s="51">
        <v>0</v>
      </c>
      <c r="X66" s="52">
        <v>0</v>
      </c>
      <c r="Y66" s="52">
        <v>0</v>
      </c>
      <c r="Z66" s="56">
        <v>0</v>
      </c>
      <c r="AA66" s="51">
        <v>0</v>
      </c>
      <c r="AB66" s="51">
        <v>0</v>
      </c>
      <c r="AC66" s="51">
        <v>0</v>
      </c>
      <c r="AD66" s="51">
        <v>0</v>
      </c>
      <c r="AE66" s="51">
        <v>0</v>
      </c>
      <c r="AF66" s="51">
        <v>0</v>
      </c>
      <c r="AG66" s="51">
        <v>0</v>
      </c>
      <c r="AH66" s="55">
        <f t="shared" ref="AH66:AH97" si="4">SUM(V66:AG66)</f>
        <v>0</v>
      </c>
    </row>
    <row r="67" spans="1:34" ht="62.25" customHeight="1">
      <c r="A67" s="6">
        <v>96</v>
      </c>
      <c r="B67" s="6" t="s">
        <v>39</v>
      </c>
      <c r="C67" s="37" t="s">
        <v>292</v>
      </c>
      <c r="D67" s="7" t="s">
        <v>192</v>
      </c>
      <c r="E67" s="6" t="s">
        <v>99</v>
      </c>
      <c r="F67" s="10" t="s">
        <v>194</v>
      </c>
      <c r="G67" s="6" t="s">
        <v>174</v>
      </c>
      <c r="H67" s="37" t="s">
        <v>305</v>
      </c>
      <c r="I67" s="51">
        <v>0</v>
      </c>
      <c r="J67" s="51">
        <v>0</v>
      </c>
      <c r="K67" s="51">
        <v>0</v>
      </c>
      <c r="L67" s="52">
        <v>0</v>
      </c>
      <c r="M67" s="53">
        <v>0</v>
      </c>
      <c r="N67" s="51">
        <v>0</v>
      </c>
      <c r="O67" s="51">
        <v>0</v>
      </c>
      <c r="P67" s="51">
        <v>0</v>
      </c>
      <c r="Q67" s="51">
        <v>0</v>
      </c>
      <c r="R67" s="51">
        <v>1</v>
      </c>
      <c r="S67" s="51">
        <v>0</v>
      </c>
      <c r="T67" s="51">
        <v>0</v>
      </c>
      <c r="U67" s="54">
        <f>SUM(I67:T67)</f>
        <v>1</v>
      </c>
      <c r="V67" s="51">
        <v>0</v>
      </c>
      <c r="W67" s="51">
        <v>0</v>
      </c>
      <c r="X67" s="52">
        <v>0</v>
      </c>
      <c r="Y67" s="52">
        <v>0</v>
      </c>
      <c r="Z67" s="53">
        <v>0</v>
      </c>
      <c r="AA67" s="51">
        <v>0</v>
      </c>
      <c r="AB67" s="51">
        <v>0</v>
      </c>
      <c r="AC67" s="51">
        <v>0</v>
      </c>
      <c r="AD67" s="51">
        <v>0</v>
      </c>
      <c r="AE67" s="51">
        <v>0</v>
      </c>
      <c r="AF67" s="51">
        <v>0</v>
      </c>
      <c r="AG67" s="51">
        <v>0</v>
      </c>
      <c r="AH67" s="55">
        <f t="shared" si="4"/>
        <v>0</v>
      </c>
    </row>
    <row r="68" spans="1:34" ht="87.75" customHeight="1">
      <c r="A68" s="6">
        <v>96</v>
      </c>
      <c r="B68" s="6" t="s">
        <v>40</v>
      </c>
      <c r="C68" s="37" t="s">
        <v>292</v>
      </c>
      <c r="D68" s="7" t="s">
        <v>195</v>
      </c>
      <c r="E68" s="6" t="s">
        <v>99</v>
      </c>
      <c r="F68" s="10" t="s">
        <v>196</v>
      </c>
      <c r="G68" s="6" t="s">
        <v>174</v>
      </c>
      <c r="H68" s="37" t="s">
        <v>305</v>
      </c>
      <c r="I68" s="51">
        <v>0</v>
      </c>
      <c r="J68" s="51">
        <v>0</v>
      </c>
      <c r="K68" s="51">
        <v>0</v>
      </c>
      <c r="L68" s="52">
        <v>0</v>
      </c>
      <c r="M68" s="53">
        <v>0</v>
      </c>
      <c r="N68" s="51">
        <v>0</v>
      </c>
      <c r="O68" s="51">
        <v>0</v>
      </c>
      <c r="P68" s="51">
        <v>0</v>
      </c>
      <c r="Q68" s="51">
        <v>0</v>
      </c>
      <c r="R68" s="51">
        <v>1</v>
      </c>
      <c r="S68" s="51">
        <v>0</v>
      </c>
      <c r="T68" s="51">
        <v>0</v>
      </c>
      <c r="U68" s="54">
        <f>SUM(I68:T68)</f>
        <v>1</v>
      </c>
      <c r="V68" s="51">
        <v>0</v>
      </c>
      <c r="W68" s="51">
        <v>0</v>
      </c>
      <c r="X68" s="52">
        <v>0</v>
      </c>
      <c r="Y68" s="52">
        <v>0</v>
      </c>
      <c r="Z68" s="53">
        <v>0</v>
      </c>
      <c r="AA68" s="51">
        <v>0</v>
      </c>
      <c r="AB68" s="51">
        <v>0</v>
      </c>
      <c r="AC68" s="51">
        <v>0</v>
      </c>
      <c r="AD68" s="51">
        <v>0</v>
      </c>
      <c r="AE68" s="51">
        <v>0</v>
      </c>
      <c r="AF68" s="51">
        <v>0</v>
      </c>
      <c r="AG68" s="51">
        <v>0</v>
      </c>
      <c r="AH68" s="55">
        <f t="shared" si="4"/>
        <v>0</v>
      </c>
    </row>
    <row r="69" spans="1:34" ht="62.25" customHeight="1">
      <c r="A69" s="6">
        <v>96</v>
      </c>
      <c r="B69" s="6" t="s">
        <v>40</v>
      </c>
      <c r="C69" s="37" t="s">
        <v>292</v>
      </c>
      <c r="D69" s="7" t="s">
        <v>195</v>
      </c>
      <c r="E69" s="6" t="s">
        <v>99</v>
      </c>
      <c r="F69" s="10" t="s">
        <v>197</v>
      </c>
      <c r="G69" s="6" t="s">
        <v>99</v>
      </c>
      <c r="H69" s="37" t="s">
        <v>305</v>
      </c>
      <c r="I69" s="51">
        <v>0</v>
      </c>
      <c r="J69" s="51">
        <v>0</v>
      </c>
      <c r="K69" s="51">
        <v>0</v>
      </c>
      <c r="L69" s="52">
        <v>0</v>
      </c>
      <c r="M69" s="53">
        <v>0</v>
      </c>
      <c r="N69" s="51">
        <v>1</v>
      </c>
      <c r="O69" s="51">
        <v>0</v>
      </c>
      <c r="P69" s="51">
        <v>0</v>
      </c>
      <c r="Q69" s="51">
        <v>0</v>
      </c>
      <c r="R69" s="51">
        <v>0</v>
      </c>
      <c r="S69" s="51">
        <v>0</v>
      </c>
      <c r="T69" s="51">
        <v>0</v>
      </c>
      <c r="U69" s="54">
        <f>SUM(I69:T69)</f>
        <v>1</v>
      </c>
      <c r="V69" s="51">
        <v>0</v>
      </c>
      <c r="W69" s="51">
        <v>0</v>
      </c>
      <c r="X69" s="52">
        <v>0</v>
      </c>
      <c r="Y69" s="52">
        <v>0</v>
      </c>
      <c r="Z69" s="53">
        <v>0</v>
      </c>
      <c r="AA69" s="51">
        <v>0</v>
      </c>
      <c r="AB69" s="51">
        <v>0</v>
      </c>
      <c r="AC69" s="51">
        <v>0</v>
      </c>
      <c r="AD69" s="51">
        <v>0</v>
      </c>
      <c r="AE69" s="51">
        <v>0</v>
      </c>
      <c r="AF69" s="51">
        <v>0</v>
      </c>
      <c r="AG69" s="51">
        <v>0</v>
      </c>
      <c r="AH69" s="55">
        <f t="shared" si="4"/>
        <v>0</v>
      </c>
    </row>
    <row r="70" spans="1:34" ht="62.25" customHeight="1">
      <c r="A70" s="6">
        <v>96</v>
      </c>
      <c r="B70" s="6" t="s">
        <v>40</v>
      </c>
      <c r="C70" s="37" t="s">
        <v>292</v>
      </c>
      <c r="D70" s="7" t="s">
        <v>195</v>
      </c>
      <c r="E70" s="6" t="s">
        <v>99</v>
      </c>
      <c r="F70" s="10" t="s">
        <v>198</v>
      </c>
      <c r="G70" s="6" t="s">
        <v>174</v>
      </c>
      <c r="H70" s="37" t="s">
        <v>305</v>
      </c>
      <c r="I70" s="51">
        <v>0</v>
      </c>
      <c r="J70" s="51">
        <v>0</v>
      </c>
      <c r="K70" s="51">
        <v>0</v>
      </c>
      <c r="L70" s="52">
        <v>0</v>
      </c>
      <c r="M70" s="53">
        <v>0</v>
      </c>
      <c r="N70" s="51">
        <v>0</v>
      </c>
      <c r="O70" s="51">
        <v>0</v>
      </c>
      <c r="P70" s="51">
        <v>0</v>
      </c>
      <c r="Q70" s="51">
        <v>0</v>
      </c>
      <c r="R70" s="51">
        <v>1</v>
      </c>
      <c r="S70" s="51">
        <v>0</v>
      </c>
      <c r="T70" s="51">
        <v>0</v>
      </c>
      <c r="U70" s="54">
        <f>SUM(I70:T70)</f>
        <v>1</v>
      </c>
      <c r="V70" s="51">
        <v>0</v>
      </c>
      <c r="W70" s="51">
        <v>0</v>
      </c>
      <c r="X70" s="52">
        <v>0</v>
      </c>
      <c r="Y70" s="52">
        <v>0</v>
      </c>
      <c r="Z70" s="53">
        <v>0</v>
      </c>
      <c r="AA70" s="51">
        <v>0</v>
      </c>
      <c r="AB70" s="51">
        <v>0</v>
      </c>
      <c r="AC70" s="51">
        <v>0</v>
      </c>
      <c r="AD70" s="51">
        <v>0</v>
      </c>
      <c r="AE70" s="51">
        <v>0</v>
      </c>
      <c r="AF70" s="51">
        <v>0</v>
      </c>
      <c r="AG70" s="51">
        <v>0</v>
      </c>
      <c r="AH70" s="55">
        <f t="shared" si="4"/>
        <v>0</v>
      </c>
    </row>
    <row r="71" spans="1:34" ht="62.25" customHeight="1">
      <c r="A71" s="6">
        <v>96</v>
      </c>
      <c r="B71" s="6" t="s">
        <v>41</v>
      </c>
      <c r="C71" s="37" t="s">
        <v>292</v>
      </c>
      <c r="D71" s="7" t="s">
        <v>199</v>
      </c>
      <c r="E71" s="6" t="s">
        <v>99</v>
      </c>
      <c r="F71" s="10" t="s">
        <v>200</v>
      </c>
      <c r="G71" s="6" t="s">
        <v>174</v>
      </c>
      <c r="H71" s="37" t="s">
        <v>305</v>
      </c>
      <c r="I71" s="51">
        <v>0</v>
      </c>
      <c r="J71" s="51">
        <v>0</v>
      </c>
      <c r="K71" s="51">
        <v>0</v>
      </c>
      <c r="L71" s="52">
        <v>0</v>
      </c>
      <c r="M71" s="53">
        <v>0</v>
      </c>
      <c r="N71" s="51">
        <v>0</v>
      </c>
      <c r="O71" s="51">
        <v>0</v>
      </c>
      <c r="P71" s="51">
        <v>0</v>
      </c>
      <c r="Q71" s="51">
        <v>0</v>
      </c>
      <c r="R71" s="58">
        <v>1</v>
      </c>
      <c r="S71" s="51">
        <v>0</v>
      </c>
      <c r="T71" s="51">
        <v>0</v>
      </c>
      <c r="U71" s="54">
        <v>1</v>
      </c>
      <c r="V71" s="51">
        <v>0</v>
      </c>
      <c r="W71" s="51">
        <v>0</v>
      </c>
      <c r="X71" s="52">
        <v>0</v>
      </c>
      <c r="Y71" s="52">
        <v>0</v>
      </c>
      <c r="Z71" s="53">
        <v>0</v>
      </c>
      <c r="AA71" s="51">
        <v>0</v>
      </c>
      <c r="AB71" s="51">
        <v>0</v>
      </c>
      <c r="AC71" s="51">
        <v>0</v>
      </c>
      <c r="AD71" s="51">
        <v>0</v>
      </c>
      <c r="AE71" s="51">
        <v>0</v>
      </c>
      <c r="AF71" s="51">
        <v>0</v>
      </c>
      <c r="AG71" s="51">
        <v>0</v>
      </c>
      <c r="AH71" s="55">
        <f t="shared" si="4"/>
        <v>0</v>
      </c>
    </row>
    <row r="72" spans="1:34" ht="62.25" customHeight="1">
      <c r="A72" s="6">
        <v>96</v>
      </c>
      <c r="B72" s="6" t="s">
        <v>41</v>
      </c>
      <c r="C72" s="37" t="s">
        <v>292</v>
      </c>
      <c r="D72" s="7" t="s">
        <v>199</v>
      </c>
      <c r="E72" s="6" t="s">
        <v>99</v>
      </c>
      <c r="F72" s="10" t="s">
        <v>201</v>
      </c>
      <c r="G72" s="6" t="s">
        <v>174</v>
      </c>
      <c r="H72" s="37" t="s">
        <v>305</v>
      </c>
      <c r="I72" s="51">
        <v>0</v>
      </c>
      <c r="J72" s="51">
        <v>0</v>
      </c>
      <c r="K72" s="51">
        <v>0</v>
      </c>
      <c r="L72" s="52">
        <v>0</v>
      </c>
      <c r="M72" s="53">
        <v>0</v>
      </c>
      <c r="N72" s="51">
        <v>0</v>
      </c>
      <c r="O72" s="51">
        <v>0</v>
      </c>
      <c r="P72" s="51">
        <v>0</v>
      </c>
      <c r="Q72" s="51">
        <v>0</v>
      </c>
      <c r="R72" s="51">
        <v>1</v>
      </c>
      <c r="S72" s="51">
        <v>0</v>
      </c>
      <c r="T72" s="51">
        <v>0</v>
      </c>
      <c r="U72" s="54">
        <f t="shared" ref="U72:U103" si="5">SUM(I72:T72)</f>
        <v>1</v>
      </c>
      <c r="V72" s="51">
        <v>0</v>
      </c>
      <c r="W72" s="51">
        <v>0</v>
      </c>
      <c r="X72" s="52">
        <v>0</v>
      </c>
      <c r="Y72" s="52">
        <v>0</v>
      </c>
      <c r="Z72" s="53">
        <v>0</v>
      </c>
      <c r="AA72" s="51">
        <v>0</v>
      </c>
      <c r="AB72" s="51">
        <v>0</v>
      </c>
      <c r="AC72" s="51">
        <v>0</v>
      </c>
      <c r="AD72" s="51">
        <v>0</v>
      </c>
      <c r="AE72" s="51">
        <v>0</v>
      </c>
      <c r="AF72" s="51">
        <v>0</v>
      </c>
      <c r="AG72" s="51">
        <v>0</v>
      </c>
      <c r="AH72" s="55">
        <f t="shared" si="4"/>
        <v>0</v>
      </c>
    </row>
    <row r="73" spans="1:34" ht="62.25" customHeight="1">
      <c r="A73" s="14">
        <v>34</v>
      </c>
      <c r="B73" s="33" t="s">
        <v>42</v>
      </c>
      <c r="C73" s="37" t="s">
        <v>292</v>
      </c>
      <c r="D73" s="7" t="s">
        <v>202</v>
      </c>
      <c r="E73" s="6" t="s">
        <v>99</v>
      </c>
      <c r="F73" s="10" t="s">
        <v>203</v>
      </c>
      <c r="G73" s="6" t="s">
        <v>174</v>
      </c>
      <c r="H73" s="37" t="s">
        <v>305</v>
      </c>
      <c r="I73" s="51">
        <v>0</v>
      </c>
      <c r="J73" s="51">
        <v>0</v>
      </c>
      <c r="K73" s="51">
        <v>0</v>
      </c>
      <c r="L73" s="52">
        <v>0</v>
      </c>
      <c r="M73" s="53">
        <v>0</v>
      </c>
      <c r="N73" s="51">
        <v>0</v>
      </c>
      <c r="O73" s="51">
        <v>0</v>
      </c>
      <c r="P73" s="51">
        <v>0</v>
      </c>
      <c r="Q73" s="51">
        <v>0</v>
      </c>
      <c r="R73" s="51">
        <v>1</v>
      </c>
      <c r="S73" s="51">
        <v>0</v>
      </c>
      <c r="T73" s="51">
        <v>0</v>
      </c>
      <c r="U73" s="54">
        <f t="shared" si="5"/>
        <v>1</v>
      </c>
      <c r="V73" s="51">
        <v>0</v>
      </c>
      <c r="W73" s="51">
        <v>0</v>
      </c>
      <c r="X73" s="52">
        <v>0</v>
      </c>
      <c r="Y73" s="52">
        <v>0</v>
      </c>
      <c r="Z73" s="53">
        <v>0</v>
      </c>
      <c r="AA73" s="51">
        <v>0</v>
      </c>
      <c r="AB73" s="51">
        <v>0</v>
      </c>
      <c r="AC73" s="51">
        <v>0</v>
      </c>
      <c r="AD73" s="51">
        <v>0</v>
      </c>
      <c r="AE73" s="51">
        <v>0</v>
      </c>
      <c r="AF73" s="51">
        <v>0</v>
      </c>
      <c r="AG73" s="51">
        <v>0</v>
      </c>
      <c r="AH73" s="55">
        <f t="shared" si="4"/>
        <v>0</v>
      </c>
    </row>
    <row r="74" spans="1:34" ht="62.25" customHeight="1">
      <c r="A74" s="14">
        <v>34</v>
      </c>
      <c r="B74" s="33" t="s">
        <v>31</v>
      </c>
      <c r="C74" s="37" t="s">
        <v>292</v>
      </c>
      <c r="D74" s="7" t="s">
        <v>204</v>
      </c>
      <c r="E74" s="6" t="s">
        <v>99</v>
      </c>
      <c r="F74" s="10" t="s">
        <v>205</v>
      </c>
      <c r="G74" s="6" t="s">
        <v>174</v>
      </c>
      <c r="H74" s="37" t="s">
        <v>305</v>
      </c>
      <c r="I74" s="51">
        <v>0</v>
      </c>
      <c r="J74" s="51">
        <v>0</v>
      </c>
      <c r="K74" s="51">
        <v>0</v>
      </c>
      <c r="L74" s="52">
        <v>0</v>
      </c>
      <c r="M74" s="53">
        <v>0</v>
      </c>
      <c r="N74" s="51">
        <v>0</v>
      </c>
      <c r="O74" s="51">
        <v>0</v>
      </c>
      <c r="P74" s="51">
        <v>0</v>
      </c>
      <c r="Q74" s="51">
        <v>0</v>
      </c>
      <c r="R74" s="51">
        <v>1</v>
      </c>
      <c r="S74" s="51">
        <v>0</v>
      </c>
      <c r="T74" s="51">
        <v>0</v>
      </c>
      <c r="U74" s="54">
        <f t="shared" si="5"/>
        <v>1</v>
      </c>
      <c r="V74" s="51">
        <v>0</v>
      </c>
      <c r="W74" s="51">
        <v>0</v>
      </c>
      <c r="X74" s="52">
        <v>0</v>
      </c>
      <c r="Y74" s="52">
        <v>0</v>
      </c>
      <c r="Z74" s="53">
        <v>0</v>
      </c>
      <c r="AA74" s="51">
        <v>0</v>
      </c>
      <c r="AB74" s="51">
        <v>0</v>
      </c>
      <c r="AC74" s="51">
        <v>0</v>
      </c>
      <c r="AD74" s="51">
        <v>0</v>
      </c>
      <c r="AE74" s="51">
        <v>0</v>
      </c>
      <c r="AF74" s="51">
        <v>0</v>
      </c>
      <c r="AG74" s="51">
        <v>0</v>
      </c>
      <c r="AH74" s="55">
        <f t="shared" si="4"/>
        <v>0</v>
      </c>
    </row>
    <row r="75" spans="1:34" ht="62.25" customHeight="1">
      <c r="A75" s="14">
        <v>34</v>
      </c>
      <c r="B75" s="6" t="s">
        <v>31</v>
      </c>
      <c r="C75" s="37" t="s">
        <v>292</v>
      </c>
      <c r="D75" s="7" t="s">
        <v>204</v>
      </c>
      <c r="E75" s="6" t="s">
        <v>99</v>
      </c>
      <c r="F75" s="10" t="s">
        <v>206</v>
      </c>
      <c r="G75" s="6" t="s">
        <v>174</v>
      </c>
      <c r="H75" s="37" t="s">
        <v>305</v>
      </c>
      <c r="I75" s="51">
        <v>0</v>
      </c>
      <c r="J75" s="51">
        <v>0</v>
      </c>
      <c r="K75" s="51">
        <v>0</v>
      </c>
      <c r="L75" s="52">
        <v>0</v>
      </c>
      <c r="M75" s="53">
        <v>0</v>
      </c>
      <c r="N75" s="51">
        <v>0</v>
      </c>
      <c r="O75" s="51">
        <v>0</v>
      </c>
      <c r="P75" s="51">
        <v>0</v>
      </c>
      <c r="Q75" s="51">
        <v>0</v>
      </c>
      <c r="R75" s="51">
        <v>1</v>
      </c>
      <c r="S75" s="51">
        <v>0</v>
      </c>
      <c r="T75" s="51">
        <v>0</v>
      </c>
      <c r="U75" s="54">
        <f t="shared" si="5"/>
        <v>1</v>
      </c>
      <c r="V75" s="51">
        <v>0</v>
      </c>
      <c r="W75" s="51">
        <v>0</v>
      </c>
      <c r="X75" s="52">
        <v>0</v>
      </c>
      <c r="Y75" s="52">
        <v>0</v>
      </c>
      <c r="Z75" s="53">
        <v>0</v>
      </c>
      <c r="AA75" s="51">
        <v>0</v>
      </c>
      <c r="AB75" s="51">
        <v>0</v>
      </c>
      <c r="AC75" s="51">
        <v>0</v>
      </c>
      <c r="AD75" s="51">
        <v>0</v>
      </c>
      <c r="AE75" s="51">
        <v>0</v>
      </c>
      <c r="AF75" s="51">
        <v>0</v>
      </c>
      <c r="AG75" s="51">
        <v>0</v>
      </c>
      <c r="AH75" s="55">
        <f t="shared" si="4"/>
        <v>0</v>
      </c>
    </row>
    <row r="76" spans="1:34" ht="62.25" customHeight="1">
      <c r="A76" s="14">
        <v>34</v>
      </c>
      <c r="B76" s="6" t="s">
        <v>31</v>
      </c>
      <c r="C76" s="37" t="s">
        <v>292</v>
      </c>
      <c r="D76" s="7" t="s">
        <v>204</v>
      </c>
      <c r="E76" s="6" t="s">
        <v>99</v>
      </c>
      <c r="F76" s="10" t="s">
        <v>207</v>
      </c>
      <c r="G76" s="6" t="s">
        <v>174</v>
      </c>
      <c r="H76" s="37" t="s">
        <v>305</v>
      </c>
      <c r="I76" s="51">
        <v>0</v>
      </c>
      <c r="J76" s="51">
        <v>0</v>
      </c>
      <c r="K76" s="51">
        <v>0</v>
      </c>
      <c r="L76" s="52">
        <v>0</v>
      </c>
      <c r="M76" s="53">
        <v>0</v>
      </c>
      <c r="N76" s="51">
        <v>0</v>
      </c>
      <c r="O76" s="51">
        <v>0</v>
      </c>
      <c r="P76" s="51">
        <v>0</v>
      </c>
      <c r="Q76" s="51">
        <v>0</v>
      </c>
      <c r="R76" s="51">
        <v>1</v>
      </c>
      <c r="S76" s="51">
        <v>0</v>
      </c>
      <c r="T76" s="51">
        <v>0</v>
      </c>
      <c r="U76" s="54">
        <f t="shared" si="5"/>
        <v>1</v>
      </c>
      <c r="V76" s="51">
        <v>0</v>
      </c>
      <c r="W76" s="51">
        <v>0</v>
      </c>
      <c r="X76" s="52">
        <v>0</v>
      </c>
      <c r="Y76" s="52">
        <v>0</v>
      </c>
      <c r="Z76" s="53">
        <v>0</v>
      </c>
      <c r="AA76" s="51">
        <v>0</v>
      </c>
      <c r="AB76" s="51">
        <v>0</v>
      </c>
      <c r="AC76" s="51">
        <v>0</v>
      </c>
      <c r="AD76" s="51">
        <v>0</v>
      </c>
      <c r="AE76" s="51">
        <v>0</v>
      </c>
      <c r="AF76" s="51">
        <v>0</v>
      </c>
      <c r="AG76" s="51">
        <v>0</v>
      </c>
      <c r="AH76" s="55">
        <f t="shared" si="4"/>
        <v>0</v>
      </c>
    </row>
    <row r="77" spans="1:34" ht="62.25" customHeight="1">
      <c r="A77" s="6">
        <v>97</v>
      </c>
      <c r="B77" s="6" t="s">
        <v>43</v>
      </c>
      <c r="C77" s="37" t="s">
        <v>292</v>
      </c>
      <c r="D77" s="7" t="s">
        <v>208</v>
      </c>
      <c r="E77" s="6" t="s">
        <v>99</v>
      </c>
      <c r="F77" s="10" t="s">
        <v>209</v>
      </c>
      <c r="G77" s="6" t="s">
        <v>174</v>
      </c>
      <c r="H77" s="37" t="s">
        <v>305</v>
      </c>
      <c r="I77" s="51">
        <v>0</v>
      </c>
      <c r="J77" s="51">
        <v>0</v>
      </c>
      <c r="K77" s="51">
        <v>0</v>
      </c>
      <c r="L77" s="52">
        <v>0</v>
      </c>
      <c r="M77" s="53">
        <v>0</v>
      </c>
      <c r="N77" s="51">
        <v>0</v>
      </c>
      <c r="O77" s="51">
        <v>0</v>
      </c>
      <c r="P77" s="51">
        <v>0</v>
      </c>
      <c r="Q77" s="51">
        <v>0</v>
      </c>
      <c r="R77" s="51">
        <v>1</v>
      </c>
      <c r="S77" s="51">
        <v>0</v>
      </c>
      <c r="T77" s="51">
        <v>0</v>
      </c>
      <c r="U77" s="54">
        <f t="shared" si="5"/>
        <v>1</v>
      </c>
      <c r="V77" s="51">
        <v>0</v>
      </c>
      <c r="W77" s="51">
        <v>0</v>
      </c>
      <c r="X77" s="52">
        <v>0</v>
      </c>
      <c r="Y77" s="52">
        <v>0</v>
      </c>
      <c r="Z77" s="53">
        <v>0</v>
      </c>
      <c r="AA77" s="51">
        <v>0</v>
      </c>
      <c r="AB77" s="51">
        <v>0</v>
      </c>
      <c r="AC77" s="51">
        <v>0</v>
      </c>
      <c r="AD77" s="51">
        <v>0</v>
      </c>
      <c r="AE77" s="51">
        <v>0</v>
      </c>
      <c r="AF77" s="51">
        <v>0</v>
      </c>
      <c r="AG77" s="51">
        <v>0</v>
      </c>
      <c r="AH77" s="55">
        <f t="shared" si="4"/>
        <v>0</v>
      </c>
    </row>
    <row r="78" spans="1:34" ht="62.25" customHeight="1">
      <c r="A78" s="6">
        <v>97</v>
      </c>
      <c r="B78" s="6" t="s">
        <v>43</v>
      </c>
      <c r="C78" s="37" t="s">
        <v>292</v>
      </c>
      <c r="D78" s="7" t="s">
        <v>208</v>
      </c>
      <c r="E78" s="6" t="s">
        <v>99</v>
      </c>
      <c r="F78" s="10" t="s">
        <v>210</v>
      </c>
      <c r="G78" s="6" t="s">
        <v>174</v>
      </c>
      <c r="H78" s="37" t="s">
        <v>305</v>
      </c>
      <c r="I78" s="51">
        <v>0</v>
      </c>
      <c r="J78" s="51">
        <v>0</v>
      </c>
      <c r="K78" s="51">
        <v>0</v>
      </c>
      <c r="L78" s="52">
        <v>0</v>
      </c>
      <c r="M78" s="53">
        <v>0</v>
      </c>
      <c r="N78" s="51">
        <v>0</v>
      </c>
      <c r="O78" s="51">
        <v>0</v>
      </c>
      <c r="P78" s="51">
        <v>0</v>
      </c>
      <c r="Q78" s="51">
        <v>0</v>
      </c>
      <c r="R78" s="51">
        <v>1</v>
      </c>
      <c r="S78" s="51">
        <v>0</v>
      </c>
      <c r="T78" s="51">
        <v>0</v>
      </c>
      <c r="U78" s="54">
        <f t="shared" si="5"/>
        <v>1</v>
      </c>
      <c r="V78" s="51">
        <v>0</v>
      </c>
      <c r="W78" s="51">
        <v>0</v>
      </c>
      <c r="X78" s="52">
        <v>0</v>
      </c>
      <c r="Y78" s="52">
        <v>0</v>
      </c>
      <c r="Z78" s="53">
        <v>0</v>
      </c>
      <c r="AA78" s="51">
        <v>0</v>
      </c>
      <c r="AB78" s="51">
        <v>0</v>
      </c>
      <c r="AC78" s="51">
        <v>0</v>
      </c>
      <c r="AD78" s="51">
        <v>0</v>
      </c>
      <c r="AE78" s="51">
        <v>0</v>
      </c>
      <c r="AF78" s="51">
        <v>0</v>
      </c>
      <c r="AG78" s="51">
        <v>0</v>
      </c>
      <c r="AH78" s="55">
        <f t="shared" si="4"/>
        <v>0</v>
      </c>
    </row>
    <row r="79" spans="1:34" ht="62.25" customHeight="1">
      <c r="A79" s="6">
        <v>97</v>
      </c>
      <c r="B79" s="6" t="s">
        <v>43</v>
      </c>
      <c r="C79" s="37" t="s">
        <v>292</v>
      </c>
      <c r="D79" s="7" t="s">
        <v>208</v>
      </c>
      <c r="E79" s="6" t="s">
        <v>99</v>
      </c>
      <c r="F79" s="10" t="s">
        <v>211</v>
      </c>
      <c r="G79" s="6" t="s">
        <v>174</v>
      </c>
      <c r="H79" s="37" t="s">
        <v>305</v>
      </c>
      <c r="I79" s="51">
        <v>0</v>
      </c>
      <c r="J79" s="51">
        <v>0</v>
      </c>
      <c r="K79" s="51">
        <v>0</v>
      </c>
      <c r="L79" s="52">
        <v>0</v>
      </c>
      <c r="M79" s="53">
        <v>0</v>
      </c>
      <c r="N79" s="51">
        <v>0</v>
      </c>
      <c r="O79" s="51">
        <v>0</v>
      </c>
      <c r="P79" s="51">
        <v>0</v>
      </c>
      <c r="Q79" s="51">
        <v>0</v>
      </c>
      <c r="R79" s="51">
        <v>1</v>
      </c>
      <c r="S79" s="51">
        <v>0</v>
      </c>
      <c r="T79" s="51">
        <v>0</v>
      </c>
      <c r="U79" s="54">
        <f t="shared" si="5"/>
        <v>1</v>
      </c>
      <c r="V79" s="51">
        <v>0</v>
      </c>
      <c r="W79" s="51">
        <v>0</v>
      </c>
      <c r="X79" s="52">
        <v>0</v>
      </c>
      <c r="Y79" s="52">
        <v>0</v>
      </c>
      <c r="Z79" s="53">
        <v>0</v>
      </c>
      <c r="AA79" s="51">
        <v>0</v>
      </c>
      <c r="AB79" s="51">
        <v>0</v>
      </c>
      <c r="AC79" s="51">
        <v>0</v>
      </c>
      <c r="AD79" s="51">
        <v>0</v>
      </c>
      <c r="AE79" s="51">
        <v>0</v>
      </c>
      <c r="AF79" s="51">
        <v>0</v>
      </c>
      <c r="AG79" s="51">
        <v>0</v>
      </c>
      <c r="AH79" s="55">
        <f t="shared" si="4"/>
        <v>0</v>
      </c>
    </row>
    <row r="80" spans="1:34" ht="62.25" customHeight="1">
      <c r="A80" s="6">
        <v>98</v>
      </c>
      <c r="B80" s="6" t="s">
        <v>44</v>
      </c>
      <c r="C80" s="37" t="s">
        <v>292</v>
      </c>
      <c r="D80" s="7" t="s">
        <v>212</v>
      </c>
      <c r="E80" s="6" t="s">
        <v>99</v>
      </c>
      <c r="F80" s="10" t="s">
        <v>213</v>
      </c>
      <c r="G80" s="6" t="s">
        <v>174</v>
      </c>
      <c r="H80" s="37" t="s">
        <v>305</v>
      </c>
      <c r="I80" s="51">
        <v>0</v>
      </c>
      <c r="J80" s="51">
        <v>0</v>
      </c>
      <c r="K80" s="51">
        <v>0</v>
      </c>
      <c r="L80" s="52">
        <v>0</v>
      </c>
      <c r="M80" s="53">
        <v>0</v>
      </c>
      <c r="N80" s="51">
        <v>0</v>
      </c>
      <c r="O80" s="51">
        <v>0</v>
      </c>
      <c r="P80" s="51">
        <v>0</v>
      </c>
      <c r="Q80" s="51">
        <v>0</v>
      </c>
      <c r="R80" s="51">
        <v>1</v>
      </c>
      <c r="S80" s="51">
        <v>0</v>
      </c>
      <c r="T80" s="51">
        <v>0</v>
      </c>
      <c r="U80" s="54">
        <f t="shared" si="5"/>
        <v>1</v>
      </c>
      <c r="V80" s="51">
        <v>0</v>
      </c>
      <c r="W80" s="51">
        <v>0</v>
      </c>
      <c r="X80" s="52">
        <v>0</v>
      </c>
      <c r="Y80" s="52">
        <v>0</v>
      </c>
      <c r="Z80" s="53">
        <v>0</v>
      </c>
      <c r="AA80" s="51">
        <v>0</v>
      </c>
      <c r="AB80" s="51">
        <v>0</v>
      </c>
      <c r="AC80" s="51">
        <v>0</v>
      </c>
      <c r="AD80" s="51">
        <v>0</v>
      </c>
      <c r="AE80" s="51">
        <v>0</v>
      </c>
      <c r="AF80" s="51">
        <v>0</v>
      </c>
      <c r="AG80" s="51">
        <v>0</v>
      </c>
      <c r="AH80" s="55">
        <f t="shared" si="4"/>
        <v>0</v>
      </c>
    </row>
    <row r="81" spans="1:34" ht="62.25" customHeight="1">
      <c r="A81" s="6">
        <v>98</v>
      </c>
      <c r="B81" s="6" t="s">
        <v>45</v>
      </c>
      <c r="C81" s="37" t="s">
        <v>292</v>
      </c>
      <c r="D81" s="7" t="s">
        <v>214</v>
      </c>
      <c r="E81" s="6" t="s">
        <v>99</v>
      </c>
      <c r="F81" s="10" t="s">
        <v>215</v>
      </c>
      <c r="G81" s="6" t="s">
        <v>174</v>
      </c>
      <c r="H81" s="37" t="s">
        <v>305</v>
      </c>
      <c r="I81" s="51">
        <v>0</v>
      </c>
      <c r="J81" s="51">
        <v>0</v>
      </c>
      <c r="K81" s="51">
        <v>0</v>
      </c>
      <c r="L81" s="52">
        <v>0</v>
      </c>
      <c r="M81" s="53">
        <v>1</v>
      </c>
      <c r="N81" s="51">
        <v>0</v>
      </c>
      <c r="O81" s="51">
        <v>0</v>
      </c>
      <c r="P81" s="51">
        <v>0</v>
      </c>
      <c r="Q81" s="51">
        <v>0</v>
      </c>
      <c r="R81" s="51">
        <v>0</v>
      </c>
      <c r="S81" s="51">
        <v>0</v>
      </c>
      <c r="T81" s="51">
        <v>0</v>
      </c>
      <c r="U81" s="54">
        <f t="shared" si="5"/>
        <v>1</v>
      </c>
      <c r="V81" s="51">
        <v>0</v>
      </c>
      <c r="W81" s="51">
        <v>0</v>
      </c>
      <c r="X81" s="52">
        <v>0</v>
      </c>
      <c r="Y81" s="52">
        <v>0</v>
      </c>
      <c r="Z81" s="53">
        <v>1</v>
      </c>
      <c r="AA81" s="51">
        <v>0</v>
      </c>
      <c r="AB81" s="51">
        <v>0</v>
      </c>
      <c r="AC81" s="51">
        <v>0</v>
      </c>
      <c r="AD81" s="51">
        <v>0</v>
      </c>
      <c r="AE81" s="51">
        <v>0</v>
      </c>
      <c r="AF81" s="51">
        <v>0</v>
      </c>
      <c r="AG81" s="51">
        <v>0</v>
      </c>
      <c r="AH81" s="55">
        <f t="shared" si="4"/>
        <v>1</v>
      </c>
    </row>
    <row r="82" spans="1:34" ht="62.25" customHeight="1">
      <c r="A82" s="6">
        <v>98</v>
      </c>
      <c r="B82" s="6" t="s">
        <v>45</v>
      </c>
      <c r="C82" s="37" t="s">
        <v>292</v>
      </c>
      <c r="D82" s="7" t="s">
        <v>214</v>
      </c>
      <c r="E82" s="6" t="s">
        <v>99</v>
      </c>
      <c r="F82" s="10" t="s">
        <v>216</v>
      </c>
      <c r="G82" s="6" t="s">
        <v>174</v>
      </c>
      <c r="H82" s="37" t="s">
        <v>305</v>
      </c>
      <c r="I82" s="51">
        <v>0</v>
      </c>
      <c r="J82" s="51">
        <v>0</v>
      </c>
      <c r="K82" s="51">
        <v>0</v>
      </c>
      <c r="L82" s="52">
        <v>0</v>
      </c>
      <c r="M82" s="53">
        <v>0</v>
      </c>
      <c r="N82" s="51">
        <v>0</v>
      </c>
      <c r="O82" s="51">
        <v>0</v>
      </c>
      <c r="P82" s="51">
        <v>0</v>
      </c>
      <c r="Q82" s="51">
        <v>0</v>
      </c>
      <c r="R82" s="51">
        <v>1</v>
      </c>
      <c r="S82" s="51">
        <v>0</v>
      </c>
      <c r="T82" s="51">
        <v>0</v>
      </c>
      <c r="U82" s="54">
        <f t="shared" si="5"/>
        <v>1</v>
      </c>
      <c r="V82" s="51">
        <v>0</v>
      </c>
      <c r="W82" s="51">
        <v>0</v>
      </c>
      <c r="X82" s="52">
        <v>0</v>
      </c>
      <c r="Y82" s="52">
        <v>0</v>
      </c>
      <c r="Z82" s="53">
        <v>0</v>
      </c>
      <c r="AA82" s="51">
        <v>0</v>
      </c>
      <c r="AB82" s="51">
        <v>0</v>
      </c>
      <c r="AC82" s="51">
        <v>0</v>
      </c>
      <c r="AD82" s="51">
        <v>0</v>
      </c>
      <c r="AE82" s="51">
        <v>0</v>
      </c>
      <c r="AF82" s="51">
        <v>0</v>
      </c>
      <c r="AG82" s="51">
        <v>0</v>
      </c>
      <c r="AH82" s="55">
        <f t="shared" si="4"/>
        <v>0</v>
      </c>
    </row>
    <row r="83" spans="1:34" ht="62.25" customHeight="1">
      <c r="A83" s="6">
        <v>99</v>
      </c>
      <c r="B83" s="6" t="s">
        <v>30</v>
      </c>
      <c r="C83" s="37" t="s">
        <v>292</v>
      </c>
      <c r="D83" s="7" t="s">
        <v>217</v>
      </c>
      <c r="E83" s="6" t="s">
        <v>99</v>
      </c>
      <c r="F83" s="10" t="s">
        <v>218</v>
      </c>
      <c r="G83" s="6" t="s">
        <v>174</v>
      </c>
      <c r="H83" s="37" t="s">
        <v>305</v>
      </c>
      <c r="I83" s="51">
        <v>0</v>
      </c>
      <c r="J83" s="51">
        <v>0</v>
      </c>
      <c r="K83" s="51">
        <v>0</v>
      </c>
      <c r="L83" s="52">
        <v>0</v>
      </c>
      <c r="M83" s="53">
        <v>0</v>
      </c>
      <c r="N83" s="51">
        <v>0</v>
      </c>
      <c r="O83" s="51">
        <v>0</v>
      </c>
      <c r="P83" s="51">
        <v>0</v>
      </c>
      <c r="Q83" s="51">
        <v>0</v>
      </c>
      <c r="R83" s="51">
        <v>1</v>
      </c>
      <c r="S83" s="51">
        <v>0</v>
      </c>
      <c r="T83" s="51">
        <v>0</v>
      </c>
      <c r="U83" s="54">
        <f t="shared" si="5"/>
        <v>1</v>
      </c>
      <c r="V83" s="51">
        <v>0</v>
      </c>
      <c r="W83" s="51">
        <v>0</v>
      </c>
      <c r="X83" s="52">
        <v>0</v>
      </c>
      <c r="Y83" s="52">
        <v>0</v>
      </c>
      <c r="Z83" s="53">
        <v>0</v>
      </c>
      <c r="AA83" s="51">
        <v>0</v>
      </c>
      <c r="AB83" s="51">
        <v>0</v>
      </c>
      <c r="AC83" s="51">
        <v>0</v>
      </c>
      <c r="AD83" s="51">
        <v>0</v>
      </c>
      <c r="AE83" s="51">
        <v>0</v>
      </c>
      <c r="AF83" s="51">
        <v>0</v>
      </c>
      <c r="AG83" s="51">
        <v>0</v>
      </c>
      <c r="AH83" s="55">
        <f t="shared" si="4"/>
        <v>0</v>
      </c>
    </row>
    <row r="84" spans="1:34" ht="62.25" customHeight="1">
      <c r="A84" s="6">
        <v>99</v>
      </c>
      <c r="B84" s="6" t="s">
        <v>46</v>
      </c>
      <c r="C84" s="37" t="s">
        <v>292</v>
      </c>
      <c r="D84" s="7" t="s">
        <v>219</v>
      </c>
      <c r="E84" s="6" t="s">
        <v>99</v>
      </c>
      <c r="F84" s="10" t="s">
        <v>220</v>
      </c>
      <c r="G84" s="6" t="s">
        <v>174</v>
      </c>
      <c r="H84" s="37" t="s">
        <v>305</v>
      </c>
      <c r="I84" s="51">
        <v>0</v>
      </c>
      <c r="J84" s="51">
        <v>0</v>
      </c>
      <c r="K84" s="51">
        <v>0</v>
      </c>
      <c r="L84" s="52">
        <v>0</v>
      </c>
      <c r="M84" s="53">
        <v>0</v>
      </c>
      <c r="N84" s="51">
        <v>0</v>
      </c>
      <c r="O84" s="51">
        <v>0</v>
      </c>
      <c r="P84" s="51">
        <v>0</v>
      </c>
      <c r="Q84" s="51">
        <v>0</v>
      </c>
      <c r="R84" s="51">
        <v>1</v>
      </c>
      <c r="S84" s="51">
        <v>0</v>
      </c>
      <c r="T84" s="51">
        <v>0</v>
      </c>
      <c r="U84" s="54">
        <f t="shared" si="5"/>
        <v>1</v>
      </c>
      <c r="V84" s="51">
        <v>0</v>
      </c>
      <c r="W84" s="51">
        <v>0</v>
      </c>
      <c r="X84" s="52">
        <v>0</v>
      </c>
      <c r="Y84" s="52">
        <v>0</v>
      </c>
      <c r="Z84" s="53">
        <v>0</v>
      </c>
      <c r="AA84" s="51">
        <v>0</v>
      </c>
      <c r="AB84" s="51">
        <v>0</v>
      </c>
      <c r="AC84" s="51">
        <v>0</v>
      </c>
      <c r="AD84" s="51">
        <v>0</v>
      </c>
      <c r="AE84" s="51">
        <v>0</v>
      </c>
      <c r="AF84" s="51">
        <v>0</v>
      </c>
      <c r="AG84" s="51">
        <v>0</v>
      </c>
      <c r="AH84" s="55">
        <f t="shared" si="4"/>
        <v>0</v>
      </c>
    </row>
    <row r="85" spans="1:34" ht="62.25" customHeight="1">
      <c r="A85" s="6">
        <v>99</v>
      </c>
      <c r="B85" s="6" t="s">
        <v>46</v>
      </c>
      <c r="C85" s="37" t="s">
        <v>292</v>
      </c>
      <c r="D85" s="7" t="s">
        <v>219</v>
      </c>
      <c r="E85" s="6" t="s">
        <v>99</v>
      </c>
      <c r="F85" s="10" t="s">
        <v>221</v>
      </c>
      <c r="G85" s="6" t="s">
        <v>174</v>
      </c>
      <c r="H85" s="37" t="s">
        <v>305</v>
      </c>
      <c r="I85" s="51">
        <v>0</v>
      </c>
      <c r="J85" s="51">
        <v>0</v>
      </c>
      <c r="K85" s="51">
        <v>0</v>
      </c>
      <c r="L85" s="52">
        <v>0</v>
      </c>
      <c r="M85" s="53">
        <v>0</v>
      </c>
      <c r="N85" s="51">
        <v>0</v>
      </c>
      <c r="O85" s="51">
        <v>0</v>
      </c>
      <c r="P85" s="51">
        <v>0</v>
      </c>
      <c r="Q85" s="51">
        <v>0</v>
      </c>
      <c r="R85" s="51">
        <v>1</v>
      </c>
      <c r="S85" s="51">
        <v>0</v>
      </c>
      <c r="T85" s="51">
        <v>0</v>
      </c>
      <c r="U85" s="54">
        <f t="shared" si="5"/>
        <v>1</v>
      </c>
      <c r="V85" s="51">
        <v>0</v>
      </c>
      <c r="W85" s="51">
        <v>0</v>
      </c>
      <c r="X85" s="52">
        <v>0</v>
      </c>
      <c r="Y85" s="52">
        <v>0</v>
      </c>
      <c r="Z85" s="53">
        <v>0</v>
      </c>
      <c r="AA85" s="51">
        <v>0</v>
      </c>
      <c r="AB85" s="51">
        <v>0</v>
      </c>
      <c r="AC85" s="51">
        <v>0</v>
      </c>
      <c r="AD85" s="51">
        <v>0</v>
      </c>
      <c r="AE85" s="51">
        <v>0</v>
      </c>
      <c r="AF85" s="51">
        <v>0</v>
      </c>
      <c r="AG85" s="51">
        <v>0</v>
      </c>
      <c r="AH85" s="55">
        <f t="shared" si="4"/>
        <v>0</v>
      </c>
    </row>
    <row r="86" spans="1:34" ht="62.25" customHeight="1">
      <c r="A86" s="6">
        <v>99</v>
      </c>
      <c r="B86" s="6" t="s">
        <v>46</v>
      </c>
      <c r="C86" s="37" t="s">
        <v>292</v>
      </c>
      <c r="D86" s="7" t="s">
        <v>219</v>
      </c>
      <c r="E86" s="6" t="s">
        <v>99</v>
      </c>
      <c r="F86" s="10" t="s">
        <v>222</v>
      </c>
      <c r="G86" s="6" t="s">
        <v>174</v>
      </c>
      <c r="H86" s="37" t="s">
        <v>305</v>
      </c>
      <c r="I86" s="51">
        <v>0</v>
      </c>
      <c r="J86" s="51">
        <v>0</v>
      </c>
      <c r="K86" s="51">
        <v>0</v>
      </c>
      <c r="L86" s="52">
        <v>0</v>
      </c>
      <c r="M86" s="53">
        <v>0</v>
      </c>
      <c r="N86" s="51">
        <v>0</v>
      </c>
      <c r="O86" s="51">
        <v>0</v>
      </c>
      <c r="P86" s="51">
        <v>0</v>
      </c>
      <c r="Q86" s="51">
        <v>0</v>
      </c>
      <c r="R86" s="51">
        <v>1</v>
      </c>
      <c r="S86" s="51">
        <v>0</v>
      </c>
      <c r="T86" s="51">
        <v>0</v>
      </c>
      <c r="U86" s="54">
        <f t="shared" si="5"/>
        <v>1</v>
      </c>
      <c r="V86" s="51">
        <v>0</v>
      </c>
      <c r="W86" s="51">
        <v>0</v>
      </c>
      <c r="X86" s="52">
        <v>0</v>
      </c>
      <c r="Y86" s="52">
        <v>0</v>
      </c>
      <c r="Z86" s="53">
        <v>0</v>
      </c>
      <c r="AA86" s="51">
        <v>0</v>
      </c>
      <c r="AB86" s="51">
        <v>0</v>
      </c>
      <c r="AC86" s="51">
        <v>0</v>
      </c>
      <c r="AD86" s="51">
        <v>0</v>
      </c>
      <c r="AE86" s="51">
        <v>0</v>
      </c>
      <c r="AF86" s="51">
        <v>0</v>
      </c>
      <c r="AG86" s="51">
        <v>0</v>
      </c>
      <c r="AH86" s="55">
        <f t="shared" si="4"/>
        <v>0</v>
      </c>
    </row>
    <row r="87" spans="1:34" ht="62.25" customHeight="1">
      <c r="A87" s="6">
        <v>99</v>
      </c>
      <c r="B87" s="6" t="s">
        <v>47</v>
      </c>
      <c r="C87" s="37" t="s">
        <v>292</v>
      </c>
      <c r="D87" s="7" t="s">
        <v>223</v>
      </c>
      <c r="E87" s="6" t="s">
        <v>99</v>
      </c>
      <c r="F87" s="10" t="s">
        <v>224</v>
      </c>
      <c r="G87" s="6" t="s">
        <v>174</v>
      </c>
      <c r="H87" s="37" t="s">
        <v>305</v>
      </c>
      <c r="I87" s="51">
        <v>0</v>
      </c>
      <c r="J87" s="51">
        <v>0</v>
      </c>
      <c r="K87" s="51">
        <v>0</v>
      </c>
      <c r="L87" s="52">
        <v>0</v>
      </c>
      <c r="M87" s="53">
        <v>0</v>
      </c>
      <c r="N87" s="51">
        <v>0</v>
      </c>
      <c r="O87" s="51">
        <v>0</v>
      </c>
      <c r="P87" s="51">
        <v>0</v>
      </c>
      <c r="Q87" s="51">
        <v>0</v>
      </c>
      <c r="R87" s="51">
        <v>1</v>
      </c>
      <c r="S87" s="51">
        <v>0</v>
      </c>
      <c r="T87" s="51">
        <v>0</v>
      </c>
      <c r="U87" s="54">
        <f t="shared" si="5"/>
        <v>1</v>
      </c>
      <c r="V87" s="51">
        <v>0</v>
      </c>
      <c r="W87" s="51">
        <v>0</v>
      </c>
      <c r="X87" s="52">
        <v>0</v>
      </c>
      <c r="Y87" s="52">
        <v>0</v>
      </c>
      <c r="Z87" s="53">
        <v>0</v>
      </c>
      <c r="AA87" s="51">
        <v>0</v>
      </c>
      <c r="AB87" s="51">
        <v>0</v>
      </c>
      <c r="AC87" s="51">
        <v>0</v>
      </c>
      <c r="AD87" s="51">
        <v>0</v>
      </c>
      <c r="AE87" s="51">
        <v>0</v>
      </c>
      <c r="AF87" s="51">
        <v>0</v>
      </c>
      <c r="AG87" s="51">
        <v>0</v>
      </c>
      <c r="AH87" s="55">
        <f t="shared" si="4"/>
        <v>0</v>
      </c>
    </row>
    <row r="88" spans="1:34" ht="62.25" customHeight="1">
      <c r="A88" s="6">
        <v>34</v>
      </c>
      <c r="B88" s="6" t="s">
        <v>3</v>
      </c>
      <c r="C88" s="33" t="s">
        <v>293</v>
      </c>
      <c r="D88" s="7" t="s">
        <v>94</v>
      </c>
      <c r="E88" s="6" t="s">
        <v>84</v>
      </c>
      <c r="F88" s="10" t="s">
        <v>227</v>
      </c>
      <c r="G88" s="6" t="s">
        <v>82</v>
      </c>
      <c r="H88" s="8" t="s">
        <v>302</v>
      </c>
      <c r="I88" s="51">
        <v>0</v>
      </c>
      <c r="J88" s="51">
        <v>0</v>
      </c>
      <c r="K88" s="51">
        <v>0</v>
      </c>
      <c r="L88" s="52">
        <v>0</v>
      </c>
      <c r="M88" s="53">
        <v>0</v>
      </c>
      <c r="N88" s="51">
        <v>0</v>
      </c>
      <c r="O88" s="51">
        <v>0</v>
      </c>
      <c r="P88" s="51">
        <v>0</v>
      </c>
      <c r="Q88" s="51">
        <v>0</v>
      </c>
      <c r="R88" s="51">
        <v>0</v>
      </c>
      <c r="S88" s="51">
        <v>0</v>
      </c>
      <c r="T88" s="51">
        <v>1</v>
      </c>
      <c r="U88" s="54">
        <f t="shared" si="5"/>
        <v>1</v>
      </c>
      <c r="V88" s="51">
        <v>0</v>
      </c>
      <c r="W88" s="51">
        <v>0</v>
      </c>
      <c r="X88" s="52">
        <v>0</v>
      </c>
      <c r="Y88" s="52">
        <v>0</v>
      </c>
      <c r="Z88" s="53">
        <v>0</v>
      </c>
      <c r="AA88" s="51">
        <v>0</v>
      </c>
      <c r="AB88" s="51">
        <v>0</v>
      </c>
      <c r="AC88" s="51">
        <v>0</v>
      </c>
      <c r="AD88" s="51">
        <v>0</v>
      </c>
      <c r="AE88" s="51">
        <v>0</v>
      </c>
      <c r="AF88" s="51">
        <v>0</v>
      </c>
      <c r="AG88" s="51">
        <v>0</v>
      </c>
      <c r="AH88" s="55">
        <f t="shared" si="4"/>
        <v>0</v>
      </c>
    </row>
    <row r="89" spans="1:34" ht="62.25" customHeight="1">
      <c r="A89" s="6">
        <v>98</v>
      </c>
      <c r="B89" s="6" t="s">
        <v>11</v>
      </c>
      <c r="C89" s="6" t="s">
        <v>294</v>
      </c>
      <c r="D89" s="7" t="s">
        <v>129</v>
      </c>
      <c r="E89" s="6" t="s">
        <v>91</v>
      </c>
      <c r="F89" s="10" t="s">
        <v>228</v>
      </c>
      <c r="G89" s="6" t="s">
        <v>82</v>
      </c>
      <c r="H89" s="8" t="s">
        <v>302</v>
      </c>
      <c r="I89" s="60">
        <v>0</v>
      </c>
      <c r="J89" s="60">
        <v>0</v>
      </c>
      <c r="K89" s="60">
        <v>0</v>
      </c>
      <c r="L89" s="61">
        <v>0</v>
      </c>
      <c r="M89" s="62">
        <v>0</v>
      </c>
      <c r="N89" s="60">
        <v>0</v>
      </c>
      <c r="O89" s="60">
        <v>0</v>
      </c>
      <c r="P89" s="60">
        <v>0</v>
      </c>
      <c r="Q89" s="60">
        <v>0</v>
      </c>
      <c r="R89" s="60">
        <v>0</v>
      </c>
      <c r="S89" s="60">
        <v>0</v>
      </c>
      <c r="T89" s="60">
        <v>1</v>
      </c>
      <c r="U89" s="63">
        <f t="shared" si="5"/>
        <v>1</v>
      </c>
      <c r="V89" s="51">
        <v>0</v>
      </c>
      <c r="W89" s="51">
        <v>0</v>
      </c>
      <c r="X89" s="52">
        <v>0</v>
      </c>
      <c r="Y89" s="52">
        <v>0</v>
      </c>
      <c r="Z89" s="53">
        <v>0</v>
      </c>
      <c r="AA89" s="51">
        <v>0</v>
      </c>
      <c r="AB89" s="51">
        <v>0</v>
      </c>
      <c r="AC89" s="51">
        <v>0</v>
      </c>
      <c r="AD89" s="51">
        <v>0</v>
      </c>
      <c r="AE89" s="51">
        <v>0</v>
      </c>
      <c r="AF89" s="51">
        <v>0</v>
      </c>
      <c r="AG89" s="51">
        <v>0</v>
      </c>
      <c r="AH89" s="55">
        <f t="shared" si="4"/>
        <v>0</v>
      </c>
    </row>
    <row r="90" spans="1:34" ht="62.25" customHeight="1">
      <c r="A90" s="6">
        <v>99</v>
      </c>
      <c r="B90" s="6" t="s">
        <v>18</v>
      </c>
      <c r="C90" s="39" t="s">
        <v>295</v>
      </c>
      <c r="D90" s="7" t="s">
        <v>119</v>
      </c>
      <c r="E90" s="6" t="s">
        <v>91</v>
      </c>
      <c r="F90" s="18" t="s">
        <v>229</v>
      </c>
      <c r="G90" s="6" t="s">
        <v>82</v>
      </c>
      <c r="H90" s="8" t="s">
        <v>302</v>
      </c>
      <c r="I90" s="51">
        <v>2</v>
      </c>
      <c r="J90" s="51">
        <v>2</v>
      </c>
      <c r="K90" s="51">
        <v>2</v>
      </c>
      <c r="L90" s="52">
        <v>2</v>
      </c>
      <c r="M90" s="53">
        <v>1</v>
      </c>
      <c r="N90" s="51">
        <v>1</v>
      </c>
      <c r="O90" s="51">
        <v>1</v>
      </c>
      <c r="P90" s="51">
        <v>1</v>
      </c>
      <c r="Q90" s="51">
        <v>1</v>
      </c>
      <c r="R90" s="51">
        <v>1</v>
      </c>
      <c r="S90" s="51">
        <v>2</v>
      </c>
      <c r="T90" s="51">
        <v>2</v>
      </c>
      <c r="U90" s="54">
        <f t="shared" si="5"/>
        <v>18</v>
      </c>
      <c r="V90" s="51">
        <v>2</v>
      </c>
      <c r="W90" s="51">
        <v>2</v>
      </c>
      <c r="X90" s="52">
        <v>2</v>
      </c>
      <c r="Y90" s="52">
        <v>2</v>
      </c>
      <c r="Z90" s="53">
        <v>1</v>
      </c>
      <c r="AA90" s="51">
        <v>0</v>
      </c>
      <c r="AB90" s="51">
        <v>0</v>
      </c>
      <c r="AC90" s="51">
        <v>0</v>
      </c>
      <c r="AD90" s="51">
        <v>0</v>
      </c>
      <c r="AE90" s="51">
        <v>0</v>
      </c>
      <c r="AF90" s="51">
        <v>0</v>
      </c>
      <c r="AG90" s="51">
        <v>0</v>
      </c>
      <c r="AH90" s="55">
        <f t="shared" si="4"/>
        <v>9</v>
      </c>
    </row>
    <row r="91" spans="1:34" ht="62.25" customHeight="1">
      <c r="A91" s="6">
        <v>96</v>
      </c>
      <c r="B91" s="33" t="s">
        <v>9</v>
      </c>
      <c r="C91" s="6" t="s">
        <v>298</v>
      </c>
      <c r="D91" s="7" t="s">
        <v>230</v>
      </c>
      <c r="E91" s="6" t="s">
        <v>105</v>
      </c>
      <c r="F91" s="18" t="s">
        <v>232</v>
      </c>
      <c r="G91" s="6" t="s">
        <v>105</v>
      </c>
      <c r="H91" s="8" t="s">
        <v>302</v>
      </c>
      <c r="I91" s="51">
        <v>0</v>
      </c>
      <c r="J91" s="51">
        <v>0</v>
      </c>
      <c r="K91" s="51">
        <v>0</v>
      </c>
      <c r="L91" s="52">
        <v>0</v>
      </c>
      <c r="M91" s="53">
        <v>0</v>
      </c>
      <c r="N91" s="51">
        <v>0</v>
      </c>
      <c r="O91" s="51">
        <v>0</v>
      </c>
      <c r="P91" s="51">
        <v>0</v>
      </c>
      <c r="Q91" s="51">
        <v>0</v>
      </c>
      <c r="R91" s="51">
        <v>0</v>
      </c>
      <c r="S91" s="51">
        <v>0</v>
      </c>
      <c r="T91" s="51">
        <v>1</v>
      </c>
      <c r="U91" s="54">
        <f t="shared" si="5"/>
        <v>1</v>
      </c>
      <c r="V91" s="51">
        <v>0</v>
      </c>
      <c r="W91" s="51">
        <v>0</v>
      </c>
      <c r="X91" s="52">
        <v>0</v>
      </c>
      <c r="Y91" s="52">
        <v>0</v>
      </c>
      <c r="Z91" s="53">
        <v>0</v>
      </c>
      <c r="AA91" s="51">
        <v>0</v>
      </c>
      <c r="AB91" s="51">
        <v>0</v>
      </c>
      <c r="AC91" s="51">
        <v>0</v>
      </c>
      <c r="AD91" s="51">
        <v>0</v>
      </c>
      <c r="AE91" s="51">
        <v>0</v>
      </c>
      <c r="AF91" s="51">
        <v>0</v>
      </c>
      <c r="AG91" s="51">
        <v>0</v>
      </c>
      <c r="AH91" s="55">
        <f t="shared" si="4"/>
        <v>0</v>
      </c>
    </row>
    <row r="92" spans="1:34" ht="62.25" customHeight="1">
      <c r="A92" s="6">
        <v>31</v>
      </c>
      <c r="B92" s="6" t="s">
        <v>7</v>
      </c>
      <c r="C92" s="33" t="s">
        <v>291</v>
      </c>
      <c r="D92" s="7" t="s">
        <v>90</v>
      </c>
      <c r="E92" s="6" t="s">
        <v>91</v>
      </c>
      <c r="F92" s="18" t="s">
        <v>233</v>
      </c>
      <c r="G92" s="21" t="s">
        <v>82</v>
      </c>
      <c r="H92" s="8" t="s">
        <v>302</v>
      </c>
      <c r="I92" s="51">
        <v>0</v>
      </c>
      <c r="J92" s="51">
        <v>0</v>
      </c>
      <c r="K92" s="51">
        <v>0</v>
      </c>
      <c r="L92" s="52">
        <v>0</v>
      </c>
      <c r="M92" s="53">
        <v>0</v>
      </c>
      <c r="N92" s="51">
        <v>0</v>
      </c>
      <c r="O92" s="51">
        <v>0</v>
      </c>
      <c r="P92" s="51">
        <v>0</v>
      </c>
      <c r="Q92" s="51">
        <v>0</v>
      </c>
      <c r="R92" s="51">
        <v>0</v>
      </c>
      <c r="S92" s="51">
        <v>1</v>
      </c>
      <c r="T92" s="51">
        <v>0</v>
      </c>
      <c r="U92" s="54">
        <f t="shared" si="5"/>
        <v>1</v>
      </c>
      <c r="V92" s="51">
        <v>0</v>
      </c>
      <c r="W92" s="51">
        <v>0</v>
      </c>
      <c r="X92" s="52">
        <v>0</v>
      </c>
      <c r="Y92" s="52">
        <v>0</v>
      </c>
      <c r="Z92" s="53">
        <v>0</v>
      </c>
      <c r="AA92" s="51">
        <v>0</v>
      </c>
      <c r="AB92" s="51">
        <v>0</v>
      </c>
      <c r="AC92" s="51">
        <v>0</v>
      </c>
      <c r="AD92" s="51">
        <v>0</v>
      </c>
      <c r="AE92" s="51">
        <v>0</v>
      </c>
      <c r="AF92" s="51">
        <v>0</v>
      </c>
      <c r="AG92" s="51">
        <v>0</v>
      </c>
      <c r="AH92" s="55">
        <f t="shared" si="4"/>
        <v>0</v>
      </c>
    </row>
    <row r="93" spans="1:34" ht="62.25" customHeight="1">
      <c r="A93" s="6">
        <v>31</v>
      </c>
      <c r="B93" s="6" t="s">
        <v>7</v>
      </c>
      <c r="C93" s="33" t="s">
        <v>291</v>
      </c>
      <c r="D93" s="7" t="s">
        <v>90</v>
      </c>
      <c r="E93" s="6" t="s">
        <v>91</v>
      </c>
      <c r="F93" s="7" t="s">
        <v>234</v>
      </c>
      <c r="G93" s="6" t="s">
        <v>99</v>
      </c>
      <c r="H93" s="8" t="s">
        <v>302</v>
      </c>
      <c r="I93" s="51">
        <v>0</v>
      </c>
      <c r="J93" s="51">
        <v>0</v>
      </c>
      <c r="K93" s="51">
        <v>0</v>
      </c>
      <c r="L93" s="52">
        <v>0</v>
      </c>
      <c r="M93" s="53">
        <v>0</v>
      </c>
      <c r="N93" s="51">
        <v>0</v>
      </c>
      <c r="O93" s="51">
        <v>0</v>
      </c>
      <c r="P93" s="51">
        <v>0</v>
      </c>
      <c r="Q93" s="51">
        <v>0</v>
      </c>
      <c r="R93" s="51">
        <v>0</v>
      </c>
      <c r="S93" s="51">
        <v>1</v>
      </c>
      <c r="T93" s="51">
        <v>0</v>
      </c>
      <c r="U93" s="54">
        <f t="shared" si="5"/>
        <v>1</v>
      </c>
      <c r="V93" s="51">
        <v>0</v>
      </c>
      <c r="W93" s="51">
        <v>0</v>
      </c>
      <c r="X93" s="52">
        <v>0</v>
      </c>
      <c r="Y93" s="61">
        <v>0</v>
      </c>
      <c r="Z93" s="53">
        <v>0</v>
      </c>
      <c r="AA93" s="51">
        <v>0</v>
      </c>
      <c r="AB93" s="51">
        <v>0</v>
      </c>
      <c r="AC93" s="51">
        <v>0</v>
      </c>
      <c r="AD93" s="51">
        <v>0</v>
      </c>
      <c r="AE93" s="51">
        <v>0</v>
      </c>
      <c r="AF93" s="51">
        <v>0</v>
      </c>
      <c r="AG93" s="51">
        <v>0</v>
      </c>
      <c r="AH93" s="55">
        <f t="shared" si="4"/>
        <v>0</v>
      </c>
    </row>
    <row r="94" spans="1:34" ht="62.25" customHeight="1">
      <c r="A94" s="6">
        <v>31</v>
      </c>
      <c r="B94" s="33" t="s">
        <v>4</v>
      </c>
      <c r="C94" s="36" t="s">
        <v>288</v>
      </c>
      <c r="D94" s="7" t="s">
        <v>236</v>
      </c>
      <c r="E94" s="6" t="s">
        <v>237</v>
      </c>
      <c r="F94" s="10" t="s">
        <v>238</v>
      </c>
      <c r="G94" s="6" t="s">
        <v>115</v>
      </c>
      <c r="H94" s="8" t="s">
        <v>302</v>
      </c>
      <c r="I94" s="51">
        <v>3</v>
      </c>
      <c r="J94" s="51">
        <v>3</v>
      </c>
      <c r="K94" s="51">
        <v>3</v>
      </c>
      <c r="L94" s="52">
        <v>3</v>
      </c>
      <c r="M94" s="53">
        <v>3</v>
      </c>
      <c r="N94" s="51">
        <v>3</v>
      </c>
      <c r="O94" s="51">
        <v>3</v>
      </c>
      <c r="P94" s="51">
        <v>3</v>
      </c>
      <c r="Q94" s="51">
        <v>3</v>
      </c>
      <c r="R94" s="51">
        <v>3</v>
      </c>
      <c r="S94" s="51">
        <v>3</v>
      </c>
      <c r="T94" s="51">
        <v>3</v>
      </c>
      <c r="U94" s="54">
        <f t="shared" si="5"/>
        <v>36</v>
      </c>
      <c r="V94" s="51">
        <v>3</v>
      </c>
      <c r="W94" s="51">
        <v>3</v>
      </c>
      <c r="X94" s="52">
        <v>3</v>
      </c>
      <c r="Y94" s="52">
        <v>3</v>
      </c>
      <c r="Z94" s="53">
        <v>3</v>
      </c>
      <c r="AA94" s="51">
        <v>0</v>
      </c>
      <c r="AB94" s="51">
        <v>0</v>
      </c>
      <c r="AC94" s="51">
        <v>0</v>
      </c>
      <c r="AD94" s="51">
        <v>0</v>
      </c>
      <c r="AE94" s="51">
        <v>0</v>
      </c>
      <c r="AF94" s="51">
        <v>0</v>
      </c>
      <c r="AG94" s="51">
        <v>0</v>
      </c>
      <c r="AH94" s="55">
        <f t="shared" si="4"/>
        <v>15</v>
      </c>
    </row>
    <row r="95" spans="1:34" ht="62.25" customHeight="1">
      <c r="A95" s="6">
        <v>63</v>
      </c>
      <c r="B95" s="33" t="s">
        <v>12</v>
      </c>
      <c r="C95" s="38" t="s">
        <v>295</v>
      </c>
      <c r="D95" s="7" t="s">
        <v>239</v>
      </c>
      <c r="E95" s="6" t="s">
        <v>91</v>
      </c>
      <c r="F95" s="10" t="s">
        <v>240</v>
      </c>
      <c r="G95" s="6" t="s">
        <v>99</v>
      </c>
      <c r="H95" s="8" t="s">
        <v>302</v>
      </c>
      <c r="I95" s="60">
        <v>0</v>
      </c>
      <c r="J95" s="60">
        <v>0</v>
      </c>
      <c r="K95" s="60">
        <v>0</v>
      </c>
      <c r="L95" s="61">
        <v>0</v>
      </c>
      <c r="M95" s="62">
        <v>0</v>
      </c>
      <c r="N95" s="60">
        <v>0</v>
      </c>
      <c r="O95" s="60">
        <v>0</v>
      </c>
      <c r="P95" s="60">
        <v>1</v>
      </c>
      <c r="Q95" s="60">
        <v>1</v>
      </c>
      <c r="R95" s="60">
        <v>1</v>
      </c>
      <c r="S95" s="60">
        <v>1</v>
      </c>
      <c r="T95" s="60">
        <v>0</v>
      </c>
      <c r="U95" s="63">
        <f t="shared" si="5"/>
        <v>4</v>
      </c>
      <c r="V95" s="51">
        <v>0</v>
      </c>
      <c r="W95" s="51">
        <v>0</v>
      </c>
      <c r="X95" s="52">
        <v>0</v>
      </c>
      <c r="Y95" s="52">
        <v>0</v>
      </c>
      <c r="Z95" s="53">
        <v>0</v>
      </c>
      <c r="AA95" s="51">
        <v>0</v>
      </c>
      <c r="AB95" s="51">
        <v>0</v>
      </c>
      <c r="AC95" s="51">
        <v>0</v>
      </c>
      <c r="AD95" s="51">
        <v>0</v>
      </c>
      <c r="AE95" s="51">
        <v>0</v>
      </c>
      <c r="AF95" s="51">
        <v>0</v>
      </c>
      <c r="AG95" s="51">
        <v>0</v>
      </c>
      <c r="AH95" s="55">
        <f t="shared" si="4"/>
        <v>0</v>
      </c>
    </row>
    <row r="96" spans="1:34" ht="62.25" customHeight="1">
      <c r="A96" s="6">
        <v>63</v>
      </c>
      <c r="B96" s="6" t="s">
        <v>12</v>
      </c>
      <c r="C96" s="38" t="s">
        <v>295</v>
      </c>
      <c r="D96" s="7" t="s">
        <v>239</v>
      </c>
      <c r="E96" s="6" t="s">
        <v>91</v>
      </c>
      <c r="F96" s="10" t="s">
        <v>241</v>
      </c>
      <c r="G96" s="6" t="s">
        <v>242</v>
      </c>
      <c r="H96" s="8" t="s">
        <v>302</v>
      </c>
      <c r="I96" s="51">
        <v>1</v>
      </c>
      <c r="J96" s="51">
        <v>1</v>
      </c>
      <c r="K96" s="51">
        <v>1</v>
      </c>
      <c r="L96" s="52">
        <v>1</v>
      </c>
      <c r="M96" s="53">
        <v>1</v>
      </c>
      <c r="N96" s="51">
        <v>1</v>
      </c>
      <c r="O96" s="51">
        <v>1</v>
      </c>
      <c r="P96" s="51">
        <v>1</v>
      </c>
      <c r="Q96" s="51">
        <v>1</v>
      </c>
      <c r="R96" s="51">
        <v>1</v>
      </c>
      <c r="S96" s="51">
        <v>1</v>
      </c>
      <c r="T96" s="51">
        <v>1</v>
      </c>
      <c r="U96" s="54">
        <f t="shared" si="5"/>
        <v>12</v>
      </c>
      <c r="V96" s="51">
        <v>1</v>
      </c>
      <c r="W96" s="51">
        <v>1</v>
      </c>
      <c r="X96" s="52">
        <v>1</v>
      </c>
      <c r="Y96" s="52">
        <v>1</v>
      </c>
      <c r="Z96" s="53">
        <v>1</v>
      </c>
      <c r="AA96" s="51">
        <v>0</v>
      </c>
      <c r="AB96" s="51">
        <v>0</v>
      </c>
      <c r="AC96" s="51">
        <v>0</v>
      </c>
      <c r="AD96" s="51">
        <v>0</v>
      </c>
      <c r="AE96" s="51">
        <v>0</v>
      </c>
      <c r="AF96" s="51">
        <v>0</v>
      </c>
      <c r="AG96" s="51">
        <v>0</v>
      </c>
      <c r="AH96" s="55">
        <f t="shared" si="4"/>
        <v>5</v>
      </c>
    </row>
    <row r="97" spans="1:34" ht="62.25" customHeight="1">
      <c r="A97" s="6">
        <v>99</v>
      </c>
      <c r="B97" s="6" t="s">
        <v>18</v>
      </c>
      <c r="C97" s="39" t="s">
        <v>295</v>
      </c>
      <c r="D97" s="7" t="s">
        <v>119</v>
      </c>
      <c r="E97" s="6" t="s">
        <v>91</v>
      </c>
      <c r="F97" s="10" t="s">
        <v>244</v>
      </c>
      <c r="G97" s="6" t="s">
        <v>245</v>
      </c>
      <c r="H97" s="8" t="s">
        <v>302</v>
      </c>
      <c r="I97" s="60">
        <v>12</v>
      </c>
      <c r="J97" s="60">
        <v>12</v>
      </c>
      <c r="K97" s="60">
        <v>12</v>
      </c>
      <c r="L97" s="61">
        <v>12</v>
      </c>
      <c r="M97" s="62">
        <v>12</v>
      </c>
      <c r="N97" s="60">
        <v>12</v>
      </c>
      <c r="O97" s="60">
        <v>12</v>
      </c>
      <c r="P97" s="60">
        <v>12</v>
      </c>
      <c r="Q97" s="60">
        <v>12</v>
      </c>
      <c r="R97" s="60">
        <v>12</v>
      </c>
      <c r="S97" s="60">
        <v>12</v>
      </c>
      <c r="T97" s="60">
        <v>12</v>
      </c>
      <c r="U97" s="63">
        <f t="shared" si="5"/>
        <v>144</v>
      </c>
      <c r="V97" s="51">
        <v>12</v>
      </c>
      <c r="W97" s="51">
        <v>12</v>
      </c>
      <c r="X97" s="52">
        <v>12</v>
      </c>
      <c r="Y97" s="52">
        <v>12</v>
      </c>
      <c r="Z97" s="53">
        <v>12</v>
      </c>
      <c r="AA97" s="51">
        <v>0</v>
      </c>
      <c r="AB97" s="51">
        <v>0</v>
      </c>
      <c r="AC97" s="51">
        <v>0</v>
      </c>
      <c r="AD97" s="51">
        <v>0</v>
      </c>
      <c r="AE97" s="51">
        <v>0</v>
      </c>
      <c r="AF97" s="51">
        <v>0</v>
      </c>
      <c r="AG97" s="51">
        <v>0</v>
      </c>
      <c r="AH97" s="55">
        <f t="shared" si="4"/>
        <v>60</v>
      </c>
    </row>
    <row r="98" spans="1:34" ht="62.25" customHeight="1">
      <c r="A98" s="6">
        <v>99</v>
      </c>
      <c r="B98" s="6" t="s">
        <v>18</v>
      </c>
      <c r="C98" s="39" t="s">
        <v>295</v>
      </c>
      <c r="D98" s="7" t="s">
        <v>119</v>
      </c>
      <c r="E98" s="6" t="s">
        <v>91</v>
      </c>
      <c r="F98" s="18" t="s">
        <v>246</v>
      </c>
      <c r="G98" s="6" t="s">
        <v>247</v>
      </c>
      <c r="H98" s="8" t="s">
        <v>302</v>
      </c>
      <c r="I98" s="58">
        <v>15</v>
      </c>
      <c r="J98" s="58">
        <v>15</v>
      </c>
      <c r="K98" s="58">
        <v>15</v>
      </c>
      <c r="L98" s="57">
        <v>15</v>
      </c>
      <c r="M98" s="56">
        <v>10</v>
      </c>
      <c r="N98" s="58">
        <v>10</v>
      </c>
      <c r="O98" s="58">
        <v>10</v>
      </c>
      <c r="P98" s="58">
        <v>10</v>
      </c>
      <c r="Q98" s="58">
        <v>11</v>
      </c>
      <c r="R98" s="58">
        <v>14</v>
      </c>
      <c r="S98" s="58">
        <v>15</v>
      </c>
      <c r="T98" s="58">
        <v>15</v>
      </c>
      <c r="U98" s="64">
        <f t="shared" si="5"/>
        <v>155</v>
      </c>
      <c r="V98" s="51">
        <v>15</v>
      </c>
      <c r="W98" s="51">
        <v>15</v>
      </c>
      <c r="X98" s="52">
        <v>15</v>
      </c>
      <c r="Y98" s="52">
        <v>15</v>
      </c>
      <c r="Z98" s="53">
        <v>15</v>
      </c>
      <c r="AA98" s="51">
        <v>0</v>
      </c>
      <c r="AB98" s="51">
        <v>0</v>
      </c>
      <c r="AC98" s="51">
        <v>0</v>
      </c>
      <c r="AD98" s="51">
        <v>0</v>
      </c>
      <c r="AE98" s="51">
        <v>0</v>
      </c>
      <c r="AF98" s="51">
        <v>0</v>
      </c>
      <c r="AG98" s="51">
        <v>0</v>
      </c>
      <c r="AH98" s="55">
        <f t="shared" ref="AH98:AH129" si="6">SUM(V98:AG98)</f>
        <v>75</v>
      </c>
    </row>
    <row r="99" spans="1:34" ht="62.25" customHeight="1">
      <c r="A99" s="6">
        <v>63</v>
      </c>
      <c r="B99" s="6" t="s">
        <v>12</v>
      </c>
      <c r="C99" s="38" t="s">
        <v>295</v>
      </c>
      <c r="D99" s="7" t="s">
        <v>239</v>
      </c>
      <c r="E99" s="6" t="s">
        <v>91</v>
      </c>
      <c r="F99" s="10" t="s">
        <v>248</v>
      </c>
      <c r="G99" s="6" t="s">
        <v>99</v>
      </c>
      <c r="H99" s="8" t="s">
        <v>302</v>
      </c>
      <c r="I99" s="51">
        <v>1</v>
      </c>
      <c r="J99" s="51">
        <v>1</v>
      </c>
      <c r="K99" s="51">
        <v>1</v>
      </c>
      <c r="L99" s="52">
        <v>1</v>
      </c>
      <c r="M99" s="53">
        <v>1</v>
      </c>
      <c r="N99" s="51">
        <v>1</v>
      </c>
      <c r="O99" s="51">
        <v>1</v>
      </c>
      <c r="P99" s="51">
        <v>1</v>
      </c>
      <c r="Q99" s="51">
        <v>1</v>
      </c>
      <c r="R99" s="51">
        <v>1</v>
      </c>
      <c r="S99" s="51">
        <v>1</v>
      </c>
      <c r="T99" s="51">
        <v>1</v>
      </c>
      <c r="U99" s="54">
        <f t="shared" si="5"/>
        <v>12</v>
      </c>
      <c r="V99" s="51">
        <v>1</v>
      </c>
      <c r="W99" s="51">
        <v>1</v>
      </c>
      <c r="X99" s="52">
        <v>1</v>
      </c>
      <c r="Y99" s="52">
        <v>1</v>
      </c>
      <c r="Z99" s="53">
        <v>1</v>
      </c>
      <c r="AA99" s="51">
        <v>0</v>
      </c>
      <c r="AB99" s="51">
        <v>0</v>
      </c>
      <c r="AC99" s="51">
        <v>0</v>
      </c>
      <c r="AD99" s="51">
        <v>0</v>
      </c>
      <c r="AE99" s="51">
        <v>0</v>
      </c>
      <c r="AF99" s="51">
        <v>0</v>
      </c>
      <c r="AG99" s="51">
        <v>0</v>
      </c>
      <c r="AH99" s="55">
        <f t="shared" si="6"/>
        <v>5</v>
      </c>
    </row>
    <row r="100" spans="1:34" s="46" customFormat="1" ht="62.25" customHeight="1">
      <c r="A100" s="41">
        <v>99</v>
      </c>
      <c r="B100" s="41" t="s">
        <v>18</v>
      </c>
      <c r="C100" s="42" t="s">
        <v>295</v>
      </c>
      <c r="D100" s="43" t="s">
        <v>119</v>
      </c>
      <c r="E100" s="41" t="s">
        <v>91</v>
      </c>
      <c r="F100" s="44" t="s">
        <v>249</v>
      </c>
      <c r="G100" s="41" t="s">
        <v>247</v>
      </c>
      <c r="H100" s="45" t="s">
        <v>302</v>
      </c>
      <c r="I100" s="65">
        <v>2</v>
      </c>
      <c r="J100" s="65">
        <v>2</v>
      </c>
      <c r="K100" s="65">
        <v>2</v>
      </c>
      <c r="L100" s="66">
        <v>2</v>
      </c>
      <c r="M100" s="53">
        <v>0</v>
      </c>
      <c r="N100" s="67">
        <v>0</v>
      </c>
      <c r="O100" s="67">
        <v>0</v>
      </c>
      <c r="P100" s="67">
        <v>0</v>
      </c>
      <c r="Q100" s="65">
        <v>2</v>
      </c>
      <c r="R100" s="65">
        <v>2</v>
      </c>
      <c r="S100" s="65">
        <v>2</v>
      </c>
      <c r="T100" s="65">
        <v>2</v>
      </c>
      <c r="U100" s="64">
        <f t="shared" si="5"/>
        <v>16</v>
      </c>
      <c r="V100" s="67">
        <v>1</v>
      </c>
      <c r="W100" s="67">
        <v>2</v>
      </c>
      <c r="X100" s="68">
        <v>2</v>
      </c>
      <c r="Y100" s="68">
        <v>2</v>
      </c>
      <c r="Z100" s="53">
        <v>0</v>
      </c>
      <c r="AA100" s="51">
        <v>0</v>
      </c>
      <c r="AB100" s="51">
        <v>0</v>
      </c>
      <c r="AC100" s="51">
        <v>0</v>
      </c>
      <c r="AD100" s="51">
        <v>0</v>
      </c>
      <c r="AE100" s="51">
        <v>0</v>
      </c>
      <c r="AF100" s="51">
        <v>0</v>
      </c>
      <c r="AG100" s="51">
        <v>0</v>
      </c>
      <c r="AH100" s="69">
        <f t="shared" si="6"/>
        <v>7</v>
      </c>
    </row>
    <row r="101" spans="1:34" ht="62.25" customHeight="1">
      <c r="A101" s="6">
        <v>98</v>
      </c>
      <c r="B101" s="6" t="s">
        <v>11</v>
      </c>
      <c r="C101" s="6" t="s">
        <v>294</v>
      </c>
      <c r="D101" s="7" t="s">
        <v>129</v>
      </c>
      <c r="E101" s="6" t="s">
        <v>91</v>
      </c>
      <c r="F101" s="10" t="s">
        <v>251</v>
      </c>
      <c r="G101" s="6" t="s">
        <v>82</v>
      </c>
      <c r="H101" s="8" t="s">
        <v>302</v>
      </c>
      <c r="I101" s="51">
        <v>0</v>
      </c>
      <c r="J101" s="51">
        <v>0</v>
      </c>
      <c r="K101" s="51">
        <v>0</v>
      </c>
      <c r="L101" s="52">
        <v>0</v>
      </c>
      <c r="M101" s="53">
        <v>0</v>
      </c>
      <c r="N101" s="51">
        <v>0</v>
      </c>
      <c r="O101" s="51">
        <v>0</v>
      </c>
      <c r="P101" s="51">
        <v>0</v>
      </c>
      <c r="Q101" s="51">
        <v>0</v>
      </c>
      <c r="R101" s="51">
        <v>0</v>
      </c>
      <c r="S101" s="51">
        <v>1</v>
      </c>
      <c r="T101" s="51">
        <v>0</v>
      </c>
      <c r="U101" s="54">
        <f t="shared" si="5"/>
        <v>1</v>
      </c>
      <c r="V101" s="51">
        <v>0</v>
      </c>
      <c r="W101" s="51">
        <v>0</v>
      </c>
      <c r="X101" s="52">
        <v>0</v>
      </c>
      <c r="Y101" s="52">
        <v>0</v>
      </c>
      <c r="Z101" s="53">
        <v>0</v>
      </c>
      <c r="AA101" s="51">
        <v>0</v>
      </c>
      <c r="AB101" s="51">
        <v>0</v>
      </c>
      <c r="AC101" s="51">
        <v>0</v>
      </c>
      <c r="AD101" s="51">
        <v>0</v>
      </c>
      <c r="AE101" s="51">
        <v>0</v>
      </c>
      <c r="AF101" s="51">
        <v>0</v>
      </c>
      <c r="AG101" s="51">
        <v>0</v>
      </c>
      <c r="AH101" s="55">
        <f t="shared" si="6"/>
        <v>0</v>
      </c>
    </row>
    <row r="102" spans="1:34" ht="62.25" customHeight="1">
      <c r="A102" s="6">
        <v>31</v>
      </c>
      <c r="B102" s="6" t="s">
        <v>4</v>
      </c>
      <c r="C102" s="36" t="s">
        <v>288</v>
      </c>
      <c r="D102" s="7" t="s">
        <v>236</v>
      </c>
      <c r="E102" s="6" t="s">
        <v>237</v>
      </c>
      <c r="F102" s="10" t="s">
        <v>253</v>
      </c>
      <c r="G102" s="6" t="s">
        <v>84</v>
      </c>
      <c r="H102" s="8" t="s">
        <v>302</v>
      </c>
      <c r="I102" s="51">
        <v>1</v>
      </c>
      <c r="J102" s="51">
        <v>1</v>
      </c>
      <c r="K102" s="51">
        <v>1</v>
      </c>
      <c r="L102" s="52">
        <v>1</v>
      </c>
      <c r="M102" s="53">
        <v>1</v>
      </c>
      <c r="N102" s="51">
        <v>1</v>
      </c>
      <c r="O102" s="51">
        <v>1</v>
      </c>
      <c r="P102" s="51">
        <v>1</v>
      </c>
      <c r="Q102" s="51">
        <v>1</v>
      </c>
      <c r="R102" s="51">
        <v>1</v>
      </c>
      <c r="S102" s="51">
        <v>1</v>
      </c>
      <c r="T102" s="51">
        <v>1</v>
      </c>
      <c r="U102" s="54">
        <f t="shared" si="5"/>
        <v>12</v>
      </c>
      <c r="V102" s="51">
        <v>1</v>
      </c>
      <c r="W102" s="51">
        <v>1</v>
      </c>
      <c r="X102" s="52">
        <v>1</v>
      </c>
      <c r="Y102" s="52">
        <v>1</v>
      </c>
      <c r="Z102" s="53">
        <v>1</v>
      </c>
      <c r="AA102" s="51">
        <v>0</v>
      </c>
      <c r="AB102" s="51">
        <v>0</v>
      </c>
      <c r="AC102" s="51">
        <v>0</v>
      </c>
      <c r="AD102" s="51">
        <v>0</v>
      </c>
      <c r="AE102" s="51">
        <v>0</v>
      </c>
      <c r="AF102" s="51">
        <v>0</v>
      </c>
      <c r="AG102" s="51">
        <v>0</v>
      </c>
      <c r="AH102" s="55">
        <f t="shared" si="6"/>
        <v>5</v>
      </c>
    </row>
    <row r="103" spans="1:34" ht="62.25" customHeight="1">
      <c r="A103" s="6">
        <v>34</v>
      </c>
      <c r="B103" s="6" t="s">
        <v>3</v>
      </c>
      <c r="C103" s="33" t="s">
        <v>293</v>
      </c>
      <c r="D103" s="7" t="s">
        <v>94</v>
      </c>
      <c r="E103" s="6" t="s">
        <v>84</v>
      </c>
      <c r="F103" s="10" t="s">
        <v>255</v>
      </c>
      <c r="G103" s="6" t="s">
        <v>82</v>
      </c>
      <c r="H103" s="8" t="s">
        <v>303</v>
      </c>
      <c r="I103" s="51">
        <v>0</v>
      </c>
      <c r="J103" s="51">
        <v>0</v>
      </c>
      <c r="K103" s="51">
        <v>1</v>
      </c>
      <c r="L103" s="52">
        <v>0</v>
      </c>
      <c r="M103" s="53">
        <v>0</v>
      </c>
      <c r="N103" s="51">
        <v>1</v>
      </c>
      <c r="O103" s="51">
        <v>0</v>
      </c>
      <c r="P103" s="51">
        <v>0</v>
      </c>
      <c r="Q103" s="51">
        <v>1</v>
      </c>
      <c r="R103" s="51">
        <v>0</v>
      </c>
      <c r="S103" s="51">
        <v>0</v>
      </c>
      <c r="T103" s="51">
        <v>1</v>
      </c>
      <c r="U103" s="54">
        <f t="shared" si="5"/>
        <v>4</v>
      </c>
      <c r="V103" s="51">
        <v>0</v>
      </c>
      <c r="W103" s="51">
        <v>0</v>
      </c>
      <c r="X103" s="52">
        <v>1</v>
      </c>
      <c r="Y103" s="52">
        <v>0</v>
      </c>
      <c r="Z103" s="53">
        <v>0</v>
      </c>
      <c r="AA103" s="51">
        <v>0</v>
      </c>
      <c r="AB103" s="51">
        <v>0</v>
      </c>
      <c r="AC103" s="51">
        <v>0</v>
      </c>
      <c r="AD103" s="51">
        <v>0</v>
      </c>
      <c r="AE103" s="51">
        <v>0</v>
      </c>
      <c r="AF103" s="51">
        <v>0</v>
      </c>
      <c r="AG103" s="51">
        <v>0</v>
      </c>
      <c r="AH103" s="55">
        <f t="shared" si="6"/>
        <v>1</v>
      </c>
    </row>
    <row r="104" spans="1:34" ht="62.25" customHeight="1">
      <c r="A104" s="6">
        <v>98</v>
      </c>
      <c r="B104" s="6" t="s">
        <v>11</v>
      </c>
      <c r="C104" s="6" t="s">
        <v>294</v>
      </c>
      <c r="D104" s="7" t="s">
        <v>129</v>
      </c>
      <c r="E104" s="6" t="s">
        <v>91</v>
      </c>
      <c r="F104" s="10" t="s">
        <v>256</v>
      </c>
      <c r="G104" s="6" t="s">
        <v>82</v>
      </c>
      <c r="H104" s="8" t="s">
        <v>303</v>
      </c>
      <c r="I104" s="51">
        <v>0</v>
      </c>
      <c r="J104" s="51">
        <v>0</v>
      </c>
      <c r="K104" s="51">
        <v>0</v>
      </c>
      <c r="L104" s="52">
        <v>1</v>
      </c>
      <c r="M104" s="53">
        <v>0</v>
      </c>
      <c r="N104" s="51">
        <v>0</v>
      </c>
      <c r="O104" s="51">
        <v>0</v>
      </c>
      <c r="P104" s="51">
        <v>0</v>
      </c>
      <c r="Q104" s="51">
        <v>0</v>
      </c>
      <c r="R104" s="51">
        <v>0</v>
      </c>
      <c r="S104" s="51">
        <v>0</v>
      </c>
      <c r="T104" s="51">
        <v>1</v>
      </c>
      <c r="U104" s="54">
        <f t="shared" ref="U104:U133" si="7">SUM(I104:T104)</f>
        <v>2</v>
      </c>
      <c r="V104" s="51">
        <v>0</v>
      </c>
      <c r="W104" s="51">
        <v>0</v>
      </c>
      <c r="X104" s="52">
        <v>0</v>
      </c>
      <c r="Y104" s="52">
        <v>1</v>
      </c>
      <c r="Z104" s="53">
        <v>0</v>
      </c>
      <c r="AA104" s="51">
        <v>0</v>
      </c>
      <c r="AB104" s="51">
        <v>0</v>
      </c>
      <c r="AC104" s="51">
        <v>0</v>
      </c>
      <c r="AD104" s="51">
        <v>0</v>
      </c>
      <c r="AE104" s="51">
        <v>0</v>
      </c>
      <c r="AF104" s="51">
        <v>0</v>
      </c>
      <c r="AG104" s="51">
        <v>0</v>
      </c>
      <c r="AH104" s="55">
        <f t="shared" si="6"/>
        <v>1</v>
      </c>
    </row>
    <row r="105" spans="1:34" ht="62.25" customHeight="1">
      <c r="A105" s="6">
        <v>64</v>
      </c>
      <c r="B105" s="33" t="s">
        <v>13</v>
      </c>
      <c r="C105" s="33" t="s">
        <v>294</v>
      </c>
      <c r="D105" s="7" t="s">
        <v>257</v>
      </c>
      <c r="E105" s="6" t="s">
        <v>91</v>
      </c>
      <c r="F105" s="10" t="s">
        <v>258</v>
      </c>
      <c r="G105" s="6" t="s">
        <v>82</v>
      </c>
      <c r="H105" s="8" t="s">
        <v>303</v>
      </c>
      <c r="I105" s="51">
        <v>0</v>
      </c>
      <c r="J105" s="51">
        <v>0</v>
      </c>
      <c r="K105" s="51">
        <v>0</v>
      </c>
      <c r="L105" s="52">
        <v>0</v>
      </c>
      <c r="M105" s="53">
        <v>0</v>
      </c>
      <c r="N105" s="51">
        <v>1</v>
      </c>
      <c r="O105" s="51">
        <v>0</v>
      </c>
      <c r="P105" s="51">
        <v>1</v>
      </c>
      <c r="Q105" s="51">
        <v>0</v>
      </c>
      <c r="R105" s="51">
        <v>0</v>
      </c>
      <c r="S105" s="51">
        <v>1</v>
      </c>
      <c r="T105" s="51">
        <v>0</v>
      </c>
      <c r="U105" s="54">
        <f t="shared" si="7"/>
        <v>3</v>
      </c>
      <c r="V105" s="51">
        <v>0</v>
      </c>
      <c r="W105" s="51">
        <v>0</v>
      </c>
      <c r="X105" s="52">
        <v>0</v>
      </c>
      <c r="Y105" s="52">
        <v>0</v>
      </c>
      <c r="Z105" s="53">
        <v>0</v>
      </c>
      <c r="AA105" s="51">
        <v>0</v>
      </c>
      <c r="AB105" s="51">
        <v>0</v>
      </c>
      <c r="AC105" s="51">
        <v>0</v>
      </c>
      <c r="AD105" s="51">
        <v>0</v>
      </c>
      <c r="AE105" s="51">
        <v>0</v>
      </c>
      <c r="AF105" s="51">
        <v>0</v>
      </c>
      <c r="AG105" s="51">
        <v>0</v>
      </c>
      <c r="AH105" s="55">
        <f t="shared" si="6"/>
        <v>0</v>
      </c>
    </row>
    <row r="106" spans="1:34" ht="62.25" customHeight="1">
      <c r="A106" s="6">
        <v>102</v>
      </c>
      <c r="B106" s="33" t="s">
        <v>23</v>
      </c>
      <c r="C106" s="36" t="s">
        <v>288</v>
      </c>
      <c r="D106" s="7" t="s">
        <v>259</v>
      </c>
      <c r="E106" s="6" t="s">
        <v>237</v>
      </c>
      <c r="F106" s="10" t="s">
        <v>260</v>
      </c>
      <c r="G106" s="6" t="s">
        <v>82</v>
      </c>
      <c r="H106" s="8" t="s">
        <v>303</v>
      </c>
      <c r="I106" s="51">
        <v>0</v>
      </c>
      <c r="J106" s="51">
        <v>0</v>
      </c>
      <c r="K106" s="51">
        <v>0</v>
      </c>
      <c r="L106" s="52">
        <v>1</v>
      </c>
      <c r="M106" s="53">
        <v>0</v>
      </c>
      <c r="N106" s="51">
        <v>0</v>
      </c>
      <c r="O106" s="51">
        <v>0</v>
      </c>
      <c r="P106" s="51">
        <v>1</v>
      </c>
      <c r="Q106" s="51">
        <v>0</v>
      </c>
      <c r="R106" s="51">
        <v>0</v>
      </c>
      <c r="S106" s="51">
        <v>0</v>
      </c>
      <c r="T106" s="51">
        <v>1</v>
      </c>
      <c r="U106" s="54">
        <f t="shared" si="7"/>
        <v>3</v>
      </c>
      <c r="V106" s="51">
        <v>0</v>
      </c>
      <c r="W106" s="51">
        <v>0</v>
      </c>
      <c r="X106" s="52">
        <v>0</v>
      </c>
      <c r="Y106" s="52">
        <v>1</v>
      </c>
      <c r="Z106" s="53">
        <v>0</v>
      </c>
      <c r="AA106" s="51">
        <v>0</v>
      </c>
      <c r="AB106" s="51">
        <v>0</v>
      </c>
      <c r="AC106" s="51">
        <v>0</v>
      </c>
      <c r="AD106" s="51">
        <v>0</v>
      </c>
      <c r="AE106" s="51">
        <v>0</v>
      </c>
      <c r="AF106" s="51">
        <v>0</v>
      </c>
      <c r="AG106" s="51">
        <v>0</v>
      </c>
      <c r="AH106" s="55">
        <f t="shared" si="6"/>
        <v>1</v>
      </c>
    </row>
    <row r="107" spans="1:34" ht="62.25" customHeight="1">
      <c r="A107" s="6">
        <v>99</v>
      </c>
      <c r="B107" s="6" t="s">
        <v>18</v>
      </c>
      <c r="C107" s="39" t="s">
        <v>295</v>
      </c>
      <c r="D107" s="7" t="s">
        <v>119</v>
      </c>
      <c r="E107" s="6" t="s">
        <v>91</v>
      </c>
      <c r="F107" s="10" t="s">
        <v>261</v>
      </c>
      <c r="G107" s="6" t="s">
        <v>82</v>
      </c>
      <c r="H107" s="8" t="s">
        <v>303</v>
      </c>
      <c r="I107" s="51">
        <v>1</v>
      </c>
      <c r="J107" s="51">
        <v>1</v>
      </c>
      <c r="K107" s="51">
        <v>1</v>
      </c>
      <c r="L107" s="52">
        <v>1</v>
      </c>
      <c r="M107" s="53">
        <v>1</v>
      </c>
      <c r="N107" s="51">
        <v>1</v>
      </c>
      <c r="O107" s="51">
        <v>1</v>
      </c>
      <c r="P107" s="51">
        <v>1</v>
      </c>
      <c r="Q107" s="51">
        <v>1</v>
      </c>
      <c r="R107" s="51">
        <v>1</v>
      </c>
      <c r="S107" s="51">
        <v>1</v>
      </c>
      <c r="T107" s="51">
        <v>1</v>
      </c>
      <c r="U107" s="54">
        <f t="shared" si="7"/>
        <v>12</v>
      </c>
      <c r="V107" s="51">
        <v>1</v>
      </c>
      <c r="W107" s="51">
        <v>1</v>
      </c>
      <c r="X107" s="52">
        <v>1</v>
      </c>
      <c r="Y107" s="52">
        <v>1</v>
      </c>
      <c r="Z107" s="53">
        <v>1</v>
      </c>
      <c r="AA107" s="51">
        <v>0</v>
      </c>
      <c r="AB107" s="51">
        <v>0</v>
      </c>
      <c r="AC107" s="51">
        <v>0</v>
      </c>
      <c r="AD107" s="51">
        <v>0</v>
      </c>
      <c r="AE107" s="51">
        <v>0</v>
      </c>
      <c r="AF107" s="51">
        <v>0</v>
      </c>
      <c r="AG107" s="51">
        <v>0</v>
      </c>
      <c r="AH107" s="55">
        <f t="shared" si="6"/>
        <v>5</v>
      </c>
    </row>
    <row r="108" spans="1:34" ht="62.25" customHeight="1">
      <c r="A108" s="6">
        <v>102</v>
      </c>
      <c r="B108" s="6" t="s">
        <v>23</v>
      </c>
      <c r="C108" s="36" t="s">
        <v>288</v>
      </c>
      <c r="D108" s="7" t="s">
        <v>259</v>
      </c>
      <c r="E108" s="6" t="s">
        <v>237</v>
      </c>
      <c r="F108" s="10" t="s">
        <v>262</v>
      </c>
      <c r="G108" s="6" t="s">
        <v>115</v>
      </c>
      <c r="H108" s="8" t="s">
        <v>303</v>
      </c>
      <c r="I108" s="51">
        <v>31</v>
      </c>
      <c r="J108" s="51">
        <v>28</v>
      </c>
      <c r="K108" s="51">
        <v>31</v>
      </c>
      <c r="L108" s="52">
        <v>30</v>
      </c>
      <c r="M108" s="53">
        <v>31</v>
      </c>
      <c r="N108" s="51">
        <v>30</v>
      </c>
      <c r="O108" s="51">
        <v>31</v>
      </c>
      <c r="P108" s="51">
        <v>31</v>
      </c>
      <c r="Q108" s="51">
        <v>30</v>
      </c>
      <c r="R108" s="51">
        <v>31</v>
      </c>
      <c r="S108" s="51">
        <v>30</v>
      </c>
      <c r="T108" s="51">
        <v>31</v>
      </c>
      <c r="U108" s="54">
        <f t="shared" si="7"/>
        <v>365</v>
      </c>
      <c r="V108" s="51">
        <v>31</v>
      </c>
      <c r="W108" s="51">
        <v>28</v>
      </c>
      <c r="X108" s="52">
        <v>31</v>
      </c>
      <c r="Y108" s="52">
        <v>30</v>
      </c>
      <c r="Z108" s="53">
        <v>31</v>
      </c>
      <c r="AA108" s="51">
        <v>0</v>
      </c>
      <c r="AB108" s="51">
        <v>0</v>
      </c>
      <c r="AC108" s="51">
        <v>0</v>
      </c>
      <c r="AD108" s="51">
        <v>0</v>
      </c>
      <c r="AE108" s="51">
        <v>0</v>
      </c>
      <c r="AF108" s="51">
        <v>0</v>
      </c>
      <c r="AG108" s="51">
        <v>0</v>
      </c>
      <c r="AH108" s="55">
        <f t="shared" si="6"/>
        <v>151</v>
      </c>
    </row>
    <row r="109" spans="1:34" ht="62.25" customHeight="1">
      <c r="A109" s="6">
        <v>31</v>
      </c>
      <c r="B109" s="6" t="s">
        <v>7</v>
      </c>
      <c r="C109" s="33" t="s">
        <v>291</v>
      </c>
      <c r="D109" s="7" t="s">
        <v>90</v>
      </c>
      <c r="E109" s="6" t="s">
        <v>91</v>
      </c>
      <c r="F109" s="10" t="s">
        <v>263</v>
      </c>
      <c r="G109" s="6" t="s">
        <v>99</v>
      </c>
      <c r="H109" s="8" t="s">
        <v>303</v>
      </c>
      <c r="I109" s="51">
        <v>0</v>
      </c>
      <c r="J109" s="51">
        <v>0</v>
      </c>
      <c r="K109" s="51">
        <v>0</v>
      </c>
      <c r="L109" s="52">
        <v>0</v>
      </c>
      <c r="M109" s="53">
        <v>0</v>
      </c>
      <c r="N109" s="51">
        <v>0</v>
      </c>
      <c r="O109" s="51">
        <v>0</v>
      </c>
      <c r="P109" s="51">
        <v>0</v>
      </c>
      <c r="Q109" s="51">
        <v>0</v>
      </c>
      <c r="R109" s="51">
        <v>0</v>
      </c>
      <c r="S109" s="51">
        <v>0</v>
      </c>
      <c r="T109" s="51">
        <v>1</v>
      </c>
      <c r="U109" s="54">
        <f t="shared" si="7"/>
        <v>1</v>
      </c>
      <c r="V109" s="51">
        <v>0</v>
      </c>
      <c r="W109" s="51">
        <v>0</v>
      </c>
      <c r="X109" s="52">
        <v>0</v>
      </c>
      <c r="Y109" s="52">
        <v>0</v>
      </c>
      <c r="Z109" s="53">
        <v>0</v>
      </c>
      <c r="AA109" s="51">
        <v>0</v>
      </c>
      <c r="AB109" s="51">
        <v>0</v>
      </c>
      <c r="AC109" s="51">
        <v>0</v>
      </c>
      <c r="AD109" s="51">
        <v>0</v>
      </c>
      <c r="AE109" s="51">
        <v>0</v>
      </c>
      <c r="AF109" s="51">
        <v>0</v>
      </c>
      <c r="AG109" s="51">
        <v>0</v>
      </c>
      <c r="AH109" s="55">
        <f t="shared" si="6"/>
        <v>0</v>
      </c>
    </row>
    <row r="110" spans="1:34" ht="62.25" customHeight="1">
      <c r="A110" s="6">
        <v>102</v>
      </c>
      <c r="B110" s="6" t="s">
        <v>23</v>
      </c>
      <c r="C110" s="36" t="s">
        <v>288</v>
      </c>
      <c r="D110" s="7" t="s">
        <v>259</v>
      </c>
      <c r="E110" s="6" t="s">
        <v>237</v>
      </c>
      <c r="F110" s="10" t="s">
        <v>264</v>
      </c>
      <c r="G110" s="6" t="s">
        <v>115</v>
      </c>
      <c r="H110" s="8" t="s">
        <v>303</v>
      </c>
      <c r="I110" s="51">
        <v>22</v>
      </c>
      <c r="J110" s="51">
        <v>20</v>
      </c>
      <c r="K110" s="51">
        <v>22</v>
      </c>
      <c r="L110" s="52">
        <v>20</v>
      </c>
      <c r="M110" s="53">
        <v>20</v>
      </c>
      <c r="N110" s="51">
        <v>20</v>
      </c>
      <c r="O110" s="51">
        <v>20</v>
      </c>
      <c r="P110" s="51">
        <v>20</v>
      </c>
      <c r="Q110" s="51">
        <v>22</v>
      </c>
      <c r="R110" s="51">
        <v>21</v>
      </c>
      <c r="S110" s="51">
        <v>20</v>
      </c>
      <c r="T110" s="51">
        <v>20</v>
      </c>
      <c r="U110" s="54">
        <f t="shared" si="7"/>
        <v>247</v>
      </c>
      <c r="V110" s="51">
        <v>22</v>
      </c>
      <c r="W110" s="51">
        <v>20</v>
      </c>
      <c r="X110" s="52">
        <v>22</v>
      </c>
      <c r="Y110" s="52">
        <v>20</v>
      </c>
      <c r="Z110" s="53">
        <v>20</v>
      </c>
      <c r="AA110" s="51">
        <v>0</v>
      </c>
      <c r="AB110" s="51">
        <v>0</v>
      </c>
      <c r="AC110" s="51">
        <v>0</v>
      </c>
      <c r="AD110" s="51">
        <v>0</v>
      </c>
      <c r="AE110" s="51">
        <v>0</v>
      </c>
      <c r="AF110" s="51">
        <v>0</v>
      </c>
      <c r="AG110" s="51">
        <v>0</v>
      </c>
      <c r="AH110" s="55">
        <f t="shared" si="6"/>
        <v>104</v>
      </c>
    </row>
    <row r="111" spans="1:34" ht="62.25" customHeight="1">
      <c r="A111" s="6">
        <v>102</v>
      </c>
      <c r="B111" s="6" t="s">
        <v>23</v>
      </c>
      <c r="C111" s="36" t="s">
        <v>288</v>
      </c>
      <c r="D111" s="7" t="s">
        <v>259</v>
      </c>
      <c r="E111" s="6" t="s">
        <v>237</v>
      </c>
      <c r="F111" s="10" t="s">
        <v>265</v>
      </c>
      <c r="G111" s="6" t="s">
        <v>82</v>
      </c>
      <c r="H111" s="8" t="s">
        <v>303</v>
      </c>
      <c r="I111" s="51">
        <v>0</v>
      </c>
      <c r="J111" s="51">
        <v>0</v>
      </c>
      <c r="K111" s="51">
        <v>0</v>
      </c>
      <c r="L111" s="52">
        <v>0</v>
      </c>
      <c r="M111" s="53">
        <v>0</v>
      </c>
      <c r="N111" s="51">
        <v>1</v>
      </c>
      <c r="O111" s="51">
        <v>0</v>
      </c>
      <c r="P111" s="51">
        <v>0</v>
      </c>
      <c r="Q111" s="51">
        <v>0</v>
      </c>
      <c r="R111" s="51">
        <v>0</v>
      </c>
      <c r="S111" s="51">
        <v>0</v>
      </c>
      <c r="T111" s="51">
        <v>1</v>
      </c>
      <c r="U111" s="54">
        <f t="shared" si="7"/>
        <v>2</v>
      </c>
      <c r="V111" s="51">
        <v>0</v>
      </c>
      <c r="W111" s="51">
        <v>0</v>
      </c>
      <c r="X111" s="52">
        <v>0</v>
      </c>
      <c r="Y111" s="52">
        <v>0</v>
      </c>
      <c r="Z111" s="53">
        <v>0</v>
      </c>
      <c r="AA111" s="51">
        <v>0</v>
      </c>
      <c r="AB111" s="51">
        <v>0</v>
      </c>
      <c r="AC111" s="51">
        <v>0</v>
      </c>
      <c r="AD111" s="51">
        <v>0</v>
      </c>
      <c r="AE111" s="51">
        <v>0</v>
      </c>
      <c r="AF111" s="51">
        <v>0</v>
      </c>
      <c r="AG111" s="51">
        <v>0</v>
      </c>
      <c r="AH111" s="55">
        <f t="shared" si="6"/>
        <v>0</v>
      </c>
    </row>
    <row r="112" spans="1:34" ht="62.25" customHeight="1">
      <c r="A112" s="6">
        <v>3</v>
      </c>
      <c r="B112" s="33" t="s">
        <v>22</v>
      </c>
      <c r="C112" s="33" t="s">
        <v>286</v>
      </c>
      <c r="D112" s="7" t="s">
        <v>266</v>
      </c>
      <c r="E112" s="6" t="s">
        <v>105</v>
      </c>
      <c r="F112" s="10" t="s">
        <v>267</v>
      </c>
      <c r="G112" s="6" t="s">
        <v>105</v>
      </c>
      <c r="H112" s="8" t="s">
        <v>303</v>
      </c>
      <c r="I112" s="51">
        <v>0</v>
      </c>
      <c r="J112" s="51">
        <v>0</v>
      </c>
      <c r="K112" s="51">
        <v>0</v>
      </c>
      <c r="L112" s="52">
        <v>0</v>
      </c>
      <c r="M112" s="53">
        <v>0</v>
      </c>
      <c r="N112" s="51">
        <v>0</v>
      </c>
      <c r="O112" s="51">
        <v>0</v>
      </c>
      <c r="P112" s="51">
        <v>0</v>
      </c>
      <c r="Q112" s="51">
        <v>0</v>
      </c>
      <c r="R112" s="51">
        <v>0</v>
      </c>
      <c r="S112" s="51">
        <v>0</v>
      </c>
      <c r="T112" s="51">
        <v>1</v>
      </c>
      <c r="U112" s="54">
        <f t="shared" si="7"/>
        <v>1</v>
      </c>
      <c r="V112" s="51">
        <v>0</v>
      </c>
      <c r="W112" s="51">
        <v>0</v>
      </c>
      <c r="X112" s="52">
        <v>0</v>
      </c>
      <c r="Y112" s="52">
        <v>0</v>
      </c>
      <c r="Z112" s="53">
        <v>0</v>
      </c>
      <c r="AA112" s="51">
        <v>0</v>
      </c>
      <c r="AB112" s="51">
        <v>0</v>
      </c>
      <c r="AC112" s="51">
        <v>0</v>
      </c>
      <c r="AD112" s="51">
        <v>0</v>
      </c>
      <c r="AE112" s="51">
        <v>0</v>
      </c>
      <c r="AF112" s="51">
        <v>0</v>
      </c>
      <c r="AG112" s="51">
        <v>0</v>
      </c>
      <c r="AH112" s="55">
        <f t="shared" si="6"/>
        <v>0</v>
      </c>
    </row>
    <row r="113" spans="1:34" ht="62.25" customHeight="1">
      <c r="A113" s="6">
        <v>99</v>
      </c>
      <c r="B113" s="6" t="s">
        <v>18</v>
      </c>
      <c r="C113" s="39" t="s">
        <v>295</v>
      </c>
      <c r="D113" s="7" t="s">
        <v>119</v>
      </c>
      <c r="E113" s="6" t="s">
        <v>91</v>
      </c>
      <c r="F113" s="10" t="s">
        <v>268</v>
      </c>
      <c r="G113" s="6" t="s">
        <v>82</v>
      </c>
      <c r="H113" s="8" t="s">
        <v>303</v>
      </c>
      <c r="I113" s="51">
        <v>0</v>
      </c>
      <c r="J113" s="51">
        <v>0</v>
      </c>
      <c r="K113" s="51">
        <v>1</v>
      </c>
      <c r="L113" s="52">
        <v>0</v>
      </c>
      <c r="M113" s="53">
        <v>0</v>
      </c>
      <c r="N113" s="51">
        <v>1</v>
      </c>
      <c r="O113" s="51">
        <v>0</v>
      </c>
      <c r="P113" s="51">
        <v>0</v>
      </c>
      <c r="Q113" s="51">
        <v>1</v>
      </c>
      <c r="R113" s="51">
        <v>0</v>
      </c>
      <c r="S113" s="51">
        <v>0</v>
      </c>
      <c r="T113" s="51">
        <v>1</v>
      </c>
      <c r="U113" s="54">
        <f t="shared" si="7"/>
        <v>4</v>
      </c>
      <c r="V113" s="51">
        <v>0</v>
      </c>
      <c r="W113" s="51">
        <v>0</v>
      </c>
      <c r="X113" s="52">
        <v>1</v>
      </c>
      <c r="Y113" s="52">
        <v>0</v>
      </c>
      <c r="Z113" s="53">
        <v>0</v>
      </c>
      <c r="AA113" s="51">
        <v>0</v>
      </c>
      <c r="AB113" s="51">
        <v>0</v>
      </c>
      <c r="AC113" s="51">
        <v>0</v>
      </c>
      <c r="AD113" s="51">
        <v>0</v>
      </c>
      <c r="AE113" s="51">
        <v>0</v>
      </c>
      <c r="AF113" s="51">
        <v>0</v>
      </c>
      <c r="AG113" s="51">
        <v>0</v>
      </c>
      <c r="AH113" s="55">
        <f t="shared" si="6"/>
        <v>1</v>
      </c>
    </row>
    <row r="114" spans="1:34" ht="62.25" customHeight="1">
      <c r="A114" s="6">
        <v>99</v>
      </c>
      <c r="B114" s="6" t="s">
        <v>18</v>
      </c>
      <c r="C114" s="39" t="s">
        <v>295</v>
      </c>
      <c r="D114" s="7" t="s">
        <v>119</v>
      </c>
      <c r="E114" s="6" t="s">
        <v>91</v>
      </c>
      <c r="F114" s="10" t="s">
        <v>269</v>
      </c>
      <c r="G114" s="6" t="s">
        <v>82</v>
      </c>
      <c r="H114" s="8" t="s">
        <v>303</v>
      </c>
      <c r="I114" s="51">
        <v>31</v>
      </c>
      <c r="J114" s="51">
        <v>28</v>
      </c>
      <c r="K114" s="51">
        <v>31</v>
      </c>
      <c r="L114" s="52">
        <v>30</v>
      </c>
      <c r="M114" s="53">
        <v>31</v>
      </c>
      <c r="N114" s="51">
        <v>30</v>
      </c>
      <c r="O114" s="51">
        <v>31</v>
      </c>
      <c r="P114" s="51">
        <v>31</v>
      </c>
      <c r="Q114" s="51">
        <v>30</v>
      </c>
      <c r="R114" s="51">
        <v>31</v>
      </c>
      <c r="S114" s="51">
        <v>30</v>
      </c>
      <c r="T114" s="51">
        <v>31</v>
      </c>
      <c r="U114" s="54">
        <f t="shared" si="7"/>
        <v>365</v>
      </c>
      <c r="V114" s="51">
        <v>31</v>
      </c>
      <c r="W114" s="51">
        <v>28</v>
      </c>
      <c r="X114" s="52">
        <v>31</v>
      </c>
      <c r="Y114" s="52">
        <v>30</v>
      </c>
      <c r="Z114" s="53">
        <v>31</v>
      </c>
      <c r="AA114" s="51">
        <v>0</v>
      </c>
      <c r="AB114" s="51">
        <v>0</v>
      </c>
      <c r="AC114" s="51">
        <v>0</v>
      </c>
      <c r="AD114" s="51">
        <v>0</v>
      </c>
      <c r="AE114" s="51">
        <v>0</v>
      </c>
      <c r="AF114" s="51">
        <v>0</v>
      </c>
      <c r="AG114" s="51">
        <v>0</v>
      </c>
      <c r="AH114" s="55">
        <f t="shared" si="6"/>
        <v>151</v>
      </c>
    </row>
    <row r="115" spans="1:34" ht="62.25" customHeight="1">
      <c r="A115" s="6">
        <v>64</v>
      </c>
      <c r="B115" s="6" t="s">
        <v>13</v>
      </c>
      <c r="C115" s="33" t="s">
        <v>294</v>
      </c>
      <c r="D115" s="7" t="s">
        <v>257</v>
      </c>
      <c r="E115" s="6" t="s">
        <v>91</v>
      </c>
      <c r="F115" s="10" t="s">
        <v>270</v>
      </c>
      <c r="G115" s="6" t="s">
        <v>271</v>
      </c>
      <c r="H115" s="8" t="s">
        <v>303</v>
      </c>
      <c r="I115" s="51">
        <v>0</v>
      </c>
      <c r="J115" s="51">
        <v>0</v>
      </c>
      <c r="K115" s="51">
        <v>0</v>
      </c>
      <c r="L115" s="52">
        <v>0</v>
      </c>
      <c r="M115" s="53">
        <v>4</v>
      </c>
      <c r="N115" s="51">
        <v>4</v>
      </c>
      <c r="O115" s="51">
        <v>5</v>
      </c>
      <c r="P115" s="51">
        <v>4</v>
      </c>
      <c r="Q115" s="51">
        <v>4</v>
      </c>
      <c r="R115" s="51">
        <v>5</v>
      </c>
      <c r="S115" s="51">
        <v>4</v>
      </c>
      <c r="T115" s="51">
        <v>0</v>
      </c>
      <c r="U115" s="54">
        <f t="shared" si="7"/>
        <v>30</v>
      </c>
      <c r="V115" s="51">
        <v>0</v>
      </c>
      <c r="W115" s="51">
        <v>0</v>
      </c>
      <c r="X115" s="52">
        <v>0</v>
      </c>
      <c r="Y115" s="52">
        <v>0</v>
      </c>
      <c r="Z115" s="53">
        <v>4</v>
      </c>
      <c r="AA115" s="51">
        <v>0</v>
      </c>
      <c r="AB115" s="51">
        <v>0</v>
      </c>
      <c r="AC115" s="51">
        <v>0</v>
      </c>
      <c r="AD115" s="51">
        <v>0</v>
      </c>
      <c r="AE115" s="51">
        <v>0</v>
      </c>
      <c r="AF115" s="51">
        <v>0</v>
      </c>
      <c r="AG115" s="51">
        <v>0</v>
      </c>
      <c r="AH115" s="55">
        <f t="shared" si="6"/>
        <v>4</v>
      </c>
    </row>
    <row r="116" spans="1:34" ht="62.25" customHeight="1">
      <c r="A116" s="6">
        <v>99</v>
      </c>
      <c r="B116" s="6" t="s">
        <v>18</v>
      </c>
      <c r="C116" s="39" t="s">
        <v>295</v>
      </c>
      <c r="D116" s="7" t="s">
        <v>119</v>
      </c>
      <c r="E116" s="6" t="s">
        <v>91</v>
      </c>
      <c r="F116" s="10" t="s">
        <v>272</v>
      </c>
      <c r="G116" s="6" t="s">
        <v>271</v>
      </c>
      <c r="H116" s="8" t="s">
        <v>303</v>
      </c>
      <c r="I116" s="51">
        <v>5</v>
      </c>
      <c r="J116" s="51">
        <v>4</v>
      </c>
      <c r="K116" s="51">
        <v>4</v>
      </c>
      <c r="L116" s="52">
        <v>5</v>
      </c>
      <c r="M116" s="53">
        <v>4</v>
      </c>
      <c r="N116" s="51">
        <v>4</v>
      </c>
      <c r="O116" s="51">
        <v>5</v>
      </c>
      <c r="P116" s="51">
        <v>4</v>
      </c>
      <c r="Q116" s="51">
        <v>4</v>
      </c>
      <c r="R116" s="51">
        <v>5</v>
      </c>
      <c r="S116" s="51">
        <v>4</v>
      </c>
      <c r="T116" s="51">
        <v>5</v>
      </c>
      <c r="U116" s="54">
        <f t="shared" si="7"/>
        <v>53</v>
      </c>
      <c r="V116" s="51">
        <v>5</v>
      </c>
      <c r="W116" s="51">
        <v>4</v>
      </c>
      <c r="X116" s="52">
        <v>4</v>
      </c>
      <c r="Y116" s="52">
        <v>5</v>
      </c>
      <c r="Z116" s="53">
        <v>4</v>
      </c>
      <c r="AA116" s="51">
        <v>0</v>
      </c>
      <c r="AB116" s="51">
        <v>0</v>
      </c>
      <c r="AC116" s="51">
        <v>0</v>
      </c>
      <c r="AD116" s="51">
        <v>0</v>
      </c>
      <c r="AE116" s="51">
        <v>0</v>
      </c>
      <c r="AF116" s="51">
        <v>0</v>
      </c>
      <c r="AG116" s="51">
        <v>0</v>
      </c>
      <c r="AH116" s="55">
        <f t="shared" si="6"/>
        <v>22</v>
      </c>
    </row>
    <row r="117" spans="1:34" ht="62.25" customHeight="1">
      <c r="A117" s="6">
        <v>103</v>
      </c>
      <c r="B117" s="6" t="s">
        <v>24</v>
      </c>
      <c r="C117" s="6" t="s">
        <v>290</v>
      </c>
      <c r="D117" s="7" t="s">
        <v>156</v>
      </c>
      <c r="E117" s="6" t="s">
        <v>82</v>
      </c>
      <c r="F117" s="10" t="s">
        <v>273</v>
      </c>
      <c r="G117" s="6" t="s">
        <v>82</v>
      </c>
      <c r="H117" s="8" t="s">
        <v>303</v>
      </c>
      <c r="I117" s="51">
        <v>0</v>
      </c>
      <c r="J117" s="51">
        <v>0</v>
      </c>
      <c r="K117" s="51">
        <v>0</v>
      </c>
      <c r="L117" s="52">
        <v>0</v>
      </c>
      <c r="M117" s="53">
        <v>0</v>
      </c>
      <c r="N117" s="51">
        <v>1</v>
      </c>
      <c r="O117" s="51">
        <v>0</v>
      </c>
      <c r="P117" s="51">
        <v>0</v>
      </c>
      <c r="Q117" s="51">
        <v>0</v>
      </c>
      <c r="R117" s="51">
        <v>0</v>
      </c>
      <c r="S117" s="51">
        <v>0</v>
      </c>
      <c r="T117" s="51">
        <v>1</v>
      </c>
      <c r="U117" s="54">
        <f t="shared" si="7"/>
        <v>2</v>
      </c>
      <c r="V117" s="51">
        <v>0</v>
      </c>
      <c r="W117" s="51">
        <v>0</v>
      </c>
      <c r="X117" s="52">
        <v>0</v>
      </c>
      <c r="Y117" s="52">
        <v>0</v>
      </c>
      <c r="Z117" s="53">
        <v>0</v>
      </c>
      <c r="AA117" s="51">
        <v>0</v>
      </c>
      <c r="AB117" s="51">
        <v>0</v>
      </c>
      <c r="AC117" s="51">
        <v>0</v>
      </c>
      <c r="AD117" s="51">
        <v>0</v>
      </c>
      <c r="AE117" s="51">
        <v>0</v>
      </c>
      <c r="AF117" s="51">
        <v>0</v>
      </c>
      <c r="AG117" s="51">
        <v>0</v>
      </c>
      <c r="AH117" s="55">
        <f t="shared" si="6"/>
        <v>0</v>
      </c>
    </row>
    <row r="118" spans="1:34" ht="62.25" customHeight="1">
      <c r="A118" s="6">
        <v>5</v>
      </c>
      <c r="B118" s="33" t="s">
        <v>1</v>
      </c>
      <c r="C118" s="36" t="s">
        <v>288</v>
      </c>
      <c r="D118" s="7" t="s">
        <v>274</v>
      </c>
      <c r="E118" s="6" t="s">
        <v>84</v>
      </c>
      <c r="F118" s="10" t="s">
        <v>275</v>
      </c>
      <c r="G118" s="6" t="s">
        <v>82</v>
      </c>
      <c r="H118" s="8" t="s">
        <v>303</v>
      </c>
      <c r="I118" s="51">
        <v>0</v>
      </c>
      <c r="J118" s="51">
        <v>0</v>
      </c>
      <c r="K118" s="51">
        <v>0</v>
      </c>
      <c r="L118" s="52">
        <v>0</v>
      </c>
      <c r="M118" s="53">
        <v>0</v>
      </c>
      <c r="N118" s="51">
        <v>0</v>
      </c>
      <c r="O118" s="51">
        <v>0</v>
      </c>
      <c r="P118" s="51">
        <v>0</v>
      </c>
      <c r="Q118" s="51">
        <v>0</v>
      </c>
      <c r="R118" s="51">
        <v>0</v>
      </c>
      <c r="S118" s="51">
        <v>0</v>
      </c>
      <c r="T118" s="51">
        <v>1</v>
      </c>
      <c r="U118" s="54">
        <f t="shared" si="7"/>
        <v>1</v>
      </c>
      <c r="V118" s="51">
        <v>0</v>
      </c>
      <c r="W118" s="51">
        <v>0</v>
      </c>
      <c r="X118" s="52">
        <v>0</v>
      </c>
      <c r="Y118" s="52">
        <v>0</v>
      </c>
      <c r="Z118" s="53">
        <v>0</v>
      </c>
      <c r="AA118" s="51">
        <v>0</v>
      </c>
      <c r="AB118" s="51">
        <v>0</v>
      </c>
      <c r="AC118" s="51">
        <v>0</v>
      </c>
      <c r="AD118" s="51">
        <v>0</v>
      </c>
      <c r="AE118" s="51">
        <v>0</v>
      </c>
      <c r="AF118" s="51">
        <v>0</v>
      </c>
      <c r="AG118" s="51">
        <v>0</v>
      </c>
      <c r="AH118" s="55">
        <f t="shared" si="6"/>
        <v>0</v>
      </c>
    </row>
    <row r="119" spans="1:34" ht="62.25" customHeight="1">
      <c r="A119" s="6">
        <v>98</v>
      </c>
      <c r="B119" s="6" t="s">
        <v>11</v>
      </c>
      <c r="C119" s="6" t="s">
        <v>294</v>
      </c>
      <c r="D119" s="7" t="s">
        <v>129</v>
      </c>
      <c r="E119" s="6" t="s">
        <v>91</v>
      </c>
      <c r="F119" s="10" t="s">
        <v>276</v>
      </c>
      <c r="G119" s="6" t="s">
        <v>82</v>
      </c>
      <c r="H119" s="8" t="s">
        <v>303</v>
      </c>
      <c r="I119" s="51">
        <v>0</v>
      </c>
      <c r="J119" s="51">
        <v>0</v>
      </c>
      <c r="K119" s="51">
        <v>0</v>
      </c>
      <c r="L119" s="52">
        <v>0</v>
      </c>
      <c r="M119" s="53">
        <v>0</v>
      </c>
      <c r="N119" s="51">
        <v>0</v>
      </c>
      <c r="O119" s="51">
        <v>0</v>
      </c>
      <c r="P119" s="51">
        <v>0</v>
      </c>
      <c r="Q119" s="51">
        <v>0</v>
      </c>
      <c r="R119" s="51">
        <v>0</v>
      </c>
      <c r="S119" s="51">
        <v>0</v>
      </c>
      <c r="T119" s="51">
        <v>1</v>
      </c>
      <c r="U119" s="54">
        <f t="shared" si="7"/>
        <v>1</v>
      </c>
      <c r="V119" s="51">
        <v>0</v>
      </c>
      <c r="W119" s="51">
        <v>0</v>
      </c>
      <c r="X119" s="52">
        <v>0</v>
      </c>
      <c r="Y119" s="52">
        <v>0</v>
      </c>
      <c r="Z119" s="53">
        <v>0</v>
      </c>
      <c r="AA119" s="51">
        <v>0</v>
      </c>
      <c r="AB119" s="51">
        <v>0</v>
      </c>
      <c r="AC119" s="51">
        <v>0</v>
      </c>
      <c r="AD119" s="51">
        <v>0</v>
      </c>
      <c r="AE119" s="51">
        <v>0</v>
      </c>
      <c r="AF119" s="51">
        <v>0</v>
      </c>
      <c r="AG119" s="51">
        <v>0</v>
      </c>
      <c r="AH119" s="55">
        <f t="shared" si="6"/>
        <v>0</v>
      </c>
    </row>
    <row r="120" spans="1:34" ht="62.25" customHeight="1">
      <c r="A120" s="6">
        <v>98</v>
      </c>
      <c r="B120" s="6" t="s">
        <v>11</v>
      </c>
      <c r="C120" s="6" t="s">
        <v>294</v>
      </c>
      <c r="D120" s="7" t="s">
        <v>129</v>
      </c>
      <c r="E120" s="6" t="s">
        <v>91</v>
      </c>
      <c r="F120" s="10" t="s">
        <v>277</v>
      </c>
      <c r="G120" s="6" t="s">
        <v>82</v>
      </c>
      <c r="H120" s="8" t="s">
        <v>303</v>
      </c>
      <c r="I120" s="51">
        <v>0</v>
      </c>
      <c r="J120" s="51">
        <v>0</v>
      </c>
      <c r="K120" s="51">
        <v>0</v>
      </c>
      <c r="L120" s="52">
        <v>0</v>
      </c>
      <c r="M120" s="53">
        <v>0</v>
      </c>
      <c r="N120" s="51">
        <v>0</v>
      </c>
      <c r="O120" s="51">
        <v>0</v>
      </c>
      <c r="P120" s="51">
        <v>0</v>
      </c>
      <c r="Q120" s="51">
        <v>0</v>
      </c>
      <c r="R120" s="51">
        <v>0</v>
      </c>
      <c r="S120" s="51">
        <v>0</v>
      </c>
      <c r="T120" s="51">
        <v>1</v>
      </c>
      <c r="U120" s="54">
        <f t="shared" si="7"/>
        <v>1</v>
      </c>
      <c r="V120" s="51">
        <v>0</v>
      </c>
      <c r="W120" s="51">
        <v>0</v>
      </c>
      <c r="X120" s="52">
        <v>0</v>
      </c>
      <c r="Y120" s="52">
        <v>0</v>
      </c>
      <c r="Z120" s="53">
        <v>0</v>
      </c>
      <c r="AA120" s="51">
        <v>0</v>
      </c>
      <c r="AB120" s="51">
        <v>0</v>
      </c>
      <c r="AC120" s="51">
        <v>0</v>
      </c>
      <c r="AD120" s="51">
        <v>0</v>
      </c>
      <c r="AE120" s="51">
        <v>0</v>
      </c>
      <c r="AF120" s="51">
        <v>0</v>
      </c>
      <c r="AG120" s="51">
        <v>0</v>
      </c>
      <c r="AH120" s="55">
        <f t="shared" si="6"/>
        <v>0</v>
      </c>
    </row>
    <row r="121" spans="1:34" ht="62.25" customHeight="1">
      <c r="A121" s="6">
        <v>102</v>
      </c>
      <c r="B121" s="6" t="s">
        <v>23</v>
      </c>
      <c r="C121" s="36" t="s">
        <v>288</v>
      </c>
      <c r="D121" s="7" t="s">
        <v>259</v>
      </c>
      <c r="E121" s="6" t="s">
        <v>237</v>
      </c>
      <c r="F121" s="10" t="s">
        <v>278</v>
      </c>
      <c r="G121" s="6" t="s">
        <v>84</v>
      </c>
      <c r="H121" s="8" t="s">
        <v>303</v>
      </c>
      <c r="I121" s="51">
        <v>0</v>
      </c>
      <c r="J121" s="51">
        <v>0</v>
      </c>
      <c r="K121" s="51">
        <v>0</v>
      </c>
      <c r="L121" s="52">
        <v>0</v>
      </c>
      <c r="M121" s="53">
        <v>0</v>
      </c>
      <c r="N121" s="51">
        <v>0</v>
      </c>
      <c r="O121" s="51">
        <v>0</v>
      </c>
      <c r="P121" s="51">
        <v>0</v>
      </c>
      <c r="Q121" s="51">
        <v>0</v>
      </c>
      <c r="R121" s="51">
        <v>0</v>
      </c>
      <c r="S121" s="51">
        <v>0</v>
      </c>
      <c r="T121" s="51">
        <v>1</v>
      </c>
      <c r="U121" s="54">
        <f t="shared" si="7"/>
        <v>1</v>
      </c>
      <c r="V121" s="51">
        <v>0</v>
      </c>
      <c r="W121" s="51">
        <v>0</v>
      </c>
      <c r="X121" s="52">
        <v>0</v>
      </c>
      <c r="Y121" s="52">
        <v>0</v>
      </c>
      <c r="Z121" s="53">
        <v>0</v>
      </c>
      <c r="AA121" s="51">
        <v>0</v>
      </c>
      <c r="AB121" s="51">
        <v>0</v>
      </c>
      <c r="AC121" s="51">
        <v>0</v>
      </c>
      <c r="AD121" s="51">
        <v>0</v>
      </c>
      <c r="AE121" s="51">
        <v>0</v>
      </c>
      <c r="AF121" s="51">
        <v>0</v>
      </c>
      <c r="AG121" s="51">
        <v>0</v>
      </c>
      <c r="AH121" s="55">
        <f t="shared" si="6"/>
        <v>0</v>
      </c>
    </row>
    <row r="122" spans="1:34" ht="62.25" customHeight="1">
      <c r="A122" s="6">
        <v>39</v>
      </c>
      <c r="B122" s="33" t="s">
        <v>28</v>
      </c>
      <c r="C122" s="38" t="s">
        <v>295</v>
      </c>
      <c r="D122" s="7" t="s">
        <v>279</v>
      </c>
      <c r="E122" s="6" t="s">
        <v>84</v>
      </c>
      <c r="F122" s="10" t="s">
        <v>280</v>
      </c>
      <c r="G122" s="6" t="s">
        <v>84</v>
      </c>
      <c r="H122" s="8" t="s">
        <v>303</v>
      </c>
      <c r="I122" s="51">
        <v>0</v>
      </c>
      <c r="J122" s="51">
        <v>2</v>
      </c>
      <c r="K122" s="51">
        <v>2</v>
      </c>
      <c r="L122" s="52">
        <v>2</v>
      </c>
      <c r="M122" s="53">
        <v>2</v>
      </c>
      <c r="N122" s="51">
        <v>2</v>
      </c>
      <c r="O122" s="51">
        <v>2</v>
      </c>
      <c r="P122" s="51">
        <v>2</v>
      </c>
      <c r="Q122" s="51">
        <v>2</v>
      </c>
      <c r="R122" s="51">
        <v>2</v>
      </c>
      <c r="S122" s="51">
        <v>2</v>
      </c>
      <c r="T122" s="51">
        <v>2</v>
      </c>
      <c r="U122" s="54">
        <f t="shared" si="7"/>
        <v>22</v>
      </c>
      <c r="V122" s="51">
        <v>0</v>
      </c>
      <c r="W122" s="51">
        <v>2</v>
      </c>
      <c r="X122" s="52">
        <v>2</v>
      </c>
      <c r="Y122" s="52">
        <v>2</v>
      </c>
      <c r="Z122" s="53">
        <v>2</v>
      </c>
      <c r="AA122" s="51">
        <v>0</v>
      </c>
      <c r="AB122" s="51">
        <v>0</v>
      </c>
      <c r="AC122" s="51">
        <v>0</v>
      </c>
      <c r="AD122" s="51">
        <v>0</v>
      </c>
      <c r="AE122" s="51">
        <v>0</v>
      </c>
      <c r="AF122" s="51">
        <v>0</v>
      </c>
      <c r="AG122" s="51">
        <v>0</v>
      </c>
      <c r="AH122" s="55">
        <f t="shared" si="6"/>
        <v>8</v>
      </c>
    </row>
    <row r="123" spans="1:34" ht="62.25" customHeight="1">
      <c r="A123" s="6">
        <v>39</v>
      </c>
      <c r="B123" s="33" t="s">
        <v>29</v>
      </c>
      <c r="C123" s="38" t="s">
        <v>295</v>
      </c>
      <c r="D123" s="7" t="s">
        <v>281</v>
      </c>
      <c r="E123" s="6" t="s">
        <v>84</v>
      </c>
      <c r="F123" s="10" t="s">
        <v>282</v>
      </c>
      <c r="G123" s="6" t="s">
        <v>84</v>
      </c>
      <c r="H123" s="8" t="s">
        <v>303</v>
      </c>
      <c r="I123" s="51">
        <v>0</v>
      </c>
      <c r="J123" s="51">
        <v>2</v>
      </c>
      <c r="K123" s="51">
        <v>2</v>
      </c>
      <c r="L123" s="52">
        <v>2</v>
      </c>
      <c r="M123" s="53">
        <v>2</v>
      </c>
      <c r="N123" s="51">
        <v>2</v>
      </c>
      <c r="O123" s="51">
        <v>2</v>
      </c>
      <c r="P123" s="51">
        <v>2</v>
      </c>
      <c r="Q123" s="51">
        <v>2</v>
      </c>
      <c r="R123" s="51">
        <v>1</v>
      </c>
      <c r="S123" s="51">
        <v>1</v>
      </c>
      <c r="T123" s="51">
        <v>1</v>
      </c>
      <c r="U123" s="54">
        <f t="shared" si="7"/>
        <v>19</v>
      </c>
      <c r="V123" s="51">
        <v>0</v>
      </c>
      <c r="W123" s="51">
        <v>2</v>
      </c>
      <c r="X123" s="52">
        <v>2</v>
      </c>
      <c r="Y123" s="52">
        <v>2</v>
      </c>
      <c r="Z123" s="53">
        <v>2</v>
      </c>
      <c r="AA123" s="51">
        <v>0</v>
      </c>
      <c r="AB123" s="51">
        <v>0</v>
      </c>
      <c r="AC123" s="51">
        <v>0</v>
      </c>
      <c r="AD123" s="51">
        <v>0</v>
      </c>
      <c r="AE123" s="51">
        <v>0</v>
      </c>
      <c r="AF123" s="51">
        <v>0</v>
      </c>
      <c r="AG123" s="51">
        <v>0</v>
      </c>
      <c r="AH123" s="55">
        <f t="shared" si="6"/>
        <v>8</v>
      </c>
    </row>
    <row r="124" spans="1:34" ht="62.25" customHeight="1">
      <c r="A124" s="6">
        <v>99</v>
      </c>
      <c r="B124" s="6" t="s">
        <v>18</v>
      </c>
      <c r="C124" s="39" t="s">
        <v>295</v>
      </c>
      <c r="D124" s="7" t="s">
        <v>119</v>
      </c>
      <c r="E124" s="6" t="s">
        <v>91</v>
      </c>
      <c r="F124" s="10" t="s">
        <v>283</v>
      </c>
      <c r="G124" s="6" t="s">
        <v>271</v>
      </c>
      <c r="H124" s="8" t="s">
        <v>303</v>
      </c>
      <c r="I124" s="51">
        <v>1</v>
      </c>
      <c r="J124" s="51">
        <v>1</v>
      </c>
      <c r="K124" s="51">
        <v>1</v>
      </c>
      <c r="L124" s="52">
        <v>1</v>
      </c>
      <c r="M124" s="53">
        <v>1</v>
      </c>
      <c r="N124" s="51">
        <v>1</v>
      </c>
      <c r="O124" s="51">
        <v>1</v>
      </c>
      <c r="P124" s="51">
        <v>1</v>
      </c>
      <c r="Q124" s="51">
        <v>1</v>
      </c>
      <c r="R124" s="51">
        <v>1</v>
      </c>
      <c r="S124" s="51">
        <v>1</v>
      </c>
      <c r="T124" s="51">
        <v>1</v>
      </c>
      <c r="U124" s="54">
        <f t="shared" si="7"/>
        <v>12</v>
      </c>
      <c r="V124" s="51">
        <v>1</v>
      </c>
      <c r="W124" s="51">
        <v>1</v>
      </c>
      <c r="X124" s="52">
        <v>1</v>
      </c>
      <c r="Y124" s="52">
        <v>1</v>
      </c>
      <c r="Z124" s="53">
        <v>1</v>
      </c>
      <c r="AA124" s="51">
        <v>0</v>
      </c>
      <c r="AB124" s="51">
        <v>0</v>
      </c>
      <c r="AC124" s="51">
        <v>0</v>
      </c>
      <c r="AD124" s="51">
        <v>0</v>
      </c>
      <c r="AE124" s="51">
        <v>0</v>
      </c>
      <c r="AF124" s="51">
        <v>0</v>
      </c>
      <c r="AG124" s="51">
        <v>0</v>
      </c>
      <c r="AH124" s="55">
        <f t="shared" si="6"/>
        <v>5</v>
      </c>
    </row>
    <row r="125" spans="1:34" ht="62.25" customHeight="1">
      <c r="A125" s="6">
        <v>3</v>
      </c>
      <c r="B125" s="6" t="s">
        <v>35</v>
      </c>
      <c r="C125" s="33" t="s">
        <v>286</v>
      </c>
      <c r="D125" s="15" t="s">
        <v>225</v>
      </c>
      <c r="E125" s="6" t="s">
        <v>99</v>
      </c>
      <c r="F125" s="16" t="s">
        <v>226</v>
      </c>
      <c r="G125" s="6" t="s">
        <v>84</v>
      </c>
      <c r="H125" s="17" t="s">
        <v>302</v>
      </c>
      <c r="I125" s="60">
        <v>0</v>
      </c>
      <c r="J125" s="60">
        <v>0</v>
      </c>
      <c r="K125" s="60">
        <v>0</v>
      </c>
      <c r="L125" s="61">
        <v>0</v>
      </c>
      <c r="M125" s="62">
        <v>0</v>
      </c>
      <c r="N125" s="60">
        <v>0</v>
      </c>
      <c r="O125" s="60">
        <v>0</v>
      </c>
      <c r="P125" s="60">
        <v>0</v>
      </c>
      <c r="Q125" s="60">
        <v>0</v>
      </c>
      <c r="R125" s="60">
        <v>0</v>
      </c>
      <c r="S125" s="58">
        <v>2</v>
      </c>
      <c r="T125" s="58">
        <v>1</v>
      </c>
      <c r="U125" s="63">
        <f t="shared" si="7"/>
        <v>3</v>
      </c>
      <c r="V125" s="51">
        <v>0</v>
      </c>
      <c r="W125" s="51">
        <v>0</v>
      </c>
      <c r="X125" s="52">
        <v>0</v>
      </c>
      <c r="Y125" s="52">
        <v>0</v>
      </c>
      <c r="Z125" s="53">
        <v>0</v>
      </c>
      <c r="AA125" s="51">
        <v>0</v>
      </c>
      <c r="AB125" s="51">
        <v>0</v>
      </c>
      <c r="AC125" s="51">
        <v>0</v>
      </c>
      <c r="AD125" s="51">
        <v>0</v>
      </c>
      <c r="AE125" s="51">
        <v>0</v>
      </c>
      <c r="AF125" s="51">
        <v>0</v>
      </c>
      <c r="AG125" s="51">
        <v>0</v>
      </c>
      <c r="AH125" s="55">
        <f t="shared" si="6"/>
        <v>0</v>
      </c>
    </row>
    <row r="126" spans="1:34" ht="62.25" customHeight="1">
      <c r="A126" s="6">
        <v>103</v>
      </c>
      <c r="B126" s="6" t="s">
        <v>24</v>
      </c>
      <c r="C126" s="6" t="s">
        <v>290</v>
      </c>
      <c r="D126" s="7" t="s">
        <v>156</v>
      </c>
      <c r="E126" s="6" t="s">
        <v>82</v>
      </c>
      <c r="F126" s="26" t="s">
        <v>250</v>
      </c>
      <c r="G126" s="27" t="s">
        <v>82</v>
      </c>
      <c r="H126" s="17" t="s">
        <v>302</v>
      </c>
      <c r="I126" s="60">
        <v>0</v>
      </c>
      <c r="J126" s="60">
        <v>0</v>
      </c>
      <c r="K126" s="60">
        <v>0</v>
      </c>
      <c r="L126" s="61">
        <v>0</v>
      </c>
      <c r="M126" s="62">
        <v>0</v>
      </c>
      <c r="N126" s="60">
        <v>0</v>
      </c>
      <c r="O126" s="60">
        <v>0</v>
      </c>
      <c r="P126" s="60">
        <v>0</v>
      </c>
      <c r="Q126" s="60">
        <v>0</v>
      </c>
      <c r="R126" s="60">
        <v>0</v>
      </c>
      <c r="S126" s="60">
        <v>0</v>
      </c>
      <c r="T126" s="60">
        <v>1</v>
      </c>
      <c r="U126" s="63">
        <f t="shared" si="7"/>
        <v>1</v>
      </c>
      <c r="V126" s="51">
        <v>0</v>
      </c>
      <c r="W126" s="51">
        <v>0</v>
      </c>
      <c r="X126" s="52">
        <v>0</v>
      </c>
      <c r="Y126" s="52">
        <v>0</v>
      </c>
      <c r="Z126" s="53">
        <v>0</v>
      </c>
      <c r="AA126" s="51">
        <v>0</v>
      </c>
      <c r="AB126" s="51">
        <v>0</v>
      </c>
      <c r="AC126" s="51">
        <v>0</v>
      </c>
      <c r="AD126" s="51">
        <v>0</v>
      </c>
      <c r="AE126" s="51">
        <v>0</v>
      </c>
      <c r="AF126" s="51">
        <v>0</v>
      </c>
      <c r="AG126" s="51">
        <v>0</v>
      </c>
      <c r="AH126" s="55">
        <f t="shared" si="6"/>
        <v>0</v>
      </c>
    </row>
    <row r="127" spans="1:34" ht="62.25" customHeight="1">
      <c r="A127" s="6">
        <v>99</v>
      </c>
      <c r="B127" s="6" t="s">
        <v>18</v>
      </c>
      <c r="C127" s="39" t="s">
        <v>295</v>
      </c>
      <c r="D127" s="7" t="s">
        <v>119</v>
      </c>
      <c r="E127" s="6" t="s">
        <v>91</v>
      </c>
      <c r="F127" s="26" t="s">
        <v>252</v>
      </c>
      <c r="G127" s="27" t="s">
        <v>82</v>
      </c>
      <c r="H127" s="17" t="s">
        <v>302</v>
      </c>
      <c r="I127" s="60">
        <v>0</v>
      </c>
      <c r="J127" s="60">
        <v>0</v>
      </c>
      <c r="K127" s="60">
        <v>0</v>
      </c>
      <c r="L127" s="61">
        <v>1</v>
      </c>
      <c r="M127" s="62">
        <v>0</v>
      </c>
      <c r="N127" s="60">
        <v>0</v>
      </c>
      <c r="O127" s="60">
        <v>0</v>
      </c>
      <c r="P127" s="60">
        <v>0</v>
      </c>
      <c r="Q127" s="60">
        <v>0</v>
      </c>
      <c r="R127" s="60">
        <v>0</v>
      </c>
      <c r="S127" s="60">
        <v>1</v>
      </c>
      <c r="T127" s="60">
        <v>0</v>
      </c>
      <c r="U127" s="63">
        <f t="shared" si="7"/>
        <v>2</v>
      </c>
      <c r="V127" s="51">
        <v>0</v>
      </c>
      <c r="W127" s="51">
        <v>0</v>
      </c>
      <c r="X127" s="52">
        <v>0</v>
      </c>
      <c r="Y127" s="52">
        <v>1</v>
      </c>
      <c r="Z127" s="53">
        <v>0</v>
      </c>
      <c r="AA127" s="51">
        <v>0</v>
      </c>
      <c r="AB127" s="51">
        <v>0</v>
      </c>
      <c r="AC127" s="51">
        <v>0</v>
      </c>
      <c r="AD127" s="51">
        <v>0</v>
      </c>
      <c r="AE127" s="51">
        <v>0</v>
      </c>
      <c r="AF127" s="51">
        <v>0</v>
      </c>
      <c r="AG127" s="51">
        <v>0</v>
      </c>
      <c r="AH127" s="55">
        <f t="shared" si="6"/>
        <v>1</v>
      </c>
    </row>
    <row r="128" spans="1:34" ht="62.25" customHeight="1">
      <c r="A128" s="6">
        <v>99</v>
      </c>
      <c r="B128" s="6" t="s">
        <v>18</v>
      </c>
      <c r="C128" s="39" t="s">
        <v>295</v>
      </c>
      <c r="D128" s="10" t="s">
        <v>119</v>
      </c>
      <c r="E128" s="6" t="s">
        <v>91</v>
      </c>
      <c r="F128" s="26" t="s">
        <v>254</v>
      </c>
      <c r="G128" s="27" t="s">
        <v>84</v>
      </c>
      <c r="H128" s="17" t="s">
        <v>302</v>
      </c>
      <c r="I128" s="60">
        <v>0</v>
      </c>
      <c r="J128" s="60">
        <v>0</v>
      </c>
      <c r="K128" s="60">
        <v>0</v>
      </c>
      <c r="L128" s="61">
        <v>0</v>
      </c>
      <c r="M128" s="62">
        <v>0</v>
      </c>
      <c r="N128" s="60">
        <v>1</v>
      </c>
      <c r="O128" s="60">
        <v>0</v>
      </c>
      <c r="P128" s="60">
        <v>0</v>
      </c>
      <c r="Q128" s="60">
        <v>0</v>
      </c>
      <c r="R128" s="60">
        <v>0</v>
      </c>
      <c r="S128" s="60">
        <v>1</v>
      </c>
      <c r="T128" s="60">
        <v>0</v>
      </c>
      <c r="U128" s="63">
        <f t="shared" si="7"/>
        <v>2</v>
      </c>
      <c r="V128" s="51">
        <v>0</v>
      </c>
      <c r="W128" s="51">
        <v>0</v>
      </c>
      <c r="X128" s="52">
        <v>0</v>
      </c>
      <c r="Y128" s="52">
        <v>0</v>
      </c>
      <c r="Z128" s="53">
        <v>0</v>
      </c>
      <c r="AA128" s="51">
        <v>0</v>
      </c>
      <c r="AB128" s="51">
        <v>0</v>
      </c>
      <c r="AC128" s="51">
        <v>0</v>
      </c>
      <c r="AD128" s="51">
        <v>0</v>
      </c>
      <c r="AE128" s="51">
        <v>0</v>
      </c>
      <c r="AF128" s="51">
        <v>0</v>
      </c>
      <c r="AG128" s="51">
        <v>0</v>
      </c>
      <c r="AH128" s="55">
        <f t="shared" si="6"/>
        <v>0</v>
      </c>
    </row>
    <row r="129" spans="1:34" ht="62.25" customHeight="1">
      <c r="A129" s="6">
        <v>31</v>
      </c>
      <c r="B129" s="6" t="s">
        <v>7</v>
      </c>
      <c r="C129" s="33" t="s">
        <v>291</v>
      </c>
      <c r="D129" s="7" t="s">
        <v>90</v>
      </c>
      <c r="E129" s="6" t="s">
        <v>91</v>
      </c>
      <c r="F129" s="21" t="s">
        <v>235</v>
      </c>
      <c r="G129" s="22" t="s">
        <v>99</v>
      </c>
      <c r="H129" s="23" t="s">
        <v>302</v>
      </c>
      <c r="I129" s="70">
        <v>0</v>
      </c>
      <c r="J129" s="70">
        <v>0</v>
      </c>
      <c r="K129" s="70">
        <v>0</v>
      </c>
      <c r="L129" s="52">
        <v>0</v>
      </c>
      <c r="M129" s="53">
        <v>0</v>
      </c>
      <c r="N129" s="70">
        <v>0</v>
      </c>
      <c r="O129" s="70">
        <v>0</v>
      </c>
      <c r="P129" s="70">
        <v>0</v>
      </c>
      <c r="Q129" s="70">
        <v>0</v>
      </c>
      <c r="R129" s="70">
        <v>0</v>
      </c>
      <c r="S129" s="70">
        <v>1</v>
      </c>
      <c r="T129" s="70">
        <v>0</v>
      </c>
      <c r="U129" s="71">
        <f t="shared" si="7"/>
        <v>1</v>
      </c>
      <c r="V129" s="51">
        <v>0</v>
      </c>
      <c r="W129" s="51">
        <v>0</v>
      </c>
      <c r="X129" s="52">
        <v>0</v>
      </c>
      <c r="Y129" s="52">
        <v>0</v>
      </c>
      <c r="Z129" s="53">
        <v>0</v>
      </c>
      <c r="AA129" s="51">
        <v>0</v>
      </c>
      <c r="AB129" s="51">
        <v>0</v>
      </c>
      <c r="AC129" s="51">
        <v>0</v>
      </c>
      <c r="AD129" s="51">
        <v>0</v>
      </c>
      <c r="AE129" s="51">
        <v>0</v>
      </c>
      <c r="AF129" s="51">
        <v>0</v>
      </c>
      <c r="AG129" s="51">
        <v>0</v>
      </c>
      <c r="AH129" s="55">
        <f t="shared" si="6"/>
        <v>0</v>
      </c>
    </row>
    <row r="130" spans="1:34" ht="62.25" customHeight="1">
      <c r="A130" s="6">
        <v>31</v>
      </c>
      <c r="B130" s="6" t="s">
        <v>4</v>
      </c>
      <c r="C130" s="36" t="s">
        <v>288</v>
      </c>
      <c r="D130" s="7" t="s">
        <v>236</v>
      </c>
      <c r="E130" s="6" t="s">
        <v>237</v>
      </c>
      <c r="F130" s="7" t="s">
        <v>243</v>
      </c>
      <c r="G130" s="24" t="s">
        <v>115</v>
      </c>
      <c r="H130" s="25" t="s">
        <v>302</v>
      </c>
      <c r="I130" s="58">
        <v>16</v>
      </c>
      <c r="J130" s="58">
        <v>16</v>
      </c>
      <c r="K130" s="58">
        <v>16</v>
      </c>
      <c r="L130" s="61">
        <v>16</v>
      </c>
      <c r="M130" s="62">
        <v>16</v>
      </c>
      <c r="N130" s="60">
        <v>16</v>
      </c>
      <c r="O130" s="60">
        <v>16</v>
      </c>
      <c r="P130" s="60">
        <v>16</v>
      </c>
      <c r="Q130" s="60">
        <v>16</v>
      </c>
      <c r="R130" s="60">
        <v>16</v>
      </c>
      <c r="S130" s="60">
        <v>16</v>
      </c>
      <c r="T130" s="60">
        <v>16</v>
      </c>
      <c r="U130" s="64">
        <f t="shared" si="7"/>
        <v>192</v>
      </c>
      <c r="V130" s="51">
        <v>16</v>
      </c>
      <c r="W130" s="51">
        <v>16</v>
      </c>
      <c r="X130" s="52">
        <v>16</v>
      </c>
      <c r="Y130" s="52">
        <v>16</v>
      </c>
      <c r="Z130" s="53">
        <v>16</v>
      </c>
      <c r="AA130" s="51">
        <v>0</v>
      </c>
      <c r="AB130" s="51">
        <v>0</v>
      </c>
      <c r="AC130" s="51">
        <v>0</v>
      </c>
      <c r="AD130" s="51">
        <v>0</v>
      </c>
      <c r="AE130" s="51">
        <v>0</v>
      </c>
      <c r="AF130" s="51">
        <v>0</v>
      </c>
      <c r="AG130" s="51">
        <v>0</v>
      </c>
      <c r="AH130" s="55">
        <f t="shared" ref="AH130:AH133" si="8">SUM(V130:AG130)</f>
        <v>80</v>
      </c>
    </row>
    <row r="131" spans="1:34" ht="62.25" customHeight="1">
      <c r="A131" s="6">
        <v>39</v>
      </c>
      <c r="B131" s="6" t="s">
        <v>26</v>
      </c>
      <c r="C131" s="33" t="s">
        <v>287</v>
      </c>
      <c r="D131" s="11" t="s">
        <v>148</v>
      </c>
      <c r="E131" s="6" t="s">
        <v>84</v>
      </c>
      <c r="F131" s="31" t="s">
        <v>150</v>
      </c>
      <c r="G131" s="13" t="s">
        <v>84</v>
      </c>
      <c r="H131" s="13" t="s">
        <v>301</v>
      </c>
      <c r="I131" s="60">
        <v>0</v>
      </c>
      <c r="J131" s="60">
        <v>0</v>
      </c>
      <c r="K131" s="60">
        <v>0</v>
      </c>
      <c r="L131" s="61">
        <v>0</v>
      </c>
      <c r="M131" s="62">
        <v>0</v>
      </c>
      <c r="N131" s="60">
        <v>0</v>
      </c>
      <c r="O131" s="58">
        <v>1</v>
      </c>
      <c r="P131" s="60">
        <v>0</v>
      </c>
      <c r="Q131" s="60">
        <v>0</v>
      </c>
      <c r="R131" s="60">
        <v>0</v>
      </c>
      <c r="S131" s="60">
        <v>0</v>
      </c>
      <c r="T131" s="60">
        <v>0</v>
      </c>
      <c r="U131" s="64">
        <f t="shared" si="7"/>
        <v>1</v>
      </c>
      <c r="V131" s="51">
        <v>0</v>
      </c>
      <c r="W131" s="51">
        <v>0</v>
      </c>
      <c r="X131" s="52">
        <v>0</v>
      </c>
      <c r="Y131" s="52">
        <v>0</v>
      </c>
      <c r="Z131" s="53">
        <v>0</v>
      </c>
      <c r="AA131" s="51">
        <v>0</v>
      </c>
      <c r="AB131" s="51">
        <v>0</v>
      </c>
      <c r="AC131" s="51">
        <v>0</v>
      </c>
      <c r="AD131" s="51">
        <v>0</v>
      </c>
      <c r="AE131" s="51">
        <v>0</v>
      </c>
      <c r="AF131" s="51">
        <v>0</v>
      </c>
      <c r="AG131" s="51">
        <v>0</v>
      </c>
      <c r="AH131" s="55">
        <f t="shared" si="8"/>
        <v>0</v>
      </c>
    </row>
    <row r="132" spans="1:34" ht="62.25" customHeight="1">
      <c r="A132" s="6">
        <v>39</v>
      </c>
      <c r="B132" s="6" t="s">
        <v>26</v>
      </c>
      <c r="C132" s="33" t="s">
        <v>287</v>
      </c>
      <c r="D132" s="11" t="s">
        <v>148</v>
      </c>
      <c r="E132" s="6" t="s">
        <v>84</v>
      </c>
      <c r="F132" s="12" t="s">
        <v>151</v>
      </c>
      <c r="G132" s="13" t="s">
        <v>84</v>
      </c>
      <c r="H132" s="13" t="s">
        <v>301</v>
      </c>
      <c r="I132" s="60">
        <v>0</v>
      </c>
      <c r="J132" s="60">
        <v>0</v>
      </c>
      <c r="K132" s="60">
        <v>0</v>
      </c>
      <c r="L132" s="61">
        <v>0</v>
      </c>
      <c r="M132" s="62">
        <v>0</v>
      </c>
      <c r="N132" s="58">
        <v>1</v>
      </c>
      <c r="O132" s="60">
        <v>0</v>
      </c>
      <c r="P132" s="60">
        <v>0</v>
      </c>
      <c r="Q132" s="60">
        <v>0</v>
      </c>
      <c r="R132" s="60">
        <v>0</v>
      </c>
      <c r="S132" s="60">
        <v>0</v>
      </c>
      <c r="T132" s="60">
        <v>0</v>
      </c>
      <c r="U132" s="64">
        <f t="shared" si="7"/>
        <v>1</v>
      </c>
      <c r="V132" s="51">
        <v>0</v>
      </c>
      <c r="W132" s="51">
        <v>0</v>
      </c>
      <c r="X132" s="52">
        <v>0</v>
      </c>
      <c r="Y132" s="52">
        <v>0</v>
      </c>
      <c r="Z132" s="53">
        <v>0</v>
      </c>
      <c r="AA132" s="51">
        <v>0</v>
      </c>
      <c r="AB132" s="51">
        <v>0</v>
      </c>
      <c r="AC132" s="51">
        <v>0</v>
      </c>
      <c r="AD132" s="51">
        <v>0</v>
      </c>
      <c r="AE132" s="51">
        <v>0</v>
      </c>
      <c r="AF132" s="51">
        <v>0</v>
      </c>
      <c r="AG132" s="51">
        <v>0</v>
      </c>
      <c r="AH132" s="55">
        <f t="shared" si="8"/>
        <v>0</v>
      </c>
    </row>
    <row r="133" spans="1:34" ht="62.25" customHeight="1">
      <c r="A133" s="6">
        <v>96</v>
      </c>
      <c r="B133" s="6" t="s">
        <v>9</v>
      </c>
      <c r="C133" s="6" t="s">
        <v>298</v>
      </c>
      <c r="D133" s="7" t="s">
        <v>230</v>
      </c>
      <c r="E133" s="6" t="s">
        <v>105</v>
      </c>
      <c r="F133" s="9" t="s">
        <v>231</v>
      </c>
      <c r="G133" s="19" t="s">
        <v>84</v>
      </c>
      <c r="H133" s="20" t="s">
        <v>302</v>
      </c>
      <c r="I133" s="72">
        <v>0</v>
      </c>
      <c r="J133" s="72">
        <v>0</v>
      </c>
      <c r="K133" s="72">
        <v>0</v>
      </c>
      <c r="L133" s="61">
        <v>0</v>
      </c>
      <c r="M133" s="62">
        <v>0</v>
      </c>
      <c r="N133" s="72">
        <v>0</v>
      </c>
      <c r="O133" s="72">
        <v>0</v>
      </c>
      <c r="P133" s="72">
        <v>0</v>
      </c>
      <c r="Q133" s="73">
        <v>1</v>
      </c>
      <c r="R133" s="72">
        <v>0</v>
      </c>
      <c r="S133" s="72">
        <v>0</v>
      </c>
      <c r="T133" s="72">
        <v>0</v>
      </c>
      <c r="U133" s="74">
        <f t="shared" si="7"/>
        <v>1</v>
      </c>
      <c r="V133" s="51">
        <v>0</v>
      </c>
      <c r="W133" s="51">
        <v>0</v>
      </c>
      <c r="X133" s="52">
        <v>0</v>
      </c>
      <c r="Y133" s="52">
        <v>0</v>
      </c>
      <c r="Z133" s="53">
        <v>0</v>
      </c>
      <c r="AA133" s="51">
        <v>0</v>
      </c>
      <c r="AB133" s="51">
        <v>0</v>
      </c>
      <c r="AC133" s="51">
        <v>0</v>
      </c>
      <c r="AD133" s="51">
        <v>0</v>
      </c>
      <c r="AE133" s="51">
        <v>0</v>
      </c>
      <c r="AF133" s="51">
        <v>0</v>
      </c>
      <c r="AG133" s="51">
        <v>0</v>
      </c>
      <c r="AH133" s="55">
        <f t="shared" si="8"/>
        <v>0</v>
      </c>
    </row>
    <row r="134" spans="1:34" ht="14.25" customHeight="1"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48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 spans="1:34" ht="14.25" customHeight="1">
      <c r="M135" s="28"/>
      <c r="Z135" s="28"/>
    </row>
    <row r="136" spans="1:34" ht="14.25" customHeight="1">
      <c r="M136" s="28"/>
      <c r="Z136" s="28"/>
    </row>
    <row r="137" spans="1:34" ht="14.25" customHeight="1">
      <c r="M137" s="28"/>
      <c r="W137" s="40"/>
      <c r="Z137" s="28"/>
    </row>
    <row r="138" spans="1:34" ht="14.25" customHeight="1">
      <c r="M138" s="28"/>
      <c r="Z138" s="28"/>
    </row>
    <row r="139" spans="1:34" ht="14.25" customHeight="1">
      <c r="M139" s="28"/>
      <c r="Z139" s="28"/>
    </row>
    <row r="140" spans="1:34" ht="14.25" customHeight="1">
      <c r="M140" s="28"/>
      <c r="Z140" s="28"/>
    </row>
    <row r="141" spans="1:34" ht="14.25" customHeight="1">
      <c r="M141" s="28"/>
      <c r="Z141" s="28"/>
    </row>
    <row r="142" spans="1:34" ht="14.25" customHeight="1">
      <c r="M142" s="28"/>
      <c r="Z142" s="28"/>
    </row>
    <row r="143" spans="1:34" ht="14.25" customHeight="1">
      <c r="M143" s="28"/>
      <c r="Z143" s="28"/>
    </row>
    <row r="144" spans="1:34" ht="14.25" customHeight="1">
      <c r="M144" s="28"/>
      <c r="Z144" s="28"/>
    </row>
    <row r="145" spans="13:26" ht="14.25" customHeight="1">
      <c r="M145" s="28"/>
      <c r="Z145" s="28"/>
    </row>
    <row r="146" spans="13:26" ht="14.25" customHeight="1">
      <c r="M146" s="28"/>
      <c r="Z146" s="28"/>
    </row>
    <row r="147" spans="13:26" ht="14.25" customHeight="1">
      <c r="M147" s="28"/>
      <c r="Z147" s="28"/>
    </row>
    <row r="148" spans="13:26" ht="14.25" customHeight="1">
      <c r="M148" s="28"/>
      <c r="Z148" s="28"/>
    </row>
    <row r="149" spans="13:26" ht="14.25" customHeight="1">
      <c r="M149" s="28"/>
      <c r="Z149" s="28"/>
    </row>
    <row r="150" spans="13:26" ht="14.25" customHeight="1">
      <c r="M150" s="28"/>
      <c r="Z150" s="28"/>
    </row>
    <row r="151" spans="13:26" ht="14.25" customHeight="1">
      <c r="M151" s="28"/>
      <c r="Z151" s="28"/>
    </row>
    <row r="152" spans="13:26" ht="14.25" customHeight="1">
      <c r="M152" s="28"/>
      <c r="Z152" s="28"/>
    </row>
    <row r="153" spans="13:26" ht="14.25" customHeight="1">
      <c r="M153" s="28"/>
      <c r="Z153" s="28"/>
    </row>
    <row r="154" spans="13:26" ht="14.25" customHeight="1">
      <c r="M154" s="28"/>
      <c r="Z154" s="28"/>
    </row>
    <row r="155" spans="13:26" ht="14.25" customHeight="1">
      <c r="M155" s="28"/>
      <c r="Z155" s="28"/>
    </row>
    <row r="156" spans="13:26" ht="14.25" customHeight="1">
      <c r="M156" s="28"/>
      <c r="Z156" s="28"/>
    </row>
    <row r="157" spans="13:26" ht="14.25" customHeight="1">
      <c r="M157" s="28"/>
      <c r="Z157" s="28"/>
    </row>
    <row r="158" spans="13:26" ht="14.25" customHeight="1">
      <c r="M158" s="28"/>
      <c r="Z158" s="28"/>
    </row>
    <row r="159" spans="13:26" ht="14.25" customHeight="1">
      <c r="M159" s="28"/>
      <c r="Z159" s="28"/>
    </row>
    <row r="160" spans="13:26" ht="14.25" customHeight="1">
      <c r="M160" s="28"/>
      <c r="Z160" s="28"/>
    </row>
    <row r="161" spans="13:26" ht="14.25" customHeight="1">
      <c r="M161" s="28"/>
      <c r="Z161" s="28"/>
    </row>
    <row r="162" spans="13:26" ht="14.25" customHeight="1">
      <c r="M162" s="28"/>
      <c r="Z162" s="28"/>
    </row>
    <row r="163" spans="13:26" ht="14.25" customHeight="1">
      <c r="M163" s="28"/>
      <c r="Z163" s="28"/>
    </row>
    <row r="164" spans="13:26" ht="14.25" customHeight="1">
      <c r="M164" s="28"/>
      <c r="Z164" s="28"/>
    </row>
    <row r="165" spans="13:26" ht="14.25" customHeight="1">
      <c r="M165" s="28"/>
      <c r="Z165" s="28"/>
    </row>
    <row r="166" spans="13:26" ht="14.25" customHeight="1">
      <c r="M166" s="28"/>
      <c r="Z166" s="28"/>
    </row>
    <row r="167" spans="13:26" ht="14.25" customHeight="1">
      <c r="M167" s="28"/>
      <c r="Z167" s="28"/>
    </row>
    <row r="168" spans="13:26" ht="14.25" customHeight="1">
      <c r="M168" s="28"/>
      <c r="Z168" s="28"/>
    </row>
    <row r="169" spans="13:26" ht="14.25" customHeight="1">
      <c r="M169" s="28"/>
      <c r="Z169" s="28"/>
    </row>
    <row r="170" spans="13:26" ht="14.25" customHeight="1">
      <c r="M170" s="28"/>
      <c r="Z170" s="28"/>
    </row>
    <row r="171" spans="13:26" ht="14.25" customHeight="1">
      <c r="M171" s="28"/>
      <c r="Z171" s="28"/>
    </row>
    <row r="172" spans="13:26" ht="14.25" customHeight="1">
      <c r="M172" s="28"/>
      <c r="Z172" s="28"/>
    </row>
    <row r="173" spans="13:26" ht="14.25" customHeight="1">
      <c r="M173" s="28"/>
      <c r="Z173" s="28"/>
    </row>
    <row r="174" spans="13:26" ht="14.25" customHeight="1">
      <c r="M174" s="28"/>
      <c r="Z174" s="28"/>
    </row>
    <row r="175" spans="13:26" ht="14.25" customHeight="1">
      <c r="M175" s="28"/>
      <c r="Z175" s="28"/>
    </row>
    <row r="176" spans="13:26" ht="14.25" customHeight="1">
      <c r="M176" s="28"/>
      <c r="Z176" s="28"/>
    </row>
    <row r="177" spans="13:26" ht="14.25" customHeight="1">
      <c r="M177" s="28"/>
      <c r="Z177" s="28"/>
    </row>
    <row r="178" spans="13:26" ht="14.25" customHeight="1">
      <c r="M178" s="28"/>
      <c r="Z178" s="28"/>
    </row>
    <row r="179" spans="13:26" ht="14.25" customHeight="1">
      <c r="M179" s="28"/>
      <c r="Z179" s="28"/>
    </row>
    <row r="180" spans="13:26" ht="14.25" customHeight="1">
      <c r="M180" s="28"/>
      <c r="Z180" s="28"/>
    </row>
    <row r="181" spans="13:26" ht="14.25" customHeight="1">
      <c r="M181" s="28"/>
      <c r="Z181" s="28"/>
    </row>
    <row r="182" spans="13:26" ht="14.25" customHeight="1">
      <c r="M182" s="28"/>
      <c r="Z182" s="28"/>
    </row>
    <row r="183" spans="13:26" ht="14.25" customHeight="1">
      <c r="M183" s="28"/>
      <c r="Z183" s="28"/>
    </row>
    <row r="184" spans="13:26" ht="14.25" customHeight="1">
      <c r="M184" s="28"/>
      <c r="Z184" s="28"/>
    </row>
    <row r="185" spans="13:26" ht="14.25" customHeight="1">
      <c r="M185" s="28"/>
      <c r="Z185" s="28"/>
    </row>
    <row r="186" spans="13:26" ht="14.25" customHeight="1">
      <c r="M186" s="28"/>
      <c r="Z186" s="28"/>
    </row>
    <row r="187" spans="13:26" ht="14.25" customHeight="1">
      <c r="M187" s="28"/>
      <c r="Z187" s="28"/>
    </row>
    <row r="188" spans="13:26" ht="14.25" customHeight="1">
      <c r="M188" s="28"/>
      <c r="Z188" s="28"/>
    </row>
    <row r="189" spans="13:26" ht="14.25" customHeight="1">
      <c r="M189" s="28"/>
      <c r="Z189" s="28"/>
    </row>
    <row r="190" spans="13:26" ht="14.25" customHeight="1">
      <c r="M190" s="28"/>
      <c r="Z190" s="28"/>
    </row>
    <row r="191" spans="13:26" ht="14.25" customHeight="1">
      <c r="M191" s="28"/>
      <c r="Z191" s="28"/>
    </row>
    <row r="192" spans="13:26" ht="14.25" customHeight="1">
      <c r="M192" s="28"/>
      <c r="Z192" s="28"/>
    </row>
    <row r="193" spans="13:26" ht="14.25" customHeight="1">
      <c r="M193" s="28"/>
      <c r="Z193" s="28"/>
    </row>
    <row r="194" spans="13:26" ht="14.25" customHeight="1">
      <c r="M194" s="28"/>
      <c r="Z194" s="28"/>
    </row>
    <row r="195" spans="13:26" ht="14.25" customHeight="1">
      <c r="M195" s="28"/>
      <c r="Z195" s="28"/>
    </row>
    <row r="196" spans="13:26" ht="14.25" customHeight="1">
      <c r="M196" s="28"/>
      <c r="Z196" s="28"/>
    </row>
    <row r="197" spans="13:26" ht="14.25" customHeight="1">
      <c r="M197" s="28"/>
      <c r="Z197" s="28"/>
    </row>
    <row r="198" spans="13:26" ht="14.25" customHeight="1">
      <c r="M198" s="28"/>
      <c r="Z198" s="28"/>
    </row>
    <row r="199" spans="13:26" ht="14.25" customHeight="1">
      <c r="M199" s="28"/>
      <c r="Z199" s="28"/>
    </row>
    <row r="200" spans="13:26" ht="14.25" customHeight="1">
      <c r="M200" s="28"/>
      <c r="Z200" s="28"/>
    </row>
    <row r="201" spans="13:26" ht="14.25" customHeight="1">
      <c r="M201" s="28"/>
      <c r="Z201" s="28"/>
    </row>
    <row r="202" spans="13:26" ht="14.25" customHeight="1">
      <c r="M202" s="28"/>
      <c r="Z202" s="28"/>
    </row>
    <row r="203" spans="13:26" ht="14.25" customHeight="1">
      <c r="M203" s="28"/>
      <c r="Z203" s="28"/>
    </row>
    <row r="204" spans="13:26" ht="14.25" customHeight="1">
      <c r="M204" s="28"/>
      <c r="Z204" s="28"/>
    </row>
    <row r="205" spans="13:26" ht="14.25" customHeight="1">
      <c r="M205" s="28"/>
      <c r="Z205" s="28"/>
    </row>
    <row r="206" spans="13:26" ht="14.25" customHeight="1">
      <c r="M206" s="28"/>
      <c r="Z206" s="28"/>
    </row>
    <row r="207" spans="13:26" ht="14.25" customHeight="1">
      <c r="M207" s="28"/>
      <c r="Z207" s="28"/>
    </row>
    <row r="208" spans="13:26" ht="14.25" customHeight="1">
      <c r="M208" s="28"/>
      <c r="Z208" s="28"/>
    </row>
    <row r="209" spans="13:26" ht="14.25" customHeight="1">
      <c r="M209" s="28"/>
      <c r="Z209" s="28"/>
    </row>
    <row r="210" spans="13:26" ht="14.25" customHeight="1">
      <c r="M210" s="28"/>
      <c r="Z210" s="28"/>
    </row>
    <row r="211" spans="13:26" ht="14.25" customHeight="1">
      <c r="M211" s="28"/>
      <c r="Z211" s="28"/>
    </row>
    <row r="212" spans="13:26" ht="14.25" customHeight="1">
      <c r="M212" s="28"/>
      <c r="Z212" s="28"/>
    </row>
    <row r="213" spans="13:26" ht="14.25" customHeight="1">
      <c r="M213" s="28"/>
      <c r="Z213" s="28"/>
    </row>
    <row r="214" spans="13:26" ht="14.25" customHeight="1">
      <c r="M214" s="28"/>
      <c r="Z214" s="28"/>
    </row>
    <row r="215" spans="13:26" ht="14.25" customHeight="1">
      <c r="M215" s="28"/>
      <c r="Z215" s="28"/>
    </row>
    <row r="216" spans="13:26" ht="14.25" customHeight="1">
      <c r="M216" s="28"/>
      <c r="Z216" s="28"/>
    </row>
    <row r="217" spans="13:26" ht="14.25" customHeight="1">
      <c r="M217" s="28"/>
      <c r="Z217" s="28"/>
    </row>
    <row r="218" spans="13:26" ht="14.25" customHeight="1">
      <c r="M218" s="28"/>
      <c r="Z218" s="28"/>
    </row>
    <row r="219" spans="13:26" ht="14.25" customHeight="1">
      <c r="M219" s="28"/>
      <c r="Z219" s="28"/>
    </row>
    <row r="220" spans="13:26" ht="14.25" customHeight="1">
      <c r="M220" s="28"/>
      <c r="Z220" s="28"/>
    </row>
    <row r="221" spans="13:26" ht="14.25" customHeight="1">
      <c r="M221" s="28"/>
      <c r="Z221" s="28"/>
    </row>
    <row r="222" spans="13:26" ht="14.25" customHeight="1">
      <c r="M222" s="28"/>
      <c r="Z222" s="28"/>
    </row>
    <row r="223" spans="13:26" ht="14.25" customHeight="1">
      <c r="M223" s="28"/>
      <c r="Z223" s="28"/>
    </row>
    <row r="224" spans="13:26" ht="14.25" customHeight="1">
      <c r="M224" s="28"/>
      <c r="Z224" s="28"/>
    </row>
    <row r="225" spans="13:26" ht="14.25" customHeight="1">
      <c r="M225" s="28"/>
      <c r="Z225" s="28"/>
    </row>
    <row r="226" spans="13:26" ht="14.25" customHeight="1">
      <c r="M226" s="28"/>
      <c r="Z226" s="28"/>
    </row>
    <row r="227" spans="13:26" ht="14.25" customHeight="1">
      <c r="M227" s="28"/>
      <c r="Z227" s="28"/>
    </row>
    <row r="228" spans="13:26" ht="14.25" customHeight="1">
      <c r="M228" s="28"/>
      <c r="Z228" s="28"/>
    </row>
    <row r="229" spans="13:26" ht="14.25" customHeight="1">
      <c r="M229" s="28"/>
      <c r="Z229" s="28"/>
    </row>
    <row r="230" spans="13:26" ht="14.25" customHeight="1">
      <c r="M230" s="28"/>
      <c r="Z230" s="28"/>
    </row>
    <row r="231" spans="13:26" ht="14.25" customHeight="1">
      <c r="M231" s="28"/>
      <c r="Z231" s="28"/>
    </row>
    <row r="232" spans="13:26" ht="14.25" customHeight="1">
      <c r="M232" s="28"/>
      <c r="Z232" s="28"/>
    </row>
    <row r="233" spans="13:26" ht="14.25" customHeight="1">
      <c r="M233" s="28"/>
      <c r="Z233" s="28"/>
    </row>
    <row r="234" spans="13:26" ht="14.25" customHeight="1">
      <c r="M234" s="28"/>
      <c r="Z234" s="28"/>
    </row>
    <row r="235" spans="13:26" ht="14.25" customHeight="1">
      <c r="M235" s="28"/>
      <c r="Z235" s="28"/>
    </row>
    <row r="236" spans="13:26" ht="14.25" customHeight="1">
      <c r="M236" s="28"/>
      <c r="Z236" s="28"/>
    </row>
    <row r="237" spans="13:26" ht="14.25" customHeight="1">
      <c r="M237" s="28"/>
      <c r="Z237" s="28"/>
    </row>
    <row r="238" spans="13:26" ht="14.25" customHeight="1">
      <c r="M238" s="28"/>
      <c r="Z238" s="28"/>
    </row>
    <row r="239" spans="13:26" ht="14.25" customHeight="1">
      <c r="M239" s="28"/>
      <c r="Z239" s="28"/>
    </row>
    <row r="240" spans="13:26" ht="14.25" customHeight="1">
      <c r="M240" s="28"/>
      <c r="Z240" s="28"/>
    </row>
    <row r="241" spans="13:26" ht="14.25" customHeight="1">
      <c r="M241" s="28"/>
      <c r="Z241" s="28"/>
    </row>
    <row r="242" spans="13:26" ht="14.25" customHeight="1">
      <c r="M242" s="28"/>
      <c r="Z242" s="28"/>
    </row>
    <row r="243" spans="13:26" ht="14.25" customHeight="1">
      <c r="M243" s="28"/>
      <c r="Z243" s="28"/>
    </row>
    <row r="244" spans="13:26" ht="14.25" customHeight="1">
      <c r="M244" s="28"/>
      <c r="Z244" s="28"/>
    </row>
    <row r="245" spans="13:26" ht="14.25" customHeight="1">
      <c r="M245" s="28"/>
      <c r="Z245" s="28"/>
    </row>
    <row r="246" spans="13:26" ht="14.25" customHeight="1">
      <c r="M246" s="28"/>
      <c r="Z246" s="28"/>
    </row>
    <row r="247" spans="13:26" ht="14.25" customHeight="1">
      <c r="M247" s="28"/>
      <c r="Z247" s="28"/>
    </row>
    <row r="248" spans="13:26" ht="14.25" customHeight="1">
      <c r="M248" s="28"/>
      <c r="Z248" s="28"/>
    </row>
    <row r="249" spans="13:26" ht="14.25" customHeight="1">
      <c r="M249" s="28"/>
      <c r="Z249" s="28"/>
    </row>
    <row r="250" spans="13:26" ht="14.25" customHeight="1">
      <c r="M250" s="28"/>
      <c r="Z250" s="28"/>
    </row>
    <row r="251" spans="13:26" ht="14.25" customHeight="1">
      <c r="M251" s="28"/>
      <c r="Z251" s="28"/>
    </row>
    <row r="252" spans="13:26" ht="14.25" customHeight="1">
      <c r="M252" s="28"/>
      <c r="Z252" s="28"/>
    </row>
    <row r="253" spans="13:26" ht="14.25" customHeight="1">
      <c r="M253" s="28"/>
      <c r="Z253" s="28"/>
    </row>
    <row r="254" spans="13:26" ht="14.25" customHeight="1">
      <c r="M254" s="28"/>
      <c r="Z254" s="28"/>
    </row>
    <row r="255" spans="13:26" ht="14.25" customHeight="1">
      <c r="M255" s="28"/>
      <c r="Z255" s="28"/>
    </row>
    <row r="256" spans="13:26" ht="14.25" customHeight="1">
      <c r="M256" s="28"/>
      <c r="Z256" s="28"/>
    </row>
    <row r="257" spans="13:26" ht="14.25" customHeight="1">
      <c r="M257" s="28"/>
      <c r="Z257" s="28"/>
    </row>
    <row r="258" spans="13:26" ht="14.25" customHeight="1">
      <c r="M258" s="28"/>
      <c r="Z258" s="28"/>
    </row>
    <row r="259" spans="13:26" ht="14.25" customHeight="1">
      <c r="M259" s="28"/>
      <c r="Z259" s="28"/>
    </row>
    <row r="260" spans="13:26" ht="14.25" customHeight="1">
      <c r="M260" s="28"/>
      <c r="Z260" s="28"/>
    </row>
    <row r="261" spans="13:26" ht="14.25" customHeight="1">
      <c r="M261" s="28"/>
      <c r="Z261" s="28"/>
    </row>
    <row r="262" spans="13:26" ht="14.25" customHeight="1">
      <c r="M262" s="28"/>
      <c r="Z262" s="28"/>
    </row>
    <row r="263" spans="13:26" ht="14.25" customHeight="1">
      <c r="M263" s="28"/>
      <c r="Z263" s="28"/>
    </row>
    <row r="264" spans="13:26" ht="14.25" customHeight="1">
      <c r="M264" s="28"/>
      <c r="Z264" s="28"/>
    </row>
    <row r="265" spans="13:26" ht="14.25" customHeight="1">
      <c r="M265" s="28"/>
      <c r="Z265" s="28"/>
    </row>
    <row r="266" spans="13:26" ht="14.25" customHeight="1">
      <c r="M266" s="28"/>
      <c r="Z266" s="28"/>
    </row>
    <row r="267" spans="13:26" ht="14.25" customHeight="1">
      <c r="M267" s="28"/>
      <c r="Z267" s="28"/>
    </row>
    <row r="268" spans="13:26" ht="14.25" customHeight="1">
      <c r="M268" s="28"/>
      <c r="Z268" s="28"/>
    </row>
    <row r="269" spans="13:26" ht="14.25" customHeight="1">
      <c r="M269" s="28"/>
      <c r="Z269" s="28"/>
    </row>
    <row r="270" spans="13:26" ht="14.25" customHeight="1">
      <c r="M270" s="28"/>
      <c r="Z270" s="28"/>
    </row>
    <row r="271" spans="13:26" ht="14.25" customHeight="1">
      <c r="M271" s="28"/>
      <c r="Z271" s="28"/>
    </row>
    <row r="272" spans="13:26" ht="14.25" customHeight="1">
      <c r="M272" s="28"/>
      <c r="Z272" s="28"/>
    </row>
    <row r="273" spans="13:26" ht="14.25" customHeight="1">
      <c r="M273" s="28"/>
      <c r="Z273" s="28"/>
    </row>
    <row r="274" spans="13:26" ht="14.25" customHeight="1">
      <c r="M274" s="28"/>
      <c r="Z274" s="28"/>
    </row>
    <row r="275" spans="13:26" ht="14.25" customHeight="1">
      <c r="M275" s="28"/>
      <c r="Z275" s="28"/>
    </row>
    <row r="276" spans="13:26" ht="14.25" customHeight="1">
      <c r="M276" s="28"/>
      <c r="Z276" s="28"/>
    </row>
    <row r="277" spans="13:26" ht="14.25" customHeight="1">
      <c r="M277" s="28"/>
      <c r="Z277" s="28"/>
    </row>
    <row r="278" spans="13:26" ht="14.25" customHeight="1">
      <c r="M278" s="28"/>
      <c r="Z278" s="28"/>
    </row>
    <row r="279" spans="13:26" ht="14.25" customHeight="1">
      <c r="M279" s="28"/>
      <c r="Z279" s="28"/>
    </row>
    <row r="280" spans="13:26" ht="14.25" customHeight="1">
      <c r="M280" s="28"/>
      <c r="Z280" s="28"/>
    </row>
    <row r="281" spans="13:26" ht="14.25" customHeight="1">
      <c r="M281" s="28"/>
      <c r="Z281" s="28"/>
    </row>
    <row r="282" spans="13:26" ht="14.25" customHeight="1">
      <c r="M282" s="28"/>
      <c r="Z282" s="28"/>
    </row>
    <row r="283" spans="13:26" ht="14.25" customHeight="1">
      <c r="M283" s="28"/>
      <c r="Z283" s="28"/>
    </row>
    <row r="284" spans="13:26" ht="14.25" customHeight="1">
      <c r="M284" s="28"/>
      <c r="Z284" s="28"/>
    </row>
    <row r="285" spans="13:26" ht="14.25" customHeight="1">
      <c r="M285" s="28"/>
      <c r="Z285" s="28"/>
    </row>
    <row r="286" spans="13:26" ht="14.25" customHeight="1">
      <c r="M286" s="28"/>
      <c r="Z286" s="28"/>
    </row>
    <row r="287" spans="13:26" ht="14.25" customHeight="1">
      <c r="M287" s="28"/>
      <c r="Z287" s="28"/>
    </row>
    <row r="288" spans="13:26" ht="14.25" customHeight="1">
      <c r="M288" s="28"/>
      <c r="Z288" s="28"/>
    </row>
    <row r="289" spans="13:26" ht="14.25" customHeight="1">
      <c r="M289" s="28"/>
      <c r="Z289" s="28"/>
    </row>
    <row r="290" spans="13:26" ht="14.25" customHeight="1">
      <c r="M290" s="28"/>
      <c r="Z290" s="28"/>
    </row>
    <row r="291" spans="13:26" ht="14.25" customHeight="1">
      <c r="M291" s="28"/>
      <c r="Z291" s="28"/>
    </row>
    <row r="292" spans="13:26" ht="14.25" customHeight="1">
      <c r="M292" s="28"/>
      <c r="Z292" s="28"/>
    </row>
    <row r="293" spans="13:26" ht="14.25" customHeight="1">
      <c r="M293" s="28"/>
      <c r="Z293" s="28"/>
    </row>
    <row r="294" spans="13:26" ht="14.25" customHeight="1">
      <c r="M294" s="28"/>
      <c r="Z294" s="28"/>
    </row>
    <row r="295" spans="13:26" ht="14.25" customHeight="1">
      <c r="M295" s="28"/>
      <c r="Z295" s="28"/>
    </row>
    <row r="296" spans="13:26" ht="14.25" customHeight="1">
      <c r="M296" s="28"/>
      <c r="Z296" s="28"/>
    </row>
    <row r="297" spans="13:26" ht="14.25" customHeight="1">
      <c r="M297" s="28"/>
      <c r="Z297" s="28"/>
    </row>
    <row r="298" spans="13:26" ht="14.25" customHeight="1">
      <c r="M298" s="28"/>
      <c r="Z298" s="28"/>
    </row>
    <row r="299" spans="13:26" ht="14.25" customHeight="1">
      <c r="M299" s="28"/>
      <c r="Z299" s="28"/>
    </row>
    <row r="300" spans="13:26" ht="14.25" customHeight="1">
      <c r="M300" s="28"/>
      <c r="Z300" s="28"/>
    </row>
    <row r="301" spans="13:26" ht="14.25" customHeight="1">
      <c r="M301" s="28"/>
      <c r="Z301" s="28"/>
    </row>
    <row r="302" spans="13:26" ht="14.25" customHeight="1">
      <c r="M302" s="28"/>
      <c r="Z302" s="28"/>
    </row>
    <row r="303" spans="13:26" ht="14.25" customHeight="1">
      <c r="M303" s="28"/>
      <c r="Z303" s="28"/>
    </row>
    <row r="304" spans="13:26" ht="14.25" customHeight="1">
      <c r="M304" s="28"/>
      <c r="Z304" s="28"/>
    </row>
    <row r="305" spans="13:26" ht="14.25" customHeight="1">
      <c r="M305" s="28"/>
      <c r="Z305" s="28"/>
    </row>
    <row r="306" spans="13:26" ht="14.25" customHeight="1">
      <c r="M306" s="28"/>
      <c r="Z306" s="28"/>
    </row>
    <row r="307" spans="13:26" ht="14.25" customHeight="1">
      <c r="M307" s="28"/>
      <c r="Z307" s="28"/>
    </row>
    <row r="308" spans="13:26" ht="14.25" customHeight="1">
      <c r="M308" s="28"/>
      <c r="Z308" s="28"/>
    </row>
    <row r="309" spans="13:26" ht="14.25" customHeight="1">
      <c r="M309" s="28"/>
      <c r="Z309" s="28"/>
    </row>
    <row r="310" spans="13:26" ht="14.25" customHeight="1">
      <c r="M310" s="28"/>
      <c r="Z310" s="28"/>
    </row>
    <row r="311" spans="13:26" ht="14.25" customHeight="1">
      <c r="M311" s="28"/>
      <c r="Z311" s="28"/>
    </row>
    <row r="312" spans="13:26" ht="14.25" customHeight="1">
      <c r="M312" s="28"/>
      <c r="Z312" s="28"/>
    </row>
    <row r="313" spans="13:26" ht="14.25" customHeight="1">
      <c r="M313" s="28"/>
      <c r="Z313" s="28"/>
    </row>
    <row r="314" spans="13:26" ht="14.25" customHeight="1">
      <c r="M314" s="28"/>
      <c r="Z314" s="28"/>
    </row>
    <row r="315" spans="13:26" ht="14.25" customHeight="1">
      <c r="M315" s="28"/>
      <c r="Z315" s="28"/>
    </row>
    <row r="316" spans="13:26" ht="14.25" customHeight="1">
      <c r="M316" s="28"/>
      <c r="Z316" s="28"/>
    </row>
    <row r="317" spans="13:26" ht="14.25" customHeight="1">
      <c r="M317" s="28"/>
      <c r="Z317" s="28"/>
    </row>
    <row r="318" spans="13:26" ht="14.25" customHeight="1">
      <c r="M318" s="28"/>
      <c r="Z318" s="28"/>
    </row>
    <row r="319" spans="13:26" ht="14.25" customHeight="1">
      <c r="M319" s="28"/>
      <c r="Z319" s="28"/>
    </row>
    <row r="320" spans="13:26" ht="14.25" customHeight="1">
      <c r="M320" s="28"/>
      <c r="Z320" s="28"/>
    </row>
    <row r="321" spans="13:26" ht="14.25" customHeight="1">
      <c r="M321" s="28"/>
      <c r="Z321" s="28"/>
    </row>
    <row r="322" spans="13:26" ht="14.25" customHeight="1">
      <c r="M322" s="28"/>
      <c r="Z322" s="28"/>
    </row>
    <row r="323" spans="13:26" ht="14.25" customHeight="1">
      <c r="M323" s="28"/>
      <c r="Z323" s="28"/>
    </row>
    <row r="324" spans="13:26" ht="14.25" customHeight="1">
      <c r="M324" s="28"/>
      <c r="Z324" s="28"/>
    </row>
    <row r="325" spans="13:26" ht="14.25" customHeight="1">
      <c r="M325" s="28"/>
      <c r="Z325" s="28"/>
    </row>
    <row r="326" spans="13:26" ht="14.25" customHeight="1">
      <c r="M326" s="28"/>
      <c r="Z326" s="28"/>
    </row>
    <row r="327" spans="13:26" ht="14.25" customHeight="1">
      <c r="M327" s="28"/>
      <c r="Z327" s="28"/>
    </row>
    <row r="328" spans="13:26" ht="14.25" customHeight="1">
      <c r="M328" s="28"/>
      <c r="Z328" s="28"/>
    </row>
    <row r="329" spans="13:26" ht="14.25" customHeight="1">
      <c r="M329" s="28"/>
      <c r="Z329" s="28"/>
    </row>
    <row r="330" spans="13:26" ht="14.25" customHeight="1">
      <c r="M330" s="28"/>
      <c r="Z330" s="28"/>
    </row>
    <row r="331" spans="13:26" ht="14.25" customHeight="1">
      <c r="M331" s="28"/>
      <c r="Z331" s="28"/>
    </row>
    <row r="332" spans="13:26" ht="14.25" customHeight="1">
      <c r="M332" s="28"/>
      <c r="Z332" s="28"/>
    </row>
    <row r="333" spans="13:26" ht="14.25" customHeight="1">
      <c r="M333" s="28"/>
      <c r="Z333" s="28"/>
    </row>
    <row r="334" spans="13:26" ht="14.25" customHeight="1">
      <c r="M334" s="28"/>
      <c r="Z334" s="28"/>
    </row>
    <row r="335" spans="13:26" ht="14.25" customHeight="1">
      <c r="M335" s="28"/>
      <c r="Z335" s="28"/>
    </row>
    <row r="336" spans="13:26" ht="14.25" customHeight="1">
      <c r="M336" s="28"/>
      <c r="Z336" s="28"/>
    </row>
    <row r="337" spans="13:26" ht="14.25" customHeight="1">
      <c r="M337" s="28"/>
      <c r="Z337" s="28"/>
    </row>
    <row r="338" spans="13:26" ht="14.25" customHeight="1">
      <c r="M338" s="28"/>
      <c r="Z338" s="28"/>
    </row>
    <row r="339" spans="13:26" ht="14.25" customHeight="1">
      <c r="M339" s="28"/>
      <c r="Z339" s="28"/>
    </row>
    <row r="340" spans="13:26" ht="14.25" customHeight="1">
      <c r="M340" s="28"/>
      <c r="Z340" s="28"/>
    </row>
    <row r="341" spans="13:26" ht="14.25" customHeight="1">
      <c r="M341" s="28"/>
      <c r="Z341" s="28"/>
    </row>
    <row r="342" spans="13:26" ht="14.25" customHeight="1">
      <c r="M342" s="28"/>
      <c r="Z342" s="28"/>
    </row>
    <row r="343" spans="13:26" ht="14.25" customHeight="1">
      <c r="M343" s="28"/>
      <c r="Z343" s="28"/>
    </row>
    <row r="344" spans="13:26" ht="14.25" customHeight="1">
      <c r="M344" s="28"/>
      <c r="Z344" s="28"/>
    </row>
    <row r="345" spans="13:26" ht="14.25" customHeight="1">
      <c r="M345" s="28"/>
      <c r="Z345" s="28"/>
    </row>
    <row r="346" spans="13:26" ht="14.25" customHeight="1">
      <c r="M346" s="28"/>
      <c r="Z346" s="28"/>
    </row>
    <row r="347" spans="13:26" ht="14.25" customHeight="1">
      <c r="M347" s="28"/>
      <c r="Z347" s="28"/>
    </row>
    <row r="348" spans="13:26" ht="14.25" customHeight="1">
      <c r="M348" s="28"/>
      <c r="Z348" s="28"/>
    </row>
    <row r="349" spans="13:26" ht="14.25" customHeight="1">
      <c r="M349" s="28"/>
      <c r="Z349" s="28"/>
    </row>
    <row r="350" spans="13:26" ht="14.25" customHeight="1">
      <c r="M350" s="28"/>
      <c r="Z350" s="28"/>
    </row>
    <row r="351" spans="13:26" ht="14.25" customHeight="1">
      <c r="M351" s="28"/>
      <c r="Z351" s="28"/>
    </row>
    <row r="352" spans="13:26" ht="14.25" customHeight="1">
      <c r="M352" s="28"/>
      <c r="Z352" s="28"/>
    </row>
    <row r="353" spans="13:26" ht="14.25" customHeight="1">
      <c r="M353" s="28"/>
      <c r="Z353" s="28"/>
    </row>
    <row r="354" spans="13:26" ht="14.25" customHeight="1">
      <c r="M354" s="28"/>
      <c r="Z354" s="28"/>
    </row>
    <row r="355" spans="13:26" ht="14.25" customHeight="1">
      <c r="M355" s="28"/>
      <c r="Z355" s="28"/>
    </row>
    <row r="356" spans="13:26" ht="14.25" customHeight="1">
      <c r="M356" s="28"/>
      <c r="Z356" s="28"/>
    </row>
    <row r="357" spans="13:26" ht="14.25" customHeight="1">
      <c r="M357" s="28"/>
      <c r="Z357" s="28"/>
    </row>
    <row r="358" spans="13:26" ht="14.25" customHeight="1">
      <c r="M358" s="28"/>
      <c r="Z358" s="28"/>
    </row>
    <row r="359" spans="13:26" ht="14.25" customHeight="1">
      <c r="M359" s="28"/>
      <c r="Z359" s="28"/>
    </row>
    <row r="360" spans="13:26" ht="14.25" customHeight="1">
      <c r="M360" s="28"/>
      <c r="Z360" s="28"/>
    </row>
    <row r="361" spans="13:26" ht="14.25" customHeight="1">
      <c r="M361" s="28"/>
      <c r="Z361" s="28"/>
    </row>
    <row r="362" spans="13:26" ht="14.25" customHeight="1">
      <c r="M362" s="28"/>
      <c r="Z362" s="28"/>
    </row>
    <row r="363" spans="13:26" ht="14.25" customHeight="1">
      <c r="M363" s="28"/>
      <c r="Z363" s="28"/>
    </row>
    <row r="364" spans="13:26" ht="14.25" customHeight="1">
      <c r="M364" s="28"/>
      <c r="Z364" s="28"/>
    </row>
    <row r="365" spans="13:26" ht="14.25" customHeight="1">
      <c r="M365" s="28"/>
      <c r="Z365" s="28"/>
    </row>
    <row r="366" spans="13:26" ht="14.25" customHeight="1">
      <c r="M366" s="28"/>
      <c r="Z366" s="28"/>
    </row>
    <row r="367" spans="13:26" ht="14.25" customHeight="1">
      <c r="M367" s="28"/>
      <c r="Z367" s="28"/>
    </row>
    <row r="368" spans="13:26" ht="14.25" customHeight="1">
      <c r="M368" s="28"/>
      <c r="Z368" s="28"/>
    </row>
    <row r="369" spans="13:26" ht="14.25" customHeight="1">
      <c r="M369" s="28"/>
      <c r="Z369" s="28"/>
    </row>
    <row r="370" spans="13:26" ht="14.25" customHeight="1">
      <c r="M370" s="28"/>
      <c r="Z370" s="28"/>
    </row>
    <row r="371" spans="13:26" ht="14.25" customHeight="1">
      <c r="M371" s="28"/>
      <c r="Z371" s="28"/>
    </row>
    <row r="372" spans="13:26" ht="14.25" customHeight="1">
      <c r="M372" s="28"/>
      <c r="Z372" s="28"/>
    </row>
    <row r="373" spans="13:26" ht="14.25" customHeight="1">
      <c r="M373" s="28"/>
      <c r="Z373" s="28"/>
    </row>
    <row r="374" spans="13:26" ht="14.25" customHeight="1">
      <c r="M374" s="28"/>
      <c r="Z374" s="28"/>
    </row>
    <row r="375" spans="13:26" ht="14.25" customHeight="1">
      <c r="M375" s="28"/>
      <c r="Z375" s="28"/>
    </row>
    <row r="376" spans="13:26" ht="14.25" customHeight="1">
      <c r="M376" s="28"/>
      <c r="Z376" s="28"/>
    </row>
    <row r="377" spans="13:26" ht="14.25" customHeight="1">
      <c r="M377" s="28"/>
      <c r="Z377" s="28"/>
    </row>
    <row r="378" spans="13:26" ht="14.25" customHeight="1">
      <c r="M378" s="28"/>
      <c r="Z378" s="28"/>
    </row>
    <row r="379" spans="13:26" ht="14.25" customHeight="1">
      <c r="M379" s="28"/>
      <c r="Z379" s="28"/>
    </row>
    <row r="380" spans="13:26" ht="14.25" customHeight="1">
      <c r="M380" s="28"/>
      <c r="Z380" s="28"/>
    </row>
    <row r="381" spans="13:26" ht="14.25" customHeight="1">
      <c r="M381" s="28"/>
      <c r="Z381" s="28"/>
    </row>
    <row r="382" spans="13:26" ht="14.25" customHeight="1">
      <c r="M382" s="28"/>
      <c r="Z382" s="28"/>
    </row>
    <row r="383" spans="13:26" ht="14.25" customHeight="1">
      <c r="M383" s="28"/>
      <c r="Z383" s="28"/>
    </row>
    <row r="384" spans="13:26" ht="14.25" customHeight="1">
      <c r="M384" s="28"/>
      <c r="Z384" s="28"/>
    </row>
    <row r="385" spans="13:26" ht="14.25" customHeight="1">
      <c r="M385" s="28"/>
      <c r="Z385" s="28"/>
    </row>
    <row r="386" spans="13:26" ht="14.25" customHeight="1">
      <c r="M386" s="28"/>
      <c r="Z386" s="28"/>
    </row>
    <row r="387" spans="13:26" ht="14.25" customHeight="1">
      <c r="M387" s="28"/>
      <c r="Z387" s="28"/>
    </row>
    <row r="388" spans="13:26" ht="14.25" customHeight="1">
      <c r="M388" s="28"/>
      <c r="Z388" s="28"/>
    </row>
    <row r="389" spans="13:26" ht="14.25" customHeight="1">
      <c r="M389" s="28"/>
      <c r="Z389" s="28"/>
    </row>
    <row r="390" spans="13:26" ht="14.25" customHeight="1">
      <c r="M390" s="28"/>
      <c r="Z390" s="28"/>
    </row>
    <row r="391" spans="13:26" ht="14.25" customHeight="1">
      <c r="M391" s="28"/>
      <c r="Z391" s="28"/>
    </row>
    <row r="392" spans="13:26" ht="14.25" customHeight="1">
      <c r="M392" s="28"/>
      <c r="Z392" s="28"/>
    </row>
    <row r="393" spans="13:26" ht="14.25" customHeight="1">
      <c r="M393" s="28"/>
      <c r="Z393" s="28"/>
    </row>
    <row r="394" spans="13:26" ht="14.25" customHeight="1">
      <c r="M394" s="28"/>
      <c r="Z394" s="28"/>
    </row>
    <row r="395" spans="13:26" ht="14.25" customHeight="1">
      <c r="M395" s="28"/>
      <c r="Z395" s="28"/>
    </row>
    <row r="396" spans="13:26" ht="14.25" customHeight="1">
      <c r="M396" s="28"/>
      <c r="Z396" s="28"/>
    </row>
    <row r="397" spans="13:26" ht="14.25" customHeight="1">
      <c r="M397" s="28"/>
      <c r="Z397" s="28"/>
    </row>
    <row r="398" spans="13:26" ht="14.25" customHeight="1">
      <c r="M398" s="28"/>
      <c r="Z398" s="28"/>
    </row>
    <row r="399" spans="13:26" ht="14.25" customHeight="1">
      <c r="M399" s="28"/>
      <c r="Z399" s="28"/>
    </row>
    <row r="400" spans="13:26" ht="14.25" customHeight="1">
      <c r="M400" s="28"/>
      <c r="Z400" s="28"/>
    </row>
    <row r="401" spans="13:26" ht="14.25" customHeight="1">
      <c r="M401" s="28"/>
      <c r="Z401" s="28"/>
    </row>
    <row r="402" spans="13:26" ht="14.25" customHeight="1">
      <c r="M402" s="28"/>
      <c r="Z402" s="28"/>
    </row>
    <row r="403" spans="13:26" ht="14.25" customHeight="1">
      <c r="M403" s="28"/>
      <c r="Z403" s="28"/>
    </row>
    <row r="404" spans="13:26" ht="14.25" customHeight="1">
      <c r="M404" s="28"/>
      <c r="Z404" s="28"/>
    </row>
    <row r="405" spans="13:26" ht="14.25" customHeight="1">
      <c r="M405" s="28"/>
      <c r="Z405" s="28"/>
    </row>
    <row r="406" spans="13:26" ht="14.25" customHeight="1">
      <c r="M406" s="28"/>
      <c r="Z406" s="28"/>
    </row>
    <row r="407" spans="13:26" ht="14.25" customHeight="1">
      <c r="M407" s="28"/>
      <c r="Z407" s="28"/>
    </row>
    <row r="408" spans="13:26" ht="14.25" customHeight="1">
      <c r="M408" s="28"/>
      <c r="Z408" s="28"/>
    </row>
    <row r="409" spans="13:26" ht="14.25" customHeight="1">
      <c r="M409" s="28"/>
      <c r="Z409" s="28"/>
    </row>
    <row r="410" spans="13:26" ht="14.25" customHeight="1">
      <c r="M410" s="28"/>
      <c r="Z410" s="28"/>
    </row>
    <row r="411" spans="13:26" ht="14.25" customHeight="1">
      <c r="M411" s="28"/>
      <c r="Z411" s="28"/>
    </row>
    <row r="412" spans="13:26" ht="14.25" customHeight="1">
      <c r="M412" s="28"/>
      <c r="Z412" s="28"/>
    </row>
    <row r="413" spans="13:26" ht="14.25" customHeight="1">
      <c r="M413" s="28"/>
      <c r="Z413" s="28"/>
    </row>
    <row r="414" spans="13:26" ht="14.25" customHeight="1">
      <c r="M414" s="28"/>
      <c r="Z414" s="28"/>
    </row>
    <row r="415" spans="13:26" ht="14.25" customHeight="1">
      <c r="M415" s="28"/>
      <c r="Z415" s="28"/>
    </row>
    <row r="416" spans="13:26" ht="14.25" customHeight="1">
      <c r="M416" s="28"/>
      <c r="Z416" s="28"/>
    </row>
    <row r="417" spans="13:26" ht="14.25" customHeight="1">
      <c r="M417" s="28"/>
      <c r="Z417" s="28"/>
    </row>
    <row r="418" spans="13:26" ht="14.25" customHeight="1">
      <c r="M418" s="28"/>
      <c r="Z418" s="28"/>
    </row>
    <row r="419" spans="13:26" ht="14.25" customHeight="1">
      <c r="M419" s="28"/>
      <c r="Z419" s="28"/>
    </row>
    <row r="420" spans="13:26" ht="14.25" customHeight="1">
      <c r="M420" s="28"/>
      <c r="Z420" s="28"/>
    </row>
    <row r="421" spans="13:26" ht="14.25" customHeight="1">
      <c r="M421" s="28"/>
      <c r="Z421" s="28"/>
    </row>
    <row r="422" spans="13:26" ht="14.25" customHeight="1">
      <c r="M422" s="28"/>
      <c r="Z422" s="28"/>
    </row>
    <row r="423" spans="13:26" ht="14.25" customHeight="1">
      <c r="M423" s="28"/>
      <c r="Z423" s="28"/>
    </row>
    <row r="424" spans="13:26" ht="14.25" customHeight="1">
      <c r="M424" s="28"/>
      <c r="Z424" s="28"/>
    </row>
    <row r="425" spans="13:26" ht="14.25" customHeight="1">
      <c r="M425" s="28"/>
      <c r="Z425" s="28"/>
    </row>
    <row r="426" spans="13:26" ht="14.25" customHeight="1">
      <c r="M426" s="28"/>
      <c r="Z426" s="28"/>
    </row>
    <row r="427" spans="13:26" ht="14.25" customHeight="1">
      <c r="M427" s="28"/>
      <c r="Z427" s="28"/>
    </row>
    <row r="428" spans="13:26" ht="14.25" customHeight="1">
      <c r="M428" s="28"/>
      <c r="Z428" s="28"/>
    </row>
    <row r="429" spans="13:26" ht="14.25" customHeight="1">
      <c r="M429" s="28"/>
      <c r="Z429" s="28"/>
    </row>
    <row r="430" spans="13:26" ht="14.25" customHeight="1">
      <c r="M430" s="28"/>
      <c r="Z430" s="28"/>
    </row>
    <row r="431" spans="13:26" ht="14.25" customHeight="1">
      <c r="M431" s="28"/>
      <c r="Z431" s="28"/>
    </row>
    <row r="432" spans="13:26" ht="14.25" customHeight="1">
      <c r="M432" s="28"/>
      <c r="Z432" s="28"/>
    </row>
    <row r="433" spans="13:26" ht="14.25" customHeight="1">
      <c r="M433" s="28"/>
      <c r="Z433" s="28"/>
    </row>
    <row r="434" spans="13:26" ht="14.25" customHeight="1">
      <c r="M434" s="28"/>
      <c r="Z434" s="28"/>
    </row>
    <row r="435" spans="13:26" ht="14.25" customHeight="1">
      <c r="M435" s="28"/>
      <c r="Z435" s="28"/>
    </row>
    <row r="436" spans="13:26" ht="14.25" customHeight="1">
      <c r="M436" s="28"/>
      <c r="Z436" s="28"/>
    </row>
    <row r="437" spans="13:26" ht="14.25" customHeight="1">
      <c r="M437" s="28"/>
      <c r="Z437" s="28"/>
    </row>
    <row r="438" spans="13:26" ht="14.25" customHeight="1">
      <c r="M438" s="28"/>
      <c r="Z438" s="28"/>
    </row>
    <row r="439" spans="13:26" ht="14.25" customHeight="1">
      <c r="M439" s="28"/>
      <c r="Z439" s="28"/>
    </row>
    <row r="440" spans="13:26" ht="14.25" customHeight="1">
      <c r="M440" s="28"/>
      <c r="Z440" s="28"/>
    </row>
    <row r="441" spans="13:26" ht="14.25" customHeight="1">
      <c r="M441" s="28"/>
      <c r="Z441" s="28"/>
    </row>
    <row r="442" spans="13:26" ht="14.25" customHeight="1">
      <c r="M442" s="28"/>
      <c r="Z442" s="28"/>
    </row>
    <row r="443" spans="13:26" ht="14.25" customHeight="1">
      <c r="M443" s="28"/>
      <c r="Z443" s="28"/>
    </row>
    <row r="444" spans="13:26" ht="14.25" customHeight="1">
      <c r="M444" s="28"/>
      <c r="Z444" s="28"/>
    </row>
    <row r="445" spans="13:26" ht="14.25" customHeight="1">
      <c r="M445" s="28"/>
      <c r="Z445" s="28"/>
    </row>
    <row r="446" spans="13:26" ht="14.25" customHeight="1">
      <c r="M446" s="28"/>
      <c r="Z446" s="28"/>
    </row>
    <row r="447" spans="13:26" ht="14.25" customHeight="1">
      <c r="M447" s="28"/>
      <c r="Z447" s="28"/>
    </row>
    <row r="448" spans="13:26" ht="14.25" customHeight="1">
      <c r="M448" s="28"/>
      <c r="Z448" s="28"/>
    </row>
    <row r="449" spans="13:26" ht="14.25" customHeight="1">
      <c r="M449" s="28"/>
      <c r="Z449" s="28"/>
    </row>
    <row r="450" spans="13:26" ht="14.25" customHeight="1">
      <c r="M450" s="28"/>
      <c r="Z450" s="28"/>
    </row>
    <row r="451" spans="13:26" ht="14.25" customHeight="1">
      <c r="M451" s="28"/>
      <c r="Z451" s="28"/>
    </row>
    <row r="452" spans="13:26" ht="14.25" customHeight="1">
      <c r="M452" s="28"/>
      <c r="Z452" s="28"/>
    </row>
    <row r="453" spans="13:26" ht="14.25" customHeight="1">
      <c r="M453" s="28"/>
      <c r="Z453" s="28"/>
    </row>
    <row r="454" spans="13:26" ht="14.25" customHeight="1">
      <c r="M454" s="28"/>
      <c r="Z454" s="28"/>
    </row>
    <row r="455" spans="13:26" ht="14.25" customHeight="1">
      <c r="M455" s="28"/>
      <c r="Z455" s="28"/>
    </row>
    <row r="456" spans="13:26" ht="14.25" customHeight="1">
      <c r="M456" s="28"/>
      <c r="Z456" s="28"/>
    </row>
    <row r="457" spans="13:26" ht="14.25" customHeight="1">
      <c r="M457" s="28"/>
      <c r="Z457" s="28"/>
    </row>
    <row r="458" spans="13:26" ht="14.25" customHeight="1">
      <c r="M458" s="28"/>
      <c r="Z458" s="28"/>
    </row>
    <row r="459" spans="13:26" ht="14.25" customHeight="1">
      <c r="M459" s="28"/>
      <c r="Z459" s="28"/>
    </row>
    <row r="460" spans="13:26" ht="14.25" customHeight="1">
      <c r="M460" s="28"/>
      <c r="Z460" s="28"/>
    </row>
    <row r="461" spans="13:26" ht="14.25" customHeight="1">
      <c r="M461" s="28"/>
      <c r="Z461" s="28"/>
    </row>
    <row r="462" spans="13:26" ht="14.25" customHeight="1">
      <c r="M462" s="28"/>
      <c r="Z462" s="28"/>
    </row>
    <row r="463" spans="13:26" ht="14.25" customHeight="1">
      <c r="M463" s="28"/>
      <c r="Z463" s="28"/>
    </row>
    <row r="464" spans="13:26" ht="14.25" customHeight="1">
      <c r="M464" s="28"/>
      <c r="Z464" s="28"/>
    </row>
    <row r="465" spans="13:26" ht="14.25" customHeight="1">
      <c r="M465" s="28"/>
      <c r="Z465" s="28"/>
    </row>
    <row r="466" spans="13:26" ht="14.25" customHeight="1">
      <c r="M466" s="28"/>
      <c r="Z466" s="28"/>
    </row>
    <row r="467" spans="13:26" ht="14.25" customHeight="1">
      <c r="M467" s="28"/>
      <c r="Z467" s="28"/>
    </row>
    <row r="468" spans="13:26" ht="14.25" customHeight="1">
      <c r="M468" s="28"/>
      <c r="Z468" s="28"/>
    </row>
    <row r="469" spans="13:26" ht="14.25" customHeight="1">
      <c r="M469" s="28"/>
      <c r="Z469" s="28"/>
    </row>
    <row r="470" spans="13:26" ht="14.25" customHeight="1">
      <c r="M470" s="28"/>
      <c r="Z470" s="28"/>
    </row>
    <row r="471" spans="13:26" ht="14.25" customHeight="1">
      <c r="M471" s="28"/>
      <c r="Z471" s="28"/>
    </row>
    <row r="472" spans="13:26" ht="14.25" customHeight="1">
      <c r="M472" s="28"/>
      <c r="Z472" s="28"/>
    </row>
    <row r="473" spans="13:26" ht="14.25" customHeight="1">
      <c r="M473" s="28"/>
      <c r="Z473" s="28"/>
    </row>
    <row r="474" spans="13:26" ht="14.25" customHeight="1">
      <c r="M474" s="28"/>
      <c r="Z474" s="28"/>
    </row>
    <row r="475" spans="13:26" ht="14.25" customHeight="1">
      <c r="M475" s="28"/>
      <c r="Z475" s="28"/>
    </row>
    <row r="476" spans="13:26" ht="14.25" customHeight="1">
      <c r="M476" s="28"/>
      <c r="Z476" s="28"/>
    </row>
    <row r="477" spans="13:26" ht="14.25" customHeight="1">
      <c r="M477" s="28"/>
      <c r="Z477" s="28"/>
    </row>
    <row r="478" spans="13:26" ht="14.25" customHeight="1">
      <c r="M478" s="28"/>
      <c r="Z478" s="28"/>
    </row>
    <row r="479" spans="13:26" ht="14.25" customHeight="1">
      <c r="M479" s="28"/>
      <c r="Z479" s="28"/>
    </row>
    <row r="480" spans="13:26" ht="14.25" customHeight="1">
      <c r="M480" s="28"/>
      <c r="Z480" s="28"/>
    </row>
    <row r="481" spans="13:26" ht="14.25" customHeight="1">
      <c r="M481" s="28"/>
      <c r="Z481" s="28"/>
    </row>
    <row r="482" spans="13:26" ht="14.25" customHeight="1">
      <c r="M482" s="28"/>
      <c r="Z482" s="28"/>
    </row>
    <row r="483" spans="13:26" ht="14.25" customHeight="1">
      <c r="M483" s="28"/>
      <c r="Z483" s="28"/>
    </row>
    <row r="484" spans="13:26" ht="14.25" customHeight="1">
      <c r="M484" s="28"/>
      <c r="Z484" s="28"/>
    </row>
    <row r="485" spans="13:26" ht="14.25" customHeight="1">
      <c r="M485" s="28"/>
      <c r="Z485" s="28"/>
    </row>
    <row r="486" spans="13:26" ht="14.25" customHeight="1">
      <c r="M486" s="28"/>
      <c r="Z486" s="28"/>
    </row>
    <row r="487" spans="13:26" ht="14.25" customHeight="1">
      <c r="M487" s="28"/>
      <c r="Z487" s="28"/>
    </row>
    <row r="488" spans="13:26" ht="14.25" customHeight="1">
      <c r="M488" s="28"/>
      <c r="Z488" s="28"/>
    </row>
    <row r="489" spans="13:26" ht="14.25" customHeight="1">
      <c r="M489" s="28"/>
      <c r="Z489" s="28"/>
    </row>
    <row r="490" spans="13:26" ht="14.25" customHeight="1">
      <c r="M490" s="28"/>
      <c r="Z490" s="28"/>
    </row>
    <row r="491" spans="13:26" ht="14.25" customHeight="1">
      <c r="M491" s="28"/>
      <c r="Z491" s="28"/>
    </row>
    <row r="492" spans="13:26" ht="14.25" customHeight="1">
      <c r="M492" s="28"/>
      <c r="Z492" s="28"/>
    </row>
    <row r="493" spans="13:26" ht="14.25" customHeight="1">
      <c r="M493" s="28"/>
      <c r="Z493" s="28"/>
    </row>
    <row r="494" spans="13:26" ht="14.25" customHeight="1">
      <c r="M494" s="28"/>
      <c r="Z494" s="28"/>
    </row>
    <row r="495" spans="13:26" ht="14.25" customHeight="1">
      <c r="M495" s="28"/>
      <c r="Z495" s="28"/>
    </row>
    <row r="496" spans="13:26" ht="14.25" customHeight="1">
      <c r="M496" s="28"/>
      <c r="Z496" s="28"/>
    </row>
    <row r="497" spans="13:26" ht="14.25" customHeight="1">
      <c r="M497" s="28"/>
      <c r="Z497" s="28"/>
    </row>
    <row r="498" spans="13:26" ht="14.25" customHeight="1">
      <c r="M498" s="28"/>
      <c r="Z498" s="28"/>
    </row>
    <row r="499" spans="13:26" ht="14.25" customHeight="1">
      <c r="M499" s="28"/>
      <c r="Z499" s="28"/>
    </row>
    <row r="500" spans="13:26" ht="14.25" customHeight="1">
      <c r="M500" s="28"/>
      <c r="Z500" s="28"/>
    </row>
    <row r="501" spans="13:26" ht="14.25" customHeight="1">
      <c r="M501" s="28"/>
      <c r="Z501" s="28"/>
    </row>
    <row r="502" spans="13:26" ht="14.25" customHeight="1">
      <c r="M502" s="28"/>
      <c r="Z502" s="28"/>
    </row>
    <row r="503" spans="13:26" ht="14.25" customHeight="1">
      <c r="M503" s="28"/>
      <c r="Z503" s="28"/>
    </row>
    <row r="504" spans="13:26" ht="14.25" customHeight="1">
      <c r="M504" s="28"/>
      <c r="Z504" s="28"/>
    </row>
    <row r="505" spans="13:26" ht="14.25" customHeight="1">
      <c r="M505" s="28"/>
      <c r="Z505" s="28"/>
    </row>
    <row r="506" spans="13:26" ht="14.25" customHeight="1">
      <c r="M506" s="28"/>
      <c r="Z506" s="28"/>
    </row>
    <row r="507" spans="13:26" ht="14.25" customHeight="1">
      <c r="M507" s="28"/>
      <c r="Z507" s="28"/>
    </row>
    <row r="508" spans="13:26" ht="14.25" customHeight="1">
      <c r="M508" s="28"/>
      <c r="Z508" s="28"/>
    </row>
    <row r="509" spans="13:26" ht="14.25" customHeight="1">
      <c r="M509" s="28"/>
      <c r="Z509" s="28"/>
    </row>
    <row r="510" spans="13:26" ht="14.25" customHeight="1">
      <c r="M510" s="28"/>
      <c r="Z510" s="28"/>
    </row>
    <row r="511" spans="13:26" ht="14.25" customHeight="1">
      <c r="M511" s="28"/>
      <c r="Z511" s="28"/>
    </row>
    <row r="512" spans="13:26" ht="14.25" customHeight="1">
      <c r="M512" s="28"/>
      <c r="Z512" s="28"/>
    </row>
    <row r="513" spans="13:26" ht="14.25" customHeight="1">
      <c r="M513" s="28"/>
      <c r="Z513" s="28"/>
    </row>
    <row r="514" spans="13:26" ht="14.25" customHeight="1">
      <c r="M514" s="28"/>
      <c r="Z514" s="28"/>
    </row>
    <row r="515" spans="13:26" ht="14.25" customHeight="1">
      <c r="M515" s="28"/>
      <c r="Z515" s="28"/>
    </row>
    <row r="516" spans="13:26" ht="14.25" customHeight="1">
      <c r="M516" s="28"/>
      <c r="Z516" s="28"/>
    </row>
    <row r="517" spans="13:26" ht="14.25" customHeight="1">
      <c r="M517" s="28"/>
      <c r="Z517" s="28"/>
    </row>
    <row r="518" spans="13:26" ht="14.25" customHeight="1">
      <c r="M518" s="28"/>
      <c r="Z518" s="28"/>
    </row>
    <row r="519" spans="13:26" ht="14.25" customHeight="1">
      <c r="M519" s="28"/>
      <c r="Z519" s="28"/>
    </row>
    <row r="520" spans="13:26" ht="14.25" customHeight="1">
      <c r="M520" s="28"/>
      <c r="Z520" s="28"/>
    </row>
    <row r="521" spans="13:26" ht="14.25" customHeight="1">
      <c r="M521" s="28"/>
      <c r="Z521" s="28"/>
    </row>
    <row r="522" spans="13:26" ht="14.25" customHeight="1">
      <c r="M522" s="28"/>
      <c r="Z522" s="28"/>
    </row>
    <row r="523" spans="13:26" ht="14.25" customHeight="1">
      <c r="M523" s="28"/>
      <c r="Z523" s="28"/>
    </row>
    <row r="524" spans="13:26" ht="14.25" customHeight="1">
      <c r="M524" s="28"/>
      <c r="Z524" s="28"/>
    </row>
    <row r="525" spans="13:26" ht="14.25" customHeight="1">
      <c r="M525" s="28"/>
      <c r="Z525" s="28"/>
    </row>
    <row r="526" spans="13:26" ht="14.25" customHeight="1">
      <c r="M526" s="28"/>
      <c r="Z526" s="28"/>
    </row>
    <row r="527" spans="13:26" ht="14.25" customHeight="1">
      <c r="M527" s="28"/>
      <c r="Z527" s="28"/>
    </row>
    <row r="528" spans="13:26" ht="14.25" customHeight="1">
      <c r="M528" s="28"/>
      <c r="Z528" s="28"/>
    </row>
    <row r="529" spans="13:26" ht="14.25" customHeight="1">
      <c r="M529" s="28"/>
      <c r="Z529" s="28"/>
    </row>
    <row r="530" spans="13:26" ht="14.25" customHeight="1">
      <c r="M530" s="28"/>
      <c r="Z530" s="28"/>
    </row>
    <row r="531" spans="13:26" ht="14.25" customHeight="1">
      <c r="M531" s="28"/>
      <c r="Z531" s="28"/>
    </row>
    <row r="532" spans="13:26" ht="14.25" customHeight="1">
      <c r="M532" s="28"/>
      <c r="Z532" s="28"/>
    </row>
    <row r="533" spans="13:26" ht="14.25" customHeight="1">
      <c r="M533" s="28"/>
      <c r="Z533" s="28"/>
    </row>
    <row r="534" spans="13:26" ht="14.25" customHeight="1">
      <c r="M534" s="28"/>
      <c r="Z534" s="28"/>
    </row>
    <row r="535" spans="13:26" ht="14.25" customHeight="1">
      <c r="M535" s="28"/>
      <c r="Z535" s="28"/>
    </row>
    <row r="536" spans="13:26" ht="14.25" customHeight="1">
      <c r="M536" s="28"/>
      <c r="Z536" s="28"/>
    </row>
    <row r="537" spans="13:26" ht="14.25" customHeight="1">
      <c r="M537" s="28"/>
      <c r="Z537" s="28"/>
    </row>
    <row r="538" spans="13:26" ht="14.25" customHeight="1">
      <c r="M538" s="28"/>
      <c r="Z538" s="28"/>
    </row>
    <row r="539" spans="13:26" ht="14.25" customHeight="1">
      <c r="M539" s="28"/>
      <c r="Z539" s="28"/>
    </row>
    <row r="540" spans="13:26" ht="14.25" customHeight="1">
      <c r="M540" s="28"/>
      <c r="Z540" s="28"/>
    </row>
    <row r="541" spans="13:26" ht="14.25" customHeight="1">
      <c r="M541" s="28"/>
      <c r="Z541" s="28"/>
    </row>
    <row r="542" spans="13:26" ht="14.25" customHeight="1">
      <c r="M542" s="28"/>
      <c r="Z542" s="28"/>
    </row>
    <row r="543" spans="13:26" ht="14.25" customHeight="1">
      <c r="M543" s="28"/>
      <c r="Z543" s="28"/>
    </row>
    <row r="544" spans="13:26" ht="14.25" customHeight="1">
      <c r="M544" s="28"/>
      <c r="Z544" s="28"/>
    </row>
    <row r="545" spans="13:26" ht="14.25" customHeight="1">
      <c r="M545" s="28"/>
      <c r="Z545" s="28"/>
    </row>
    <row r="546" spans="13:26" ht="14.25" customHeight="1">
      <c r="M546" s="28"/>
      <c r="Z546" s="28"/>
    </row>
    <row r="547" spans="13:26" ht="14.25" customHeight="1">
      <c r="M547" s="28"/>
      <c r="Z547" s="28"/>
    </row>
    <row r="548" spans="13:26" ht="14.25" customHeight="1">
      <c r="M548" s="28"/>
      <c r="Z548" s="28"/>
    </row>
    <row r="549" spans="13:26" ht="14.25" customHeight="1">
      <c r="M549" s="28"/>
      <c r="Z549" s="28"/>
    </row>
    <row r="550" spans="13:26" ht="14.25" customHeight="1">
      <c r="M550" s="28"/>
      <c r="Z550" s="28"/>
    </row>
    <row r="551" spans="13:26" ht="14.25" customHeight="1">
      <c r="M551" s="28"/>
      <c r="Z551" s="28"/>
    </row>
    <row r="552" spans="13:26" ht="14.25" customHeight="1">
      <c r="M552" s="28"/>
      <c r="Z552" s="28"/>
    </row>
    <row r="553" spans="13:26" ht="14.25" customHeight="1">
      <c r="M553" s="28"/>
      <c r="Z553" s="28"/>
    </row>
    <row r="554" spans="13:26" ht="14.25" customHeight="1">
      <c r="M554" s="28"/>
      <c r="Z554" s="28"/>
    </row>
    <row r="555" spans="13:26" ht="14.25" customHeight="1">
      <c r="M555" s="28"/>
      <c r="Z555" s="28"/>
    </row>
    <row r="556" spans="13:26" ht="14.25" customHeight="1">
      <c r="M556" s="28"/>
      <c r="Z556" s="28"/>
    </row>
    <row r="557" spans="13:26" ht="14.25" customHeight="1">
      <c r="M557" s="28"/>
      <c r="Z557" s="28"/>
    </row>
    <row r="558" spans="13:26" ht="14.25" customHeight="1">
      <c r="M558" s="28"/>
      <c r="Z558" s="28"/>
    </row>
    <row r="559" spans="13:26" ht="14.25" customHeight="1">
      <c r="M559" s="28"/>
      <c r="Z559" s="28"/>
    </row>
    <row r="560" spans="13:26" ht="14.25" customHeight="1">
      <c r="M560" s="28"/>
      <c r="Z560" s="28"/>
    </row>
    <row r="561" spans="13:26" ht="14.25" customHeight="1">
      <c r="M561" s="28"/>
      <c r="Z561" s="28"/>
    </row>
    <row r="562" spans="13:26" ht="14.25" customHeight="1">
      <c r="M562" s="28"/>
      <c r="Z562" s="28"/>
    </row>
    <row r="563" spans="13:26" ht="14.25" customHeight="1">
      <c r="M563" s="28"/>
      <c r="Z563" s="28"/>
    </row>
    <row r="564" spans="13:26" ht="14.25" customHeight="1">
      <c r="M564" s="28"/>
      <c r="Z564" s="28"/>
    </row>
    <row r="565" spans="13:26" ht="14.25" customHeight="1">
      <c r="M565" s="28"/>
      <c r="Z565" s="28"/>
    </row>
    <row r="566" spans="13:26" ht="14.25" customHeight="1">
      <c r="M566" s="28"/>
      <c r="Z566" s="28"/>
    </row>
    <row r="567" spans="13:26" ht="14.25" customHeight="1">
      <c r="M567" s="28"/>
      <c r="Z567" s="28"/>
    </row>
    <row r="568" spans="13:26" ht="14.25" customHeight="1">
      <c r="M568" s="28"/>
      <c r="Z568" s="28"/>
    </row>
    <row r="569" spans="13:26" ht="14.25" customHeight="1">
      <c r="M569" s="28"/>
      <c r="Z569" s="28"/>
    </row>
    <row r="570" spans="13:26" ht="14.25" customHeight="1">
      <c r="M570" s="28"/>
      <c r="Z570" s="28"/>
    </row>
    <row r="571" spans="13:26" ht="14.25" customHeight="1">
      <c r="M571" s="28"/>
      <c r="Z571" s="28"/>
    </row>
    <row r="572" spans="13:26" ht="14.25" customHeight="1">
      <c r="M572" s="28"/>
      <c r="Z572" s="28"/>
    </row>
    <row r="573" spans="13:26" ht="14.25" customHeight="1">
      <c r="M573" s="28"/>
      <c r="Z573" s="28"/>
    </row>
    <row r="574" spans="13:26" ht="14.25" customHeight="1">
      <c r="M574" s="28"/>
      <c r="Z574" s="28"/>
    </row>
    <row r="575" spans="13:26" ht="14.25" customHeight="1">
      <c r="M575" s="28"/>
      <c r="Z575" s="28"/>
    </row>
    <row r="576" spans="13:26" ht="14.25" customHeight="1">
      <c r="M576" s="28"/>
      <c r="Z576" s="28"/>
    </row>
    <row r="577" spans="13:26" ht="14.25" customHeight="1">
      <c r="M577" s="28"/>
      <c r="Z577" s="28"/>
    </row>
    <row r="578" spans="13:26" ht="14.25" customHeight="1">
      <c r="M578" s="28"/>
      <c r="Z578" s="28"/>
    </row>
    <row r="579" spans="13:26" ht="14.25" customHeight="1">
      <c r="M579" s="28"/>
      <c r="Z579" s="28"/>
    </row>
    <row r="580" spans="13:26" ht="14.25" customHeight="1">
      <c r="M580" s="28"/>
      <c r="Z580" s="28"/>
    </row>
    <row r="581" spans="13:26" ht="14.25" customHeight="1">
      <c r="M581" s="28"/>
      <c r="Z581" s="28"/>
    </row>
    <row r="582" spans="13:26" ht="14.25" customHeight="1">
      <c r="M582" s="28"/>
      <c r="Z582" s="28"/>
    </row>
    <row r="583" spans="13:26" ht="14.25" customHeight="1">
      <c r="M583" s="28"/>
      <c r="Z583" s="28"/>
    </row>
    <row r="584" spans="13:26" ht="14.25" customHeight="1">
      <c r="M584" s="28"/>
      <c r="Z584" s="28"/>
    </row>
    <row r="585" spans="13:26" ht="14.25" customHeight="1">
      <c r="M585" s="28"/>
      <c r="Z585" s="28"/>
    </row>
    <row r="586" spans="13:26" ht="14.25" customHeight="1">
      <c r="M586" s="28"/>
      <c r="Z586" s="28"/>
    </row>
    <row r="587" spans="13:26" ht="14.25" customHeight="1">
      <c r="M587" s="28"/>
      <c r="Z587" s="28"/>
    </row>
    <row r="588" spans="13:26" ht="14.25" customHeight="1">
      <c r="M588" s="28"/>
      <c r="Z588" s="28"/>
    </row>
    <row r="589" spans="13:26" ht="14.25" customHeight="1">
      <c r="M589" s="28"/>
      <c r="Z589" s="28"/>
    </row>
    <row r="590" spans="13:26" ht="14.25" customHeight="1">
      <c r="M590" s="28"/>
      <c r="Z590" s="28"/>
    </row>
    <row r="591" spans="13:26" ht="14.25" customHeight="1">
      <c r="M591" s="28"/>
      <c r="Z591" s="28"/>
    </row>
    <row r="592" spans="13:26" ht="14.25" customHeight="1">
      <c r="M592" s="28"/>
      <c r="Z592" s="28"/>
    </row>
    <row r="593" spans="13:26" ht="14.25" customHeight="1">
      <c r="M593" s="28"/>
      <c r="Z593" s="28"/>
    </row>
    <row r="594" spans="13:26" ht="14.25" customHeight="1">
      <c r="M594" s="28"/>
      <c r="Z594" s="28"/>
    </row>
    <row r="595" spans="13:26" ht="14.25" customHeight="1">
      <c r="M595" s="28"/>
      <c r="Z595" s="28"/>
    </row>
    <row r="596" spans="13:26" ht="14.25" customHeight="1">
      <c r="M596" s="28"/>
      <c r="Z596" s="28"/>
    </row>
    <row r="597" spans="13:26" ht="14.25" customHeight="1">
      <c r="M597" s="28"/>
      <c r="Z597" s="28"/>
    </row>
    <row r="598" spans="13:26" ht="14.25" customHeight="1">
      <c r="M598" s="28"/>
      <c r="Z598" s="28"/>
    </row>
    <row r="599" spans="13:26" ht="14.25" customHeight="1">
      <c r="M599" s="28"/>
      <c r="Z599" s="28"/>
    </row>
    <row r="600" spans="13:26" ht="14.25" customHeight="1">
      <c r="M600" s="28"/>
      <c r="Z600" s="28"/>
    </row>
    <row r="601" spans="13:26" ht="14.25" customHeight="1">
      <c r="M601" s="28"/>
      <c r="Z601" s="28"/>
    </row>
    <row r="602" spans="13:26" ht="14.25" customHeight="1">
      <c r="M602" s="28"/>
      <c r="Z602" s="28"/>
    </row>
    <row r="603" spans="13:26" ht="14.25" customHeight="1">
      <c r="M603" s="28"/>
      <c r="Z603" s="28"/>
    </row>
    <row r="604" spans="13:26" ht="14.25" customHeight="1">
      <c r="M604" s="28"/>
      <c r="Z604" s="28"/>
    </row>
    <row r="605" spans="13:26" ht="14.25" customHeight="1">
      <c r="M605" s="28"/>
      <c r="Z605" s="28"/>
    </row>
    <row r="606" spans="13:26" ht="14.25" customHeight="1">
      <c r="M606" s="28"/>
      <c r="Z606" s="28"/>
    </row>
    <row r="607" spans="13:26" ht="14.25" customHeight="1">
      <c r="M607" s="28"/>
      <c r="Z607" s="28"/>
    </row>
    <row r="608" spans="13:26" ht="14.25" customHeight="1">
      <c r="M608" s="28"/>
      <c r="Z608" s="28"/>
    </row>
    <row r="609" spans="13:26" ht="14.25" customHeight="1">
      <c r="M609" s="28"/>
      <c r="Z609" s="28"/>
    </row>
    <row r="610" spans="13:26" ht="14.25" customHeight="1">
      <c r="M610" s="28"/>
      <c r="Z610" s="28"/>
    </row>
    <row r="611" spans="13:26" ht="14.25" customHeight="1">
      <c r="M611" s="28"/>
      <c r="Z611" s="28"/>
    </row>
    <row r="612" spans="13:26" ht="14.25" customHeight="1">
      <c r="M612" s="28"/>
      <c r="Z612" s="28"/>
    </row>
    <row r="613" spans="13:26" ht="14.25" customHeight="1">
      <c r="M613" s="28"/>
      <c r="Z613" s="28"/>
    </row>
    <row r="614" spans="13:26" ht="14.25" customHeight="1">
      <c r="M614" s="28"/>
      <c r="Z614" s="28"/>
    </row>
    <row r="615" spans="13:26" ht="14.25" customHeight="1">
      <c r="M615" s="28"/>
      <c r="Z615" s="28"/>
    </row>
    <row r="616" spans="13:26" ht="14.25" customHeight="1">
      <c r="M616" s="28"/>
      <c r="Z616" s="28"/>
    </row>
    <row r="617" spans="13:26" ht="14.25" customHeight="1">
      <c r="M617" s="28"/>
      <c r="Z617" s="28"/>
    </row>
    <row r="618" spans="13:26" ht="14.25" customHeight="1">
      <c r="M618" s="28"/>
      <c r="Z618" s="28"/>
    </row>
    <row r="619" spans="13:26" ht="14.25" customHeight="1">
      <c r="M619" s="28"/>
      <c r="Z619" s="28"/>
    </row>
    <row r="620" spans="13:26" ht="14.25" customHeight="1">
      <c r="M620" s="28"/>
      <c r="Z620" s="28"/>
    </row>
    <row r="621" spans="13:26" ht="14.25" customHeight="1">
      <c r="M621" s="28"/>
      <c r="Z621" s="28"/>
    </row>
    <row r="622" spans="13:26" ht="14.25" customHeight="1">
      <c r="M622" s="28"/>
      <c r="Z622" s="28"/>
    </row>
    <row r="623" spans="13:26" ht="14.25" customHeight="1">
      <c r="M623" s="28"/>
      <c r="Z623" s="28"/>
    </row>
    <row r="624" spans="13:26" ht="14.25" customHeight="1">
      <c r="M624" s="28"/>
      <c r="Z624" s="28"/>
    </row>
    <row r="625" spans="13:26" ht="14.25" customHeight="1">
      <c r="M625" s="28"/>
      <c r="Z625" s="28"/>
    </row>
    <row r="626" spans="13:26" ht="14.25" customHeight="1">
      <c r="M626" s="28"/>
      <c r="Z626" s="28"/>
    </row>
    <row r="627" spans="13:26" ht="14.25" customHeight="1">
      <c r="M627" s="28"/>
      <c r="Z627" s="28"/>
    </row>
    <row r="628" spans="13:26" ht="14.25" customHeight="1">
      <c r="M628" s="28"/>
      <c r="Z628" s="28"/>
    </row>
    <row r="629" spans="13:26" ht="14.25" customHeight="1">
      <c r="M629" s="28"/>
      <c r="Z629" s="28"/>
    </row>
    <row r="630" spans="13:26" ht="14.25" customHeight="1">
      <c r="M630" s="28"/>
      <c r="Z630" s="28"/>
    </row>
    <row r="631" spans="13:26" ht="14.25" customHeight="1">
      <c r="M631" s="28"/>
      <c r="Z631" s="28"/>
    </row>
    <row r="632" spans="13:26" ht="14.25" customHeight="1">
      <c r="M632" s="28"/>
      <c r="Z632" s="28"/>
    </row>
    <row r="633" spans="13:26" ht="14.25" customHeight="1">
      <c r="M633" s="28"/>
      <c r="Z633" s="28"/>
    </row>
    <row r="634" spans="13:26" ht="14.25" customHeight="1">
      <c r="M634" s="28"/>
      <c r="Z634" s="28"/>
    </row>
    <row r="635" spans="13:26" ht="14.25" customHeight="1">
      <c r="M635" s="28"/>
      <c r="Z635" s="28"/>
    </row>
    <row r="636" spans="13:26" ht="14.25" customHeight="1">
      <c r="M636" s="28"/>
      <c r="Z636" s="28"/>
    </row>
    <row r="637" spans="13:26" ht="14.25" customHeight="1">
      <c r="M637" s="28"/>
      <c r="Z637" s="28"/>
    </row>
    <row r="638" spans="13:26" ht="14.25" customHeight="1">
      <c r="M638" s="28"/>
      <c r="Z638" s="28"/>
    </row>
    <row r="639" spans="13:26" ht="14.25" customHeight="1">
      <c r="M639" s="28"/>
      <c r="Z639" s="28"/>
    </row>
    <row r="640" spans="13:26" ht="14.25" customHeight="1">
      <c r="M640" s="28"/>
      <c r="Z640" s="28"/>
    </row>
    <row r="641" spans="13:26" ht="14.25" customHeight="1">
      <c r="M641" s="28"/>
      <c r="Z641" s="28"/>
    </row>
    <row r="642" spans="13:26" ht="14.25" customHeight="1">
      <c r="M642" s="28"/>
      <c r="Z642" s="28"/>
    </row>
    <row r="643" spans="13:26" ht="14.25" customHeight="1">
      <c r="M643" s="28"/>
      <c r="Z643" s="28"/>
    </row>
    <row r="644" spans="13:26" ht="14.25" customHeight="1">
      <c r="M644" s="28"/>
      <c r="Z644" s="28"/>
    </row>
    <row r="645" spans="13:26" ht="14.25" customHeight="1">
      <c r="M645" s="28"/>
      <c r="Z645" s="28"/>
    </row>
    <row r="646" spans="13:26" ht="14.25" customHeight="1">
      <c r="M646" s="28"/>
      <c r="Z646" s="28"/>
    </row>
    <row r="647" spans="13:26" ht="14.25" customHeight="1">
      <c r="M647" s="28"/>
      <c r="Z647" s="28"/>
    </row>
    <row r="648" spans="13:26" ht="14.25" customHeight="1">
      <c r="M648" s="28"/>
      <c r="Z648" s="28"/>
    </row>
    <row r="649" spans="13:26" ht="14.25" customHeight="1">
      <c r="M649" s="28"/>
      <c r="Z649" s="28"/>
    </row>
    <row r="650" spans="13:26" ht="14.25" customHeight="1">
      <c r="M650" s="28"/>
      <c r="Z650" s="28"/>
    </row>
    <row r="651" spans="13:26" ht="14.25" customHeight="1">
      <c r="M651" s="28"/>
      <c r="Z651" s="28"/>
    </row>
    <row r="652" spans="13:26" ht="14.25" customHeight="1">
      <c r="M652" s="28"/>
      <c r="Z652" s="28"/>
    </row>
    <row r="653" spans="13:26" ht="14.25" customHeight="1">
      <c r="M653" s="28"/>
      <c r="Z653" s="28"/>
    </row>
    <row r="654" spans="13:26" ht="14.25" customHeight="1">
      <c r="M654" s="28"/>
      <c r="Z654" s="28"/>
    </row>
    <row r="655" spans="13:26" ht="14.25" customHeight="1">
      <c r="M655" s="28"/>
      <c r="Z655" s="28"/>
    </row>
    <row r="656" spans="13:26" ht="14.25" customHeight="1">
      <c r="M656" s="28"/>
      <c r="Z656" s="28"/>
    </row>
    <row r="657" spans="13:26" ht="14.25" customHeight="1">
      <c r="M657" s="28"/>
      <c r="Z657" s="28"/>
    </row>
    <row r="658" spans="13:26" ht="14.25" customHeight="1">
      <c r="M658" s="28"/>
      <c r="Z658" s="28"/>
    </row>
    <row r="659" spans="13:26" ht="14.25" customHeight="1">
      <c r="M659" s="28"/>
      <c r="Z659" s="28"/>
    </row>
    <row r="660" spans="13:26" ht="14.25" customHeight="1">
      <c r="M660" s="28"/>
      <c r="Z660" s="28"/>
    </row>
    <row r="661" spans="13:26" ht="14.25" customHeight="1">
      <c r="M661" s="28"/>
      <c r="Z661" s="28"/>
    </row>
    <row r="662" spans="13:26" ht="14.25" customHeight="1">
      <c r="M662" s="28"/>
      <c r="Z662" s="28"/>
    </row>
    <row r="663" spans="13:26" ht="14.25" customHeight="1">
      <c r="M663" s="28"/>
      <c r="Z663" s="28"/>
    </row>
    <row r="664" spans="13:26" ht="14.25" customHeight="1">
      <c r="M664" s="28"/>
      <c r="Z664" s="28"/>
    </row>
    <row r="665" spans="13:26" ht="14.25" customHeight="1">
      <c r="M665" s="28"/>
      <c r="Z665" s="28"/>
    </row>
    <row r="666" spans="13:26" ht="14.25" customHeight="1">
      <c r="M666" s="28"/>
      <c r="Z666" s="28"/>
    </row>
    <row r="667" spans="13:26" ht="14.25" customHeight="1">
      <c r="M667" s="28"/>
      <c r="Z667" s="28"/>
    </row>
    <row r="668" spans="13:26" ht="14.25" customHeight="1">
      <c r="M668" s="28"/>
      <c r="Z668" s="28"/>
    </row>
    <row r="669" spans="13:26" ht="14.25" customHeight="1">
      <c r="M669" s="28"/>
      <c r="Z669" s="28"/>
    </row>
    <row r="670" spans="13:26" ht="14.25" customHeight="1">
      <c r="M670" s="28"/>
      <c r="Z670" s="28"/>
    </row>
    <row r="671" spans="13:26" ht="14.25" customHeight="1">
      <c r="M671" s="28"/>
      <c r="Z671" s="28"/>
    </row>
    <row r="672" spans="13:26" ht="14.25" customHeight="1">
      <c r="M672" s="28"/>
      <c r="Z672" s="28"/>
    </row>
    <row r="673" spans="13:26" ht="14.25" customHeight="1">
      <c r="M673" s="28"/>
      <c r="Z673" s="28"/>
    </row>
    <row r="674" spans="13:26" ht="14.25" customHeight="1">
      <c r="M674" s="28"/>
      <c r="Z674" s="28"/>
    </row>
    <row r="675" spans="13:26" ht="14.25" customHeight="1">
      <c r="M675" s="28"/>
      <c r="Z675" s="28"/>
    </row>
    <row r="676" spans="13:26" ht="14.25" customHeight="1">
      <c r="M676" s="28"/>
      <c r="Z676" s="28"/>
    </row>
    <row r="677" spans="13:26" ht="14.25" customHeight="1">
      <c r="M677" s="28"/>
      <c r="Z677" s="28"/>
    </row>
    <row r="678" spans="13:26" ht="14.25" customHeight="1">
      <c r="M678" s="28"/>
      <c r="Z678" s="28"/>
    </row>
    <row r="679" spans="13:26" ht="14.25" customHeight="1">
      <c r="M679" s="28"/>
      <c r="Z679" s="28"/>
    </row>
    <row r="680" spans="13:26" ht="14.25" customHeight="1">
      <c r="M680" s="28"/>
      <c r="Z680" s="28"/>
    </row>
    <row r="681" spans="13:26" ht="14.25" customHeight="1">
      <c r="M681" s="28"/>
      <c r="Z681" s="28"/>
    </row>
    <row r="682" spans="13:26" ht="14.25" customHeight="1">
      <c r="M682" s="28"/>
      <c r="Z682" s="28"/>
    </row>
    <row r="683" spans="13:26" ht="14.25" customHeight="1">
      <c r="M683" s="28"/>
      <c r="Z683" s="28"/>
    </row>
    <row r="684" spans="13:26" ht="14.25" customHeight="1">
      <c r="M684" s="28"/>
      <c r="Z684" s="28"/>
    </row>
    <row r="685" spans="13:26" ht="14.25" customHeight="1">
      <c r="M685" s="28"/>
      <c r="Z685" s="28"/>
    </row>
    <row r="686" spans="13:26" ht="14.25" customHeight="1">
      <c r="M686" s="28"/>
      <c r="Z686" s="28"/>
    </row>
    <row r="687" spans="13:26" ht="14.25" customHeight="1">
      <c r="M687" s="28"/>
      <c r="Z687" s="28"/>
    </row>
    <row r="688" spans="13:26" ht="14.25" customHeight="1">
      <c r="M688" s="28"/>
      <c r="Z688" s="28"/>
    </row>
    <row r="689" spans="13:26" ht="14.25" customHeight="1">
      <c r="M689" s="28"/>
      <c r="Z689" s="28"/>
    </row>
    <row r="690" spans="13:26" ht="14.25" customHeight="1">
      <c r="M690" s="28"/>
      <c r="Z690" s="28"/>
    </row>
    <row r="691" spans="13:26" ht="14.25" customHeight="1">
      <c r="M691" s="28"/>
      <c r="Z691" s="28"/>
    </row>
    <row r="692" spans="13:26" ht="14.25" customHeight="1">
      <c r="M692" s="28"/>
      <c r="Z692" s="28"/>
    </row>
    <row r="693" spans="13:26" ht="14.25" customHeight="1">
      <c r="M693" s="28"/>
      <c r="Z693" s="28"/>
    </row>
    <row r="694" spans="13:26" ht="14.25" customHeight="1">
      <c r="M694" s="28"/>
      <c r="Z694" s="28"/>
    </row>
    <row r="695" spans="13:26" ht="14.25" customHeight="1">
      <c r="M695" s="28"/>
      <c r="Z695" s="28"/>
    </row>
    <row r="696" spans="13:26" ht="14.25" customHeight="1">
      <c r="M696" s="28"/>
      <c r="Z696" s="28"/>
    </row>
    <row r="697" spans="13:26" ht="14.25" customHeight="1">
      <c r="M697" s="28"/>
      <c r="Z697" s="28"/>
    </row>
    <row r="698" spans="13:26" ht="14.25" customHeight="1">
      <c r="M698" s="28"/>
      <c r="Z698" s="28"/>
    </row>
    <row r="699" spans="13:26" ht="14.25" customHeight="1">
      <c r="M699" s="28"/>
      <c r="Z699" s="28"/>
    </row>
    <row r="700" spans="13:26" ht="14.25" customHeight="1">
      <c r="M700" s="28"/>
      <c r="Z700" s="28"/>
    </row>
    <row r="701" spans="13:26" ht="14.25" customHeight="1">
      <c r="M701" s="28"/>
      <c r="Z701" s="28"/>
    </row>
    <row r="702" spans="13:26" ht="14.25" customHeight="1">
      <c r="M702" s="28"/>
      <c r="Z702" s="28"/>
    </row>
    <row r="703" spans="13:26" ht="14.25" customHeight="1">
      <c r="M703" s="28"/>
      <c r="Z703" s="28"/>
    </row>
    <row r="704" spans="13:26" ht="14.25" customHeight="1">
      <c r="M704" s="28"/>
      <c r="Z704" s="28"/>
    </row>
    <row r="705" spans="13:26" ht="14.25" customHeight="1">
      <c r="M705" s="28"/>
      <c r="Z705" s="28"/>
    </row>
    <row r="706" spans="13:26" ht="14.25" customHeight="1">
      <c r="M706" s="28"/>
      <c r="Z706" s="28"/>
    </row>
    <row r="707" spans="13:26" ht="14.25" customHeight="1">
      <c r="M707" s="28"/>
      <c r="Z707" s="28"/>
    </row>
    <row r="708" spans="13:26" ht="14.25" customHeight="1">
      <c r="M708" s="28"/>
      <c r="Z708" s="28"/>
    </row>
    <row r="709" spans="13:26" ht="14.25" customHeight="1">
      <c r="M709" s="28"/>
      <c r="Z709" s="28"/>
    </row>
    <row r="710" spans="13:26" ht="14.25" customHeight="1">
      <c r="M710" s="28"/>
      <c r="Z710" s="28"/>
    </row>
    <row r="711" spans="13:26" ht="14.25" customHeight="1">
      <c r="M711" s="28"/>
      <c r="Z711" s="28"/>
    </row>
    <row r="712" spans="13:26" ht="14.25" customHeight="1">
      <c r="M712" s="28"/>
      <c r="Z712" s="28"/>
    </row>
    <row r="713" spans="13:26" ht="14.25" customHeight="1">
      <c r="M713" s="28"/>
      <c r="Z713" s="28"/>
    </row>
    <row r="714" spans="13:26" ht="14.25" customHeight="1">
      <c r="M714" s="28"/>
      <c r="Z714" s="28"/>
    </row>
    <row r="715" spans="13:26" ht="14.25" customHeight="1">
      <c r="M715" s="28"/>
      <c r="Z715" s="28"/>
    </row>
    <row r="716" spans="13:26" ht="14.25" customHeight="1">
      <c r="M716" s="28"/>
      <c r="Z716" s="28"/>
    </row>
    <row r="717" spans="13:26" ht="14.25" customHeight="1">
      <c r="M717" s="28"/>
      <c r="Z717" s="28"/>
    </row>
    <row r="718" spans="13:26" ht="14.25" customHeight="1">
      <c r="M718" s="28"/>
      <c r="Z718" s="28"/>
    </row>
    <row r="719" spans="13:26" ht="14.25" customHeight="1">
      <c r="M719" s="28"/>
      <c r="Z719" s="28"/>
    </row>
    <row r="720" spans="13:26" ht="14.25" customHeight="1">
      <c r="M720" s="28"/>
      <c r="Z720" s="28"/>
    </row>
    <row r="721" spans="13:26" ht="14.25" customHeight="1">
      <c r="M721" s="28"/>
      <c r="Z721" s="28"/>
    </row>
    <row r="722" spans="13:26" ht="14.25" customHeight="1">
      <c r="M722" s="28"/>
      <c r="Z722" s="28"/>
    </row>
    <row r="723" spans="13:26" ht="14.25" customHeight="1">
      <c r="M723" s="28"/>
      <c r="Z723" s="28"/>
    </row>
    <row r="724" spans="13:26" ht="14.25" customHeight="1">
      <c r="M724" s="28"/>
      <c r="Z724" s="28"/>
    </row>
    <row r="725" spans="13:26" ht="14.25" customHeight="1">
      <c r="M725" s="28"/>
      <c r="Z725" s="28"/>
    </row>
    <row r="726" spans="13:26" ht="14.25" customHeight="1">
      <c r="M726" s="28"/>
      <c r="Z726" s="28"/>
    </row>
    <row r="727" spans="13:26" ht="14.25" customHeight="1">
      <c r="M727" s="28"/>
      <c r="Z727" s="28"/>
    </row>
    <row r="728" spans="13:26" ht="14.25" customHeight="1">
      <c r="M728" s="28"/>
      <c r="Z728" s="28"/>
    </row>
    <row r="729" spans="13:26" ht="14.25" customHeight="1">
      <c r="M729" s="28"/>
      <c r="Z729" s="28"/>
    </row>
    <row r="730" spans="13:26" ht="14.25" customHeight="1">
      <c r="M730" s="28"/>
      <c r="Z730" s="28"/>
    </row>
    <row r="731" spans="13:26" ht="14.25" customHeight="1">
      <c r="M731" s="28"/>
      <c r="Z731" s="28"/>
    </row>
    <row r="732" spans="13:26" ht="14.25" customHeight="1">
      <c r="M732" s="28"/>
      <c r="Z732" s="28"/>
    </row>
    <row r="733" spans="13:26" ht="14.25" customHeight="1">
      <c r="M733" s="28"/>
      <c r="Z733" s="28"/>
    </row>
    <row r="734" spans="13:26" ht="14.25" customHeight="1">
      <c r="M734" s="28"/>
      <c r="Z734" s="28"/>
    </row>
    <row r="735" spans="13:26" ht="14.25" customHeight="1">
      <c r="M735" s="28"/>
      <c r="Z735" s="28"/>
    </row>
    <row r="736" spans="13:26" ht="14.25" customHeight="1">
      <c r="M736" s="28"/>
      <c r="Z736" s="28"/>
    </row>
    <row r="737" spans="13:26" ht="14.25" customHeight="1">
      <c r="M737" s="28"/>
      <c r="Z737" s="28"/>
    </row>
    <row r="738" spans="13:26" ht="14.25" customHeight="1">
      <c r="M738" s="28"/>
      <c r="Z738" s="28"/>
    </row>
    <row r="739" spans="13:26" ht="14.25" customHeight="1">
      <c r="M739" s="28"/>
      <c r="Z739" s="28"/>
    </row>
    <row r="740" spans="13:26" ht="14.25" customHeight="1">
      <c r="M740" s="28"/>
      <c r="Z740" s="28"/>
    </row>
    <row r="741" spans="13:26" ht="14.25" customHeight="1">
      <c r="M741" s="28"/>
      <c r="Z741" s="28"/>
    </row>
    <row r="742" spans="13:26" ht="14.25" customHeight="1">
      <c r="M742" s="28"/>
      <c r="Z742" s="28"/>
    </row>
    <row r="743" spans="13:26" ht="14.25" customHeight="1">
      <c r="M743" s="28"/>
      <c r="Z743" s="28"/>
    </row>
    <row r="744" spans="13:26" ht="14.25" customHeight="1">
      <c r="M744" s="28"/>
      <c r="Z744" s="28"/>
    </row>
    <row r="745" spans="13:26" ht="14.25" customHeight="1">
      <c r="M745" s="28"/>
      <c r="Z745" s="28"/>
    </row>
    <row r="746" spans="13:26" ht="14.25" customHeight="1">
      <c r="M746" s="28"/>
      <c r="Z746" s="28"/>
    </row>
    <row r="747" spans="13:26" ht="14.25" customHeight="1">
      <c r="M747" s="28"/>
      <c r="Z747" s="28"/>
    </row>
    <row r="748" spans="13:26" ht="14.25" customHeight="1">
      <c r="M748" s="28"/>
      <c r="Z748" s="28"/>
    </row>
    <row r="749" spans="13:26" ht="14.25" customHeight="1">
      <c r="M749" s="28"/>
      <c r="Z749" s="28"/>
    </row>
    <row r="750" spans="13:26" ht="14.25" customHeight="1">
      <c r="M750" s="28"/>
      <c r="Z750" s="28"/>
    </row>
    <row r="751" spans="13:26" ht="14.25" customHeight="1">
      <c r="M751" s="28"/>
      <c r="Z751" s="28"/>
    </row>
    <row r="752" spans="13:26" ht="14.25" customHeight="1">
      <c r="M752" s="28"/>
      <c r="Z752" s="28"/>
    </row>
    <row r="753" spans="13:26" ht="14.25" customHeight="1">
      <c r="M753" s="28"/>
      <c r="Z753" s="28"/>
    </row>
    <row r="754" spans="13:26" ht="14.25" customHeight="1">
      <c r="M754" s="28"/>
      <c r="Z754" s="28"/>
    </row>
    <row r="755" spans="13:26" ht="14.25" customHeight="1">
      <c r="M755" s="28"/>
      <c r="Z755" s="28"/>
    </row>
    <row r="756" spans="13:26" ht="14.25" customHeight="1">
      <c r="M756" s="28"/>
      <c r="Z756" s="28"/>
    </row>
    <row r="757" spans="13:26" ht="14.25" customHeight="1">
      <c r="M757" s="28"/>
      <c r="Z757" s="28"/>
    </row>
    <row r="758" spans="13:26" ht="14.25" customHeight="1">
      <c r="M758" s="28"/>
      <c r="Z758" s="28"/>
    </row>
    <row r="759" spans="13:26" ht="14.25" customHeight="1">
      <c r="M759" s="28"/>
      <c r="Z759" s="28"/>
    </row>
    <row r="760" spans="13:26" ht="14.25" customHeight="1">
      <c r="M760" s="28"/>
      <c r="Z760" s="28"/>
    </row>
    <row r="761" spans="13:26" ht="14.25" customHeight="1">
      <c r="M761" s="28"/>
      <c r="Z761" s="28"/>
    </row>
    <row r="762" spans="13:26" ht="14.25" customHeight="1">
      <c r="M762" s="28"/>
      <c r="Z762" s="28"/>
    </row>
    <row r="763" spans="13:26" ht="14.25" customHeight="1">
      <c r="M763" s="28"/>
      <c r="Z763" s="28"/>
    </row>
    <row r="764" spans="13:26" ht="14.25" customHeight="1">
      <c r="M764" s="28"/>
      <c r="Z764" s="28"/>
    </row>
    <row r="765" spans="13:26" ht="14.25" customHeight="1">
      <c r="M765" s="28"/>
      <c r="Z765" s="28"/>
    </row>
    <row r="766" spans="13:26" ht="14.25" customHeight="1">
      <c r="M766" s="28"/>
      <c r="Z766" s="28"/>
    </row>
    <row r="767" spans="13:26" ht="14.25" customHeight="1">
      <c r="M767" s="28"/>
      <c r="Z767" s="28"/>
    </row>
    <row r="768" spans="13:26" ht="14.25" customHeight="1">
      <c r="M768" s="28"/>
      <c r="Z768" s="28"/>
    </row>
    <row r="769" spans="13:26" ht="14.25" customHeight="1">
      <c r="M769" s="28"/>
      <c r="Z769" s="28"/>
    </row>
    <row r="770" spans="13:26" ht="14.25" customHeight="1">
      <c r="M770" s="28"/>
      <c r="Z770" s="28"/>
    </row>
    <row r="771" spans="13:26" ht="14.25" customHeight="1">
      <c r="M771" s="28"/>
      <c r="Z771" s="28"/>
    </row>
    <row r="772" spans="13:26" ht="14.25" customHeight="1">
      <c r="M772" s="28"/>
      <c r="Z772" s="28"/>
    </row>
    <row r="773" spans="13:26" ht="14.25" customHeight="1">
      <c r="M773" s="28"/>
      <c r="Z773" s="28"/>
    </row>
    <row r="774" spans="13:26" ht="14.25" customHeight="1">
      <c r="M774" s="28"/>
      <c r="Z774" s="28"/>
    </row>
    <row r="775" spans="13:26" ht="14.25" customHeight="1">
      <c r="M775" s="28"/>
      <c r="Z775" s="28"/>
    </row>
    <row r="776" spans="13:26" ht="14.25" customHeight="1">
      <c r="M776" s="28"/>
      <c r="Z776" s="28"/>
    </row>
    <row r="777" spans="13:26" ht="14.25" customHeight="1">
      <c r="M777" s="28"/>
      <c r="Z777" s="28"/>
    </row>
    <row r="778" spans="13:26" ht="14.25" customHeight="1">
      <c r="M778" s="28"/>
      <c r="Z778" s="28"/>
    </row>
    <row r="779" spans="13:26" ht="14.25" customHeight="1">
      <c r="M779" s="28"/>
      <c r="Z779" s="28"/>
    </row>
    <row r="780" spans="13:26" ht="14.25" customHeight="1">
      <c r="M780" s="28"/>
      <c r="Z780" s="28"/>
    </row>
    <row r="781" spans="13:26" ht="14.25" customHeight="1">
      <c r="M781" s="28"/>
      <c r="Z781" s="28"/>
    </row>
    <row r="782" spans="13:26" ht="14.25" customHeight="1">
      <c r="M782" s="28"/>
      <c r="Z782" s="28"/>
    </row>
    <row r="783" spans="13:26" ht="14.25" customHeight="1">
      <c r="M783" s="28"/>
      <c r="Z783" s="28"/>
    </row>
    <row r="784" spans="13:26" ht="14.25" customHeight="1">
      <c r="M784" s="28"/>
      <c r="Z784" s="28"/>
    </row>
    <row r="785" spans="13:26" ht="14.25" customHeight="1">
      <c r="M785" s="28"/>
      <c r="Z785" s="28"/>
    </row>
    <row r="786" spans="13:26" ht="14.25" customHeight="1">
      <c r="M786" s="28"/>
      <c r="Z786" s="28"/>
    </row>
    <row r="787" spans="13:26" ht="14.25" customHeight="1">
      <c r="M787" s="28"/>
      <c r="Z787" s="28"/>
    </row>
    <row r="788" spans="13:26" ht="14.25" customHeight="1">
      <c r="M788" s="28"/>
      <c r="Z788" s="28"/>
    </row>
    <row r="789" spans="13:26" ht="14.25" customHeight="1">
      <c r="M789" s="28"/>
      <c r="Z789" s="28"/>
    </row>
    <row r="790" spans="13:26" ht="14.25" customHeight="1">
      <c r="M790" s="28"/>
      <c r="Z790" s="28"/>
    </row>
    <row r="791" spans="13:26" ht="14.25" customHeight="1">
      <c r="M791" s="28"/>
      <c r="Z791" s="28"/>
    </row>
    <row r="792" spans="13:26" ht="14.25" customHeight="1">
      <c r="M792" s="28"/>
      <c r="Z792" s="28"/>
    </row>
    <row r="793" spans="13:26" ht="14.25" customHeight="1">
      <c r="M793" s="28"/>
      <c r="Z793" s="28"/>
    </row>
    <row r="794" spans="13:26" ht="14.25" customHeight="1">
      <c r="M794" s="28"/>
      <c r="Z794" s="28"/>
    </row>
    <row r="795" spans="13:26" ht="14.25" customHeight="1">
      <c r="M795" s="28"/>
      <c r="Z795" s="28"/>
    </row>
    <row r="796" spans="13:26" ht="14.25" customHeight="1">
      <c r="M796" s="28"/>
      <c r="Z796" s="28"/>
    </row>
    <row r="797" spans="13:26" ht="14.25" customHeight="1">
      <c r="M797" s="28"/>
      <c r="Z797" s="28"/>
    </row>
    <row r="798" spans="13:26" ht="14.25" customHeight="1">
      <c r="M798" s="28"/>
      <c r="Z798" s="28"/>
    </row>
    <row r="799" spans="13:26" ht="14.25" customHeight="1">
      <c r="M799" s="28"/>
      <c r="Z799" s="28"/>
    </row>
    <row r="800" spans="13:26" ht="14.25" customHeight="1">
      <c r="M800" s="28"/>
      <c r="Z800" s="28"/>
    </row>
    <row r="801" spans="13:26" ht="14.25" customHeight="1">
      <c r="M801" s="28"/>
      <c r="Z801" s="28"/>
    </row>
    <row r="802" spans="13:26" ht="14.25" customHeight="1">
      <c r="M802" s="28"/>
      <c r="Z802" s="28"/>
    </row>
    <row r="803" spans="13:26" ht="14.25" customHeight="1">
      <c r="M803" s="28"/>
      <c r="Z803" s="28"/>
    </row>
    <row r="804" spans="13:26" ht="14.25" customHeight="1">
      <c r="M804" s="28"/>
      <c r="Z804" s="28"/>
    </row>
    <row r="805" spans="13:26" ht="14.25" customHeight="1">
      <c r="M805" s="28"/>
      <c r="Z805" s="28"/>
    </row>
    <row r="806" spans="13:26" ht="14.25" customHeight="1">
      <c r="M806" s="28"/>
      <c r="Z806" s="28"/>
    </row>
    <row r="807" spans="13:26" ht="14.25" customHeight="1">
      <c r="M807" s="28"/>
      <c r="Z807" s="28"/>
    </row>
    <row r="808" spans="13:26" ht="14.25" customHeight="1">
      <c r="M808" s="28"/>
      <c r="Z808" s="28"/>
    </row>
    <row r="809" spans="13:26" ht="14.25" customHeight="1">
      <c r="M809" s="28"/>
      <c r="Z809" s="28"/>
    </row>
    <row r="810" spans="13:26" ht="14.25" customHeight="1">
      <c r="M810" s="28"/>
      <c r="Z810" s="28"/>
    </row>
    <row r="811" spans="13:26" ht="14.25" customHeight="1">
      <c r="M811" s="28"/>
      <c r="Z811" s="28"/>
    </row>
    <row r="812" spans="13:26" ht="14.25" customHeight="1">
      <c r="M812" s="28"/>
      <c r="Z812" s="28"/>
    </row>
    <row r="813" spans="13:26" ht="14.25" customHeight="1">
      <c r="M813" s="28"/>
      <c r="Z813" s="28"/>
    </row>
    <row r="814" spans="13:26" ht="14.25" customHeight="1">
      <c r="M814" s="28"/>
      <c r="Z814" s="28"/>
    </row>
    <row r="815" spans="13:26" ht="14.25" customHeight="1">
      <c r="M815" s="28"/>
      <c r="Z815" s="28"/>
    </row>
    <row r="816" spans="13:26" ht="14.25" customHeight="1">
      <c r="M816" s="28"/>
      <c r="Z816" s="28"/>
    </row>
    <row r="817" spans="13:26" ht="14.25" customHeight="1">
      <c r="M817" s="28"/>
      <c r="Z817" s="28"/>
    </row>
    <row r="818" spans="13:26" ht="14.25" customHeight="1">
      <c r="M818" s="28"/>
      <c r="Z818" s="28"/>
    </row>
    <row r="819" spans="13:26" ht="14.25" customHeight="1">
      <c r="M819" s="28"/>
      <c r="Z819" s="28"/>
    </row>
    <row r="820" spans="13:26" ht="14.25" customHeight="1">
      <c r="M820" s="28"/>
      <c r="Z820" s="28"/>
    </row>
    <row r="821" spans="13:26" ht="14.25" customHeight="1">
      <c r="M821" s="28"/>
      <c r="Z821" s="28"/>
    </row>
    <row r="822" spans="13:26" ht="14.25" customHeight="1">
      <c r="M822" s="28"/>
      <c r="Z822" s="28"/>
    </row>
    <row r="823" spans="13:26" ht="14.25" customHeight="1">
      <c r="M823" s="28"/>
      <c r="Z823" s="28"/>
    </row>
    <row r="824" spans="13:26" ht="14.25" customHeight="1">
      <c r="M824" s="28"/>
      <c r="Z824" s="28"/>
    </row>
    <row r="825" spans="13:26" ht="14.25" customHeight="1">
      <c r="M825" s="28"/>
      <c r="Z825" s="28"/>
    </row>
    <row r="826" spans="13:26" ht="14.25" customHeight="1">
      <c r="M826" s="28"/>
      <c r="Z826" s="28"/>
    </row>
    <row r="827" spans="13:26" ht="14.25" customHeight="1">
      <c r="M827" s="28"/>
      <c r="Z827" s="28"/>
    </row>
    <row r="828" spans="13:26" ht="14.25" customHeight="1">
      <c r="M828" s="28"/>
      <c r="Z828" s="28"/>
    </row>
    <row r="829" spans="13:26" ht="14.25" customHeight="1">
      <c r="M829" s="28"/>
      <c r="Z829" s="28"/>
    </row>
    <row r="830" spans="13:26" ht="14.25" customHeight="1">
      <c r="M830" s="28"/>
      <c r="Z830" s="28"/>
    </row>
    <row r="831" spans="13:26" ht="14.25" customHeight="1">
      <c r="M831" s="28"/>
      <c r="Z831" s="28"/>
    </row>
    <row r="832" spans="13:26" ht="14.25" customHeight="1">
      <c r="M832" s="28"/>
      <c r="Z832" s="28"/>
    </row>
    <row r="833" spans="13:26" ht="14.25" customHeight="1">
      <c r="M833" s="28"/>
      <c r="Z833" s="28"/>
    </row>
    <row r="834" spans="13:26" ht="14.25" customHeight="1">
      <c r="M834" s="28"/>
      <c r="Z834" s="28"/>
    </row>
    <row r="835" spans="13:26" ht="14.25" customHeight="1">
      <c r="M835" s="28"/>
      <c r="Z835" s="28"/>
    </row>
    <row r="836" spans="13:26" ht="14.25" customHeight="1">
      <c r="M836" s="28"/>
      <c r="Z836" s="28"/>
    </row>
    <row r="837" spans="13:26" ht="14.25" customHeight="1">
      <c r="M837" s="28"/>
      <c r="Z837" s="28"/>
    </row>
    <row r="838" spans="13:26" ht="14.25" customHeight="1">
      <c r="M838" s="28"/>
      <c r="Z838" s="28"/>
    </row>
    <row r="839" spans="13:26" ht="14.25" customHeight="1">
      <c r="M839" s="28"/>
      <c r="Z839" s="28"/>
    </row>
    <row r="840" spans="13:26" ht="14.25" customHeight="1">
      <c r="M840" s="28"/>
      <c r="Z840" s="28"/>
    </row>
    <row r="841" spans="13:26" ht="14.25" customHeight="1">
      <c r="M841" s="28"/>
      <c r="Z841" s="28"/>
    </row>
    <row r="842" spans="13:26" ht="14.25" customHeight="1">
      <c r="M842" s="28"/>
      <c r="Z842" s="28"/>
    </row>
    <row r="843" spans="13:26" ht="14.25" customHeight="1">
      <c r="M843" s="28"/>
      <c r="Z843" s="28"/>
    </row>
    <row r="844" spans="13:26" ht="14.25" customHeight="1">
      <c r="M844" s="28"/>
      <c r="Z844" s="28"/>
    </row>
    <row r="845" spans="13:26" ht="14.25" customHeight="1">
      <c r="M845" s="28"/>
      <c r="Z845" s="28"/>
    </row>
    <row r="846" spans="13:26" ht="14.25" customHeight="1">
      <c r="M846" s="28"/>
      <c r="Z846" s="28"/>
    </row>
    <row r="847" spans="13:26" ht="14.25" customHeight="1">
      <c r="M847" s="28"/>
      <c r="Z847" s="28"/>
    </row>
    <row r="848" spans="13:26" ht="14.25" customHeight="1">
      <c r="M848" s="28"/>
      <c r="Z848" s="28"/>
    </row>
    <row r="849" spans="13:26" ht="14.25" customHeight="1">
      <c r="M849" s="28"/>
      <c r="Z849" s="28"/>
    </row>
    <row r="850" spans="13:26" ht="14.25" customHeight="1">
      <c r="M850" s="28"/>
      <c r="Z850" s="28"/>
    </row>
    <row r="851" spans="13:26" ht="14.25" customHeight="1">
      <c r="M851" s="28"/>
      <c r="Z851" s="28"/>
    </row>
    <row r="852" spans="13:26" ht="14.25" customHeight="1">
      <c r="M852" s="28"/>
      <c r="Z852" s="28"/>
    </row>
    <row r="853" spans="13:26" ht="14.25" customHeight="1">
      <c r="M853" s="28"/>
      <c r="Z853" s="28"/>
    </row>
    <row r="854" spans="13:26" ht="14.25" customHeight="1">
      <c r="M854" s="28"/>
      <c r="Z854" s="28"/>
    </row>
    <row r="855" spans="13:26" ht="14.25" customHeight="1">
      <c r="M855" s="28"/>
      <c r="Z855" s="28"/>
    </row>
    <row r="856" spans="13:26" ht="14.25" customHeight="1">
      <c r="M856" s="28"/>
      <c r="Z856" s="28"/>
    </row>
    <row r="857" spans="13:26" ht="14.25" customHeight="1">
      <c r="M857" s="28"/>
      <c r="Z857" s="28"/>
    </row>
    <row r="858" spans="13:26" ht="14.25" customHeight="1">
      <c r="M858" s="28"/>
      <c r="Z858" s="28"/>
    </row>
    <row r="859" spans="13:26" ht="14.25" customHeight="1">
      <c r="M859" s="28"/>
      <c r="Z859" s="28"/>
    </row>
    <row r="860" spans="13:26" ht="14.25" customHeight="1">
      <c r="M860" s="28"/>
      <c r="Z860" s="28"/>
    </row>
    <row r="861" spans="13:26" ht="14.25" customHeight="1">
      <c r="M861" s="28"/>
      <c r="Z861" s="28"/>
    </row>
    <row r="862" spans="13:26" ht="14.25" customHeight="1">
      <c r="M862" s="28"/>
      <c r="Z862" s="28"/>
    </row>
    <row r="863" spans="13:26" ht="14.25" customHeight="1">
      <c r="M863" s="28"/>
      <c r="Z863" s="28"/>
    </row>
    <row r="864" spans="13:26" ht="14.25" customHeight="1">
      <c r="M864" s="28"/>
      <c r="Z864" s="28"/>
    </row>
    <row r="865" spans="13:26" ht="14.25" customHeight="1">
      <c r="M865" s="28"/>
      <c r="Z865" s="28"/>
    </row>
    <row r="866" spans="13:26" ht="14.25" customHeight="1">
      <c r="M866" s="28"/>
      <c r="Z866" s="28"/>
    </row>
    <row r="867" spans="13:26" ht="14.25" customHeight="1">
      <c r="M867" s="28"/>
      <c r="Z867" s="28"/>
    </row>
    <row r="868" spans="13:26" ht="14.25" customHeight="1">
      <c r="M868" s="28"/>
      <c r="Z868" s="28"/>
    </row>
    <row r="869" spans="13:26" ht="14.25" customHeight="1">
      <c r="M869" s="28"/>
      <c r="Z869" s="28"/>
    </row>
    <row r="870" spans="13:26" ht="14.25" customHeight="1">
      <c r="M870" s="28"/>
      <c r="Z870" s="28"/>
    </row>
    <row r="871" spans="13:26" ht="14.25" customHeight="1">
      <c r="M871" s="28"/>
      <c r="Z871" s="28"/>
    </row>
    <row r="872" spans="13:26" ht="14.25" customHeight="1">
      <c r="M872" s="28"/>
      <c r="Z872" s="28"/>
    </row>
    <row r="873" spans="13:26" ht="14.25" customHeight="1">
      <c r="M873" s="28"/>
      <c r="Z873" s="28"/>
    </row>
    <row r="874" spans="13:26" ht="14.25" customHeight="1">
      <c r="M874" s="28"/>
      <c r="Z874" s="28"/>
    </row>
    <row r="875" spans="13:26" ht="14.25" customHeight="1">
      <c r="M875" s="28"/>
      <c r="Z875" s="28"/>
    </row>
    <row r="876" spans="13:26" ht="14.25" customHeight="1">
      <c r="M876" s="28"/>
      <c r="Z876" s="28"/>
    </row>
    <row r="877" spans="13:26" ht="14.25" customHeight="1">
      <c r="M877" s="28"/>
      <c r="Z877" s="28"/>
    </row>
    <row r="878" spans="13:26" ht="14.25" customHeight="1">
      <c r="M878" s="28"/>
      <c r="Z878" s="28"/>
    </row>
    <row r="879" spans="13:26" ht="14.25" customHeight="1">
      <c r="M879" s="28"/>
      <c r="Z879" s="28"/>
    </row>
    <row r="880" spans="13:26" ht="14.25" customHeight="1">
      <c r="M880" s="28"/>
      <c r="Z880" s="28"/>
    </row>
    <row r="881" spans="13:26" ht="14.25" customHeight="1">
      <c r="M881" s="28"/>
      <c r="Z881" s="28"/>
    </row>
    <row r="882" spans="13:26" ht="14.25" customHeight="1">
      <c r="M882" s="28"/>
      <c r="Z882" s="28"/>
    </row>
    <row r="883" spans="13:26" ht="14.25" customHeight="1">
      <c r="M883" s="28"/>
      <c r="Z883" s="28"/>
    </row>
    <row r="884" spans="13:26" ht="14.25" customHeight="1">
      <c r="M884" s="28"/>
      <c r="Z884" s="28"/>
    </row>
    <row r="885" spans="13:26" ht="14.25" customHeight="1">
      <c r="M885" s="28"/>
      <c r="Z885" s="28"/>
    </row>
    <row r="886" spans="13:26" ht="14.25" customHeight="1">
      <c r="M886" s="28"/>
      <c r="Z886" s="28"/>
    </row>
    <row r="887" spans="13:26" ht="14.25" customHeight="1">
      <c r="M887" s="28"/>
      <c r="Z887" s="28"/>
    </row>
    <row r="888" spans="13:26" ht="14.25" customHeight="1">
      <c r="M888" s="28"/>
      <c r="Z888" s="28"/>
    </row>
    <row r="889" spans="13:26" ht="14.25" customHeight="1">
      <c r="M889" s="28"/>
      <c r="Z889" s="28"/>
    </row>
    <row r="890" spans="13:26" ht="14.25" customHeight="1">
      <c r="M890" s="28"/>
      <c r="Z890" s="28"/>
    </row>
    <row r="891" spans="13:26" ht="14.25" customHeight="1">
      <c r="M891" s="28"/>
      <c r="Z891" s="28"/>
    </row>
    <row r="892" spans="13:26" ht="14.25" customHeight="1">
      <c r="M892" s="28"/>
      <c r="Z892" s="28"/>
    </row>
    <row r="893" spans="13:26" ht="14.25" customHeight="1">
      <c r="M893" s="28"/>
      <c r="Z893" s="28"/>
    </row>
    <row r="894" spans="13:26" ht="14.25" customHeight="1">
      <c r="M894" s="28"/>
      <c r="Z894" s="28"/>
    </row>
    <row r="895" spans="13:26" ht="14.25" customHeight="1">
      <c r="M895" s="28"/>
      <c r="Z895" s="28"/>
    </row>
    <row r="896" spans="13:26" ht="14.25" customHeight="1">
      <c r="M896" s="28"/>
      <c r="Z896" s="28"/>
    </row>
    <row r="897" spans="13:26" ht="14.25" customHeight="1">
      <c r="M897" s="28"/>
      <c r="Z897" s="28"/>
    </row>
    <row r="898" spans="13:26" ht="14.25" customHeight="1">
      <c r="M898" s="28"/>
      <c r="Z898" s="28"/>
    </row>
    <row r="899" spans="13:26" ht="14.25" customHeight="1">
      <c r="M899" s="28"/>
      <c r="Z899" s="28"/>
    </row>
    <row r="900" spans="13:26" ht="14.25" customHeight="1">
      <c r="M900" s="28"/>
      <c r="Z900" s="28"/>
    </row>
    <row r="901" spans="13:26" ht="14.25" customHeight="1">
      <c r="M901" s="28"/>
      <c r="Z901" s="28"/>
    </row>
    <row r="902" spans="13:26" ht="14.25" customHeight="1">
      <c r="M902" s="28"/>
      <c r="Z902" s="28"/>
    </row>
    <row r="903" spans="13:26" ht="14.25" customHeight="1">
      <c r="M903" s="28"/>
      <c r="Z903" s="28"/>
    </row>
    <row r="904" spans="13:26" ht="14.25" customHeight="1">
      <c r="M904" s="28"/>
      <c r="Z904" s="28"/>
    </row>
    <row r="905" spans="13:26" ht="14.25" customHeight="1">
      <c r="M905" s="28"/>
      <c r="Z905" s="28"/>
    </row>
    <row r="906" spans="13:26" ht="14.25" customHeight="1">
      <c r="M906" s="28"/>
      <c r="Z906" s="28"/>
    </row>
    <row r="907" spans="13:26" ht="14.25" customHeight="1">
      <c r="M907" s="28"/>
      <c r="Z907" s="28"/>
    </row>
    <row r="908" spans="13:26" ht="14.25" customHeight="1">
      <c r="M908" s="28"/>
      <c r="Z908" s="28"/>
    </row>
    <row r="909" spans="13:26" ht="14.25" customHeight="1">
      <c r="M909" s="28"/>
      <c r="Z909" s="28"/>
    </row>
    <row r="910" spans="13:26" ht="14.25" customHeight="1">
      <c r="M910" s="28"/>
      <c r="Z910" s="28"/>
    </row>
    <row r="911" spans="13:26" ht="14.25" customHeight="1">
      <c r="M911" s="28"/>
      <c r="Z911" s="28"/>
    </row>
    <row r="912" spans="13:26" ht="14.25" customHeight="1">
      <c r="M912" s="28"/>
      <c r="Z912" s="28"/>
    </row>
    <row r="913" spans="13:26" ht="14.25" customHeight="1">
      <c r="M913" s="28"/>
      <c r="Z913" s="28"/>
    </row>
    <row r="914" spans="13:26" ht="14.25" customHeight="1">
      <c r="M914" s="28"/>
      <c r="Z914" s="28"/>
    </row>
    <row r="915" spans="13:26" ht="14.25" customHeight="1">
      <c r="M915" s="28"/>
      <c r="Z915" s="28"/>
    </row>
    <row r="916" spans="13:26" ht="14.25" customHeight="1">
      <c r="M916" s="28"/>
      <c r="Z916" s="28"/>
    </row>
    <row r="917" spans="13:26" ht="14.25" customHeight="1">
      <c r="M917" s="28"/>
      <c r="Z917" s="28"/>
    </row>
    <row r="918" spans="13:26" ht="14.25" customHeight="1">
      <c r="M918" s="28"/>
      <c r="Z918" s="28"/>
    </row>
    <row r="919" spans="13:26" ht="14.25" customHeight="1">
      <c r="M919" s="28"/>
      <c r="Z919" s="28"/>
    </row>
    <row r="920" spans="13:26" ht="14.25" customHeight="1">
      <c r="M920" s="28"/>
      <c r="Z920" s="28"/>
    </row>
    <row r="921" spans="13:26" ht="14.25" customHeight="1">
      <c r="M921" s="28"/>
      <c r="Z921" s="28"/>
    </row>
    <row r="922" spans="13:26" ht="14.25" customHeight="1">
      <c r="M922" s="28"/>
      <c r="Z922" s="28"/>
    </row>
    <row r="923" spans="13:26" ht="14.25" customHeight="1">
      <c r="M923" s="28"/>
      <c r="Z923" s="28"/>
    </row>
    <row r="924" spans="13:26" ht="14.25" customHeight="1">
      <c r="M924" s="28"/>
      <c r="Z924" s="28"/>
    </row>
    <row r="925" spans="13:26" ht="14.25" customHeight="1">
      <c r="M925" s="28"/>
      <c r="Z925" s="28"/>
    </row>
    <row r="926" spans="13:26" ht="14.25" customHeight="1">
      <c r="M926" s="28"/>
      <c r="Z926" s="28"/>
    </row>
    <row r="927" spans="13:26" ht="14.25" customHeight="1">
      <c r="M927" s="28"/>
      <c r="Z927" s="28"/>
    </row>
    <row r="928" spans="13:26" ht="14.25" customHeight="1">
      <c r="M928" s="28"/>
      <c r="Z928" s="28"/>
    </row>
    <row r="929" spans="13:26" ht="14.25" customHeight="1">
      <c r="M929" s="28"/>
      <c r="Z929" s="28"/>
    </row>
    <row r="930" spans="13:26" ht="14.25" customHeight="1">
      <c r="M930" s="28"/>
      <c r="Z930" s="28"/>
    </row>
    <row r="931" spans="13:26" ht="14.25" customHeight="1">
      <c r="M931" s="28"/>
      <c r="Z931" s="28"/>
    </row>
    <row r="932" spans="13:26" ht="14.25" customHeight="1">
      <c r="M932" s="28"/>
      <c r="Z932" s="28"/>
    </row>
    <row r="933" spans="13:26" ht="14.25" customHeight="1">
      <c r="M933" s="28"/>
      <c r="Z933" s="28"/>
    </row>
    <row r="934" spans="13:26" ht="14.25" customHeight="1">
      <c r="M934" s="28"/>
      <c r="Z934" s="28"/>
    </row>
    <row r="935" spans="13:26" ht="14.25" customHeight="1">
      <c r="M935" s="28"/>
      <c r="Z935" s="28"/>
    </row>
    <row r="936" spans="13:26" ht="14.25" customHeight="1">
      <c r="M936" s="28"/>
      <c r="Z936" s="28"/>
    </row>
    <row r="937" spans="13:26" ht="14.25" customHeight="1">
      <c r="M937" s="28"/>
      <c r="Z937" s="28"/>
    </row>
    <row r="938" spans="13:26" ht="14.25" customHeight="1">
      <c r="M938" s="28"/>
      <c r="Z938" s="28"/>
    </row>
    <row r="939" spans="13:26" ht="14.25" customHeight="1">
      <c r="M939" s="28"/>
      <c r="Z939" s="28"/>
    </row>
    <row r="940" spans="13:26" ht="14.25" customHeight="1">
      <c r="M940" s="28"/>
      <c r="Z940" s="28"/>
    </row>
    <row r="941" spans="13:26" ht="14.25" customHeight="1">
      <c r="M941" s="28"/>
      <c r="Z941" s="28"/>
    </row>
    <row r="942" spans="13:26" ht="14.25" customHeight="1">
      <c r="M942" s="28"/>
      <c r="Z942" s="28"/>
    </row>
    <row r="943" spans="13:26" ht="14.25" customHeight="1">
      <c r="M943" s="28"/>
      <c r="Z943" s="28"/>
    </row>
    <row r="944" spans="13:26" ht="14.25" customHeight="1">
      <c r="M944" s="28"/>
      <c r="Z944" s="28"/>
    </row>
    <row r="945" spans="13:26" ht="14.25" customHeight="1">
      <c r="M945" s="28"/>
      <c r="Z945" s="28"/>
    </row>
    <row r="946" spans="13:26" ht="14.25" customHeight="1">
      <c r="M946" s="28"/>
      <c r="Z946" s="28"/>
    </row>
    <row r="947" spans="13:26" ht="14.25" customHeight="1">
      <c r="M947" s="28"/>
      <c r="Z947" s="28"/>
    </row>
    <row r="948" spans="13:26" ht="14.25" customHeight="1">
      <c r="M948" s="28"/>
      <c r="Z948" s="28"/>
    </row>
    <row r="949" spans="13:26" ht="14.25" customHeight="1">
      <c r="M949" s="28"/>
      <c r="Z949" s="28"/>
    </row>
    <row r="950" spans="13:26" ht="14.25" customHeight="1">
      <c r="M950" s="28"/>
      <c r="Z950" s="28"/>
    </row>
    <row r="951" spans="13:26" ht="14.25" customHeight="1">
      <c r="M951" s="28"/>
      <c r="Z951" s="28"/>
    </row>
    <row r="952" spans="13:26" ht="14.25" customHeight="1">
      <c r="M952" s="28"/>
      <c r="Z952" s="28"/>
    </row>
    <row r="953" spans="13:26" ht="14.25" customHeight="1">
      <c r="M953" s="28"/>
      <c r="Z953" s="28"/>
    </row>
    <row r="954" spans="13:26" ht="14.25" customHeight="1">
      <c r="M954" s="28"/>
      <c r="Z954" s="28"/>
    </row>
    <row r="955" spans="13:26" ht="14.25" customHeight="1">
      <c r="M955" s="28"/>
      <c r="Z955" s="28"/>
    </row>
    <row r="956" spans="13:26" ht="14.25" customHeight="1">
      <c r="M956" s="28"/>
      <c r="Z956" s="28"/>
    </row>
    <row r="957" spans="13:26" ht="14.25" customHeight="1">
      <c r="M957" s="28"/>
      <c r="Z957" s="28"/>
    </row>
    <row r="958" spans="13:26" ht="14.25" customHeight="1">
      <c r="M958" s="28"/>
      <c r="Z958" s="28"/>
    </row>
    <row r="959" spans="13:26" ht="14.25" customHeight="1">
      <c r="M959" s="28"/>
      <c r="Z959" s="28"/>
    </row>
    <row r="960" spans="13:26" ht="14.25" customHeight="1">
      <c r="M960" s="28"/>
      <c r="Z960" s="28"/>
    </row>
    <row r="961" spans="13:26" ht="14.25" customHeight="1">
      <c r="M961" s="28"/>
      <c r="Z961" s="28"/>
    </row>
    <row r="962" spans="13:26" ht="14.25" customHeight="1">
      <c r="M962" s="28"/>
      <c r="Z962" s="28"/>
    </row>
    <row r="963" spans="13:26" ht="14.25" customHeight="1">
      <c r="M963" s="28"/>
      <c r="Z963" s="28"/>
    </row>
    <row r="964" spans="13:26" ht="14.25" customHeight="1">
      <c r="M964" s="28"/>
      <c r="Z964" s="28"/>
    </row>
    <row r="965" spans="13:26" ht="14.25" customHeight="1">
      <c r="M965" s="28"/>
      <c r="Z965" s="28"/>
    </row>
    <row r="966" spans="13:26" ht="14.25" customHeight="1">
      <c r="M966" s="28"/>
      <c r="Z966" s="28"/>
    </row>
    <row r="967" spans="13:26" ht="14.25" customHeight="1">
      <c r="M967" s="28"/>
      <c r="Z967" s="28"/>
    </row>
    <row r="968" spans="13:26" ht="14.25" customHeight="1">
      <c r="M968" s="28"/>
      <c r="Z968" s="28"/>
    </row>
    <row r="969" spans="13:26" ht="14.25" customHeight="1">
      <c r="M969" s="28"/>
      <c r="Z969" s="28"/>
    </row>
    <row r="970" spans="13:26" ht="14.25" customHeight="1">
      <c r="M970" s="28"/>
      <c r="Z970" s="28"/>
    </row>
    <row r="971" spans="13:26" ht="14.25" customHeight="1">
      <c r="M971" s="28"/>
      <c r="Z971" s="28"/>
    </row>
    <row r="972" spans="13:26" ht="14.25" customHeight="1">
      <c r="M972" s="28"/>
      <c r="Z972" s="28"/>
    </row>
    <row r="973" spans="13:26" ht="14.25" customHeight="1">
      <c r="M973" s="28"/>
      <c r="Z973" s="28"/>
    </row>
    <row r="974" spans="13:26" ht="14.25" customHeight="1">
      <c r="M974" s="28"/>
      <c r="Z974" s="28"/>
    </row>
    <row r="975" spans="13:26" ht="14.25" customHeight="1">
      <c r="M975" s="28"/>
      <c r="Z975" s="28"/>
    </row>
    <row r="976" spans="13:26" ht="14.25" customHeight="1">
      <c r="M976" s="28"/>
      <c r="Z976" s="28"/>
    </row>
    <row r="977" spans="13:26" ht="14.25" customHeight="1">
      <c r="M977" s="28"/>
      <c r="Z977" s="28"/>
    </row>
    <row r="978" spans="13:26" ht="14.25" customHeight="1">
      <c r="M978" s="28"/>
      <c r="Z978" s="28"/>
    </row>
    <row r="979" spans="13:26" ht="14.25" customHeight="1">
      <c r="M979" s="28"/>
      <c r="Z979" s="28"/>
    </row>
    <row r="980" spans="13:26" ht="14.25" customHeight="1">
      <c r="M980" s="28"/>
      <c r="Z980" s="28"/>
    </row>
    <row r="981" spans="13:26" ht="14.25" customHeight="1">
      <c r="M981" s="28"/>
      <c r="Z981" s="28"/>
    </row>
    <row r="982" spans="13:26" ht="14.25" customHeight="1">
      <c r="M982" s="28"/>
      <c r="Z982" s="28"/>
    </row>
    <row r="983" spans="13:26" ht="14.25" customHeight="1">
      <c r="M983" s="28"/>
      <c r="Z983" s="28"/>
    </row>
    <row r="984" spans="13:26" ht="14.25" customHeight="1">
      <c r="M984" s="28"/>
      <c r="Z984" s="28"/>
    </row>
    <row r="985" spans="13:26" ht="14.25" customHeight="1">
      <c r="M985" s="28"/>
      <c r="Z985" s="28"/>
    </row>
    <row r="986" spans="13:26" ht="14.25" customHeight="1">
      <c r="M986" s="28"/>
      <c r="Z986" s="28"/>
    </row>
    <row r="987" spans="13:26" ht="14.25" customHeight="1">
      <c r="M987" s="28"/>
      <c r="Z987" s="28"/>
    </row>
    <row r="988" spans="13:26" ht="14.25" customHeight="1">
      <c r="M988" s="28"/>
      <c r="Z988" s="28"/>
    </row>
    <row r="989" spans="13:26" ht="14.25" customHeight="1">
      <c r="M989" s="28"/>
      <c r="Z989" s="28"/>
    </row>
    <row r="990" spans="13:26" ht="14.25" customHeight="1">
      <c r="M990" s="28"/>
      <c r="Z990" s="28"/>
    </row>
    <row r="991" spans="13:26" ht="14.25" customHeight="1">
      <c r="M991" s="28"/>
      <c r="Z991" s="28"/>
    </row>
    <row r="992" spans="13:26" ht="14.25" customHeight="1">
      <c r="M992" s="28"/>
      <c r="Z992" s="28"/>
    </row>
    <row r="993" spans="13:26" ht="14.25" customHeight="1">
      <c r="M993" s="28"/>
      <c r="Z993" s="28"/>
    </row>
    <row r="994" spans="13:26" ht="14.25" customHeight="1">
      <c r="M994" s="28"/>
      <c r="Z994" s="28"/>
    </row>
    <row r="995" spans="13:26" ht="14.25" customHeight="1">
      <c r="M995" s="28"/>
      <c r="Z995" s="28"/>
    </row>
    <row r="996" spans="13:26" ht="14.25" customHeight="1">
      <c r="M996" s="28"/>
      <c r="Z996" s="28"/>
    </row>
    <row r="997" spans="13:26" ht="14.25">
      <c r="M997" s="28"/>
      <c r="Z997" s="28"/>
    </row>
    <row r="998" spans="13:26" ht="14.25">
      <c r="M998" s="28"/>
      <c r="Z998" s="28"/>
    </row>
    <row r="999" spans="13:26" ht="14.25">
      <c r="M999" s="28"/>
      <c r="Z999" s="28"/>
    </row>
  </sheetData>
  <autoFilter ref="A1:AH134" xr:uid="{00000000-0009-0000-0000-000000000000}"/>
  <pageMargins left="0.7" right="0.7" top="0.75" bottom="0.75" header="0" footer="0"/>
  <pageSetup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Inversion 2</dc:creator>
  <cp:lastModifiedBy>Dirección de Meteorología Atmosférica (DMA 01)</cp:lastModifiedBy>
  <dcterms:created xsi:type="dcterms:W3CDTF">2026-02-11T20:18:23Z</dcterms:created>
  <dcterms:modified xsi:type="dcterms:W3CDTF">2026-06-19T17:14:39Z</dcterms:modified>
</cp:coreProperties>
</file>